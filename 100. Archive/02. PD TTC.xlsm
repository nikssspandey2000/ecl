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2" codeName="{DD97A8EA-9A9A-E61F-A557-7D5A7D7259CE}"/>
  <workbookPr codeName="ThisWorkbook"/>
  <mc:AlternateContent xmlns:mc="http://schemas.openxmlformats.org/markup-compatibility/2006">
    <mc:Choice Requires="x15">
      <x15ac:absPath xmlns:x15ac="http://schemas.microsoft.com/office/spreadsheetml/2010/11/ac" url="D:\07. B.Lama &amp; Associates\02. CentralECL\"/>
    </mc:Choice>
  </mc:AlternateContent>
  <xr:revisionPtr revIDLastSave="0" documentId="13_ncr:1_{B058301D-B1F9-496D-A4C7-77FC2F56C59E}" xr6:coauthVersionLast="47" xr6:coauthVersionMax="47" xr10:uidLastSave="{00000000-0000-0000-0000-000000000000}"/>
  <bookViews>
    <workbookView xWindow="-98" yWindow="-98" windowWidth="19396" windowHeight="11475" activeTab="1" xr2:uid="{00000000-000D-0000-FFFF-FFFF00000000}"/>
  </bookViews>
  <sheets>
    <sheet name="01. Main" sheetId="1" r:id="rId1"/>
    <sheet name="02. Average" sheetId="5" r:id="rId2"/>
    <sheet name="03. AvgSummary" sheetId="9" r:id="rId3"/>
    <sheet name="04. Summary" sheetId="10" r:id="rId4"/>
    <sheet name="Visualization" sheetId="2" r:id="rId5"/>
  </sheets>
  <externalReferences>
    <externalReference r:id="rId6"/>
    <externalReference r:id="rId7"/>
  </externalReferences>
  <definedNames>
    <definedName name="_xlnm._FilterDatabase" localSheetId="0" hidden="1">'01. Main'!$A$1:$G$1289</definedName>
    <definedName name="_xlnm._FilterDatabase" localSheetId="1" hidden="1">'02. Average'!$G$1:$O$393</definedName>
    <definedName name="_xlnm._FilterDatabase" localSheetId="3" hidden="1">'04. Summary'!$A$1:$P$57</definedName>
    <definedName name="_xleta.AVERAGE" hidden="1" xlm="1">#NAME?</definedName>
    <definedName name="Slicer_ProductType">#N/A</definedName>
    <definedName name="Slicer_Stage">#N/A</definedName>
  </definedNames>
  <calcPr calcId="191029"/>
  <pivotCaches>
    <pivotCache cacheId="2" r:id="rId8"/>
    <pivotCache cacheId="3" r:id="rId9"/>
    <pivotCache cacheId="4"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10" l="1" a="1"/>
  <c r="J3" i="10" s="1"/>
  <c r="K3" i="10" a="1"/>
  <c r="K3" i="10" s="1"/>
  <c r="L3" i="10" a="1"/>
  <c r="L3" i="10" s="1"/>
  <c r="M3" i="10" a="1"/>
  <c r="M3" i="10" s="1"/>
  <c r="N3" i="10" a="1"/>
  <c r="N3" i="10" s="1"/>
  <c r="O3" i="10" a="1"/>
  <c r="O3" i="10" s="1"/>
  <c r="P3" i="10" a="1"/>
  <c r="P3" i="10" s="1"/>
  <c r="J4" i="10" a="1"/>
  <c r="J4" i="10" s="1"/>
  <c r="K4" i="10" a="1"/>
  <c r="K4" i="10" s="1"/>
  <c r="L4" i="10" a="1"/>
  <c r="L4" i="10" s="1"/>
  <c r="M4" i="10" a="1"/>
  <c r="M4" i="10" s="1"/>
  <c r="N4" i="10" a="1"/>
  <c r="N4" i="10" s="1"/>
  <c r="O4" i="10" a="1"/>
  <c r="O4" i="10" s="1"/>
  <c r="P4" i="10" a="1"/>
  <c r="P4" i="10" s="1"/>
  <c r="J5" i="10" a="1"/>
  <c r="J5" i="10" s="1"/>
  <c r="K5" i="10" a="1"/>
  <c r="K5" i="10" s="1"/>
  <c r="L5" i="10" a="1"/>
  <c r="L5" i="10" s="1"/>
  <c r="M5" i="10" a="1"/>
  <c r="M5" i="10" s="1"/>
  <c r="N5" i="10" a="1"/>
  <c r="N5" i="10" s="1"/>
  <c r="O5" i="10" a="1"/>
  <c r="O5" i="10" s="1"/>
  <c r="P5" i="10" a="1"/>
  <c r="P5" i="10" s="1"/>
  <c r="J6" i="10" a="1"/>
  <c r="J6" i="10" s="1"/>
  <c r="K6" i="10" a="1"/>
  <c r="K6" i="10" s="1"/>
  <c r="L6" i="10" a="1"/>
  <c r="L6" i="10" s="1"/>
  <c r="M6" i="10" a="1"/>
  <c r="M6" i="10" s="1"/>
  <c r="N6" i="10" a="1"/>
  <c r="N6" i="10" s="1"/>
  <c r="O6" i="10" a="1"/>
  <c r="O6" i="10" s="1"/>
  <c r="P6" i="10" a="1"/>
  <c r="P6" i="10" s="1"/>
  <c r="J7" i="10" a="1"/>
  <c r="J7" i="10" s="1"/>
  <c r="K7" i="10" a="1"/>
  <c r="K7" i="10" s="1"/>
  <c r="L7" i="10" a="1"/>
  <c r="L7" i="10" s="1"/>
  <c r="M7" i="10" a="1"/>
  <c r="M7" i="10" s="1"/>
  <c r="N7" i="10" a="1"/>
  <c r="N7" i="10" s="1"/>
  <c r="O7" i="10" a="1"/>
  <c r="O7" i="10" s="1"/>
  <c r="P7" i="10" a="1"/>
  <c r="P7" i="10" s="1"/>
  <c r="J8" i="10" a="1"/>
  <c r="J8" i="10" s="1"/>
  <c r="K8" i="10" a="1"/>
  <c r="K8" i="10" s="1"/>
  <c r="L8" i="10" a="1"/>
  <c r="L8" i="10" s="1"/>
  <c r="M8" i="10" a="1"/>
  <c r="M8" i="10" s="1"/>
  <c r="N8" i="10" a="1"/>
  <c r="N8" i="10" s="1"/>
  <c r="O8" i="10" a="1"/>
  <c r="O8" i="10" s="1"/>
  <c r="P8" i="10" a="1"/>
  <c r="P8" i="10" s="1"/>
  <c r="J9" i="10" a="1"/>
  <c r="J9" i="10" s="1"/>
  <c r="K9" i="10" a="1"/>
  <c r="K9" i="10" s="1"/>
  <c r="L9" i="10" a="1"/>
  <c r="L9" i="10" s="1"/>
  <c r="M9" i="10" a="1"/>
  <c r="M9" i="10" s="1"/>
  <c r="N9" i="10" a="1"/>
  <c r="N9" i="10" s="1"/>
  <c r="O9" i="10" a="1"/>
  <c r="O9" i="10" s="1"/>
  <c r="P9" i="10" a="1"/>
  <c r="P9" i="10" s="1"/>
  <c r="J10" i="10" a="1"/>
  <c r="J10" i="10" s="1"/>
  <c r="K10" i="10" a="1"/>
  <c r="K10" i="10" s="1"/>
  <c r="L10" i="10" a="1"/>
  <c r="L10" i="10" s="1"/>
  <c r="M10" i="10" a="1"/>
  <c r="M10" i="10" s="1"/>
  <c r="N10" i="10" a="1"/>
  <c r="N10" i="10" s="1"/>
  <c r="O10" i="10" a="1"/>
  <c r="O10" i="10" s="1"/>
  <c r="P10" i="10" a="1"/>
  <c r="P10" i="10" s="1"/>
  <c r="J11" i="10" a="1"/>
  <c r="J11" i="10" s="1"/>
  <c r="K11" i="10" a="1"/>
  <c r="K11" i="10" s="1"/>
  <c r="L11" i="10" a="1"/>
  <c r="L11" i="10" s="1"/>
  <c r="M11" i="10" a="1"/>
  <c r="M11" i="10" s="1"/>
  <c r="N11" i="10" a="1"/>
  <c r="N11" i="10" s="1"/>
  <c r="O11" i="10" a="1"/>
  <c r="O11" i="10" s="1"/>
  <c r="P11" i="10" a="1"/>
  <c r="P11" i="10" s="1"/>
  <c r="J12" i="10" a="1"/>
  <c r="J12" i="10" s="1"/>
  <c r="K12" i="10" a="1"/>
  <c r="K12" i="10" s="1"/>
  <c r="L12" i="10" a="1"/>
  <c r="L12" i="10" s="1"/>
  <c r="M12" i="10" a="1"/>
  <c r="M12" i="10" s="1"/>
  <c r="N12" i="10" a="1"/>
  <c r="N12" i="10" s="1"/>
  <c r="O12" i="10" a="1"/>
  <c r="O12" i="10" s="1"/>
  <c r="P12" i="10" a="1"/>
  <c r="P12" i="10" s="1"/>
  <c r="J13" i="10" a="1"/>
  <c r="J13" i="10" s="1"/>
  <c r="K13" i="10" a="1"/>
  <c r="K13" i="10" s="1"/>
  <c r="L13" i="10" a="1"/>
  <c r="L13" i="10" s="1"/>
  <c r="M13" i="10" a="1"/>
  <c r="M13" i="10" s="1"/>
  <c r="N13" i="10" a="1"/>
  <c r="N13" i="10" s="1"/>
  <c r="O13" i="10" a="1"/>
  <c r="O13" i="10" s="1"/>
  <c r="P13" i="10" a="1"/>
  <c r="P13" i="10" s="1"/>
  <c r="J14" i="10" a="1"/>
  <c r="J14" i="10" s="1"/>
  <c r="K14" i="10" a="1"/>
  <c r="K14" i="10" s="1"/>
  <c r="L14" i="10" a="1"/>
  <c r="L14" i="10" s="1"/>
  <c r="M14" i="10" a="1"/>
  <c r="M14" i="10" s="1"/>
  <c r="N14" i="10" a="1"/>
  <c r="N14" i="10" s="1"/>
  <c r="O14" i="10" a="1"/>
  <c r="O14" i="10" s="1"/>
  <c r="P14" i="10" a="1"/>
  <c r="P14" i="10" s="1"/>
  <c r="J15" i="10" a="1"/>
  <c r="J15" i="10" s="1"/>
  <c r="K15" i="10" a="1"/>
  <c r="K15" i="10" s="1"/>
  <c r="L15" i="10" a="1"/>
  <c r="L15" i="10" s="1"/>
  <c r="M15" i="10" a="1"/>
  <c r="M15" i="10" s="1"/>
  <c r="N15" i="10" a="1"/>
  <c r="N15" i="10" s="1"/>
  <c r="O15" i="10" a="1"/>
  <c r="O15" i="10" s="1"/>
  <c r="P15" i="10" a="1"/>
  <c r="P15" i="10" s="1"/>
  <c r="J16" i="10" a="1"/>
  <c r="J16" i="10" s="1"/>
  <c r="K16" i="10" a="1"/>
  <c r="K16" i="10" s="1"/>
  <c r="L16" i="10" a="1"/>
  <c r="L16" i="10" s="1"/>
  <c r="M16" i="10" a="1"/>
  <c r="M16" i="10" s="1"/>
  <c r="N16" i="10" a="1"/>
  <c r="N16" i="10" s="1"/>
  <c r="O16" i="10" a="1"/>
  <c r="O16" i="10" s="1"/>
  <c r="P16" i="10" a="1"/>
  <c r="P16" i="10" s="1"/>
  <c r="J17" i="10" a="1"/>
  <c r="J17" i="10" s="1"/>
  <c r="K17" i="10" a="1"/>
  <c r="K17" i="10" s="1"/>
  <c r="L17" i="10" a="1"/>
  <c r="L17" i="10" s="1"/>
  <c r="M17" i="10" a="1"/>
  <c r="M17" i="10" s="1"/>
  <c r="N17" i="10" a="1"/>
  <c r="N17" i="10" s="1"/>
  <c r="O17" i="10" a="1"/>
  <c r="O17" i="10" s="1"/>
  <c r="P17" i="10" a="1"/>
  <c r="P17" i="10" s="1"/>
  <c r="J18" i="10" a="1"/>
  <c r="J18" i="10" s="1"/>
  <c r="K18" i="10" a="1"/>
  <c r="K18" i="10" s="1"/>
  <c r="L18" i="10" a="1"/>
  <c r="L18" i="10" s="1"/>
  <c r="M18" i="10" a="1"/>
  <c r="M18" i="10" s="1"/>
  <c r="N18" i="10" a="1"/>
  <c r="N18" i="10" s="1"/>
  <c r="O18" i="10" a="1"/>
  <c r="O18" i="10" s="1"/>
  <c r="P18" i="10" a="1"/>
  <c r="P18" i="10" s="1"/>
  <c r="J19" i="10" a="1"/>
  <c r="J19" i="10" s="1"/>
  <c r="K19" i="10" a="1"/>
  <c r="K19" i="10" s="1"/>
  <c r="L19" i="10" a="1"/>
  <c r="L19" i="10" s="1"/>
  <c r="M19" i="10" a="1"/>
  <c r="M19" i="10" s="1"/>
  <c r="N19" i="10" a="1"/>
  <c r="N19" i="10" s="1"/>
  <c r="O19" i="10" a="1"/>
  <c r="O19" i="10" s="1"/>
  <c r="P19" i="10" a="1"/>
  <c r="P19" i="10" s="1"/>
  <c r="J20" i="10" a="1"/>
  <c r="J20" i="10" s="1"/>
  <c r="K20" i="10" a="1"/>
  <c r="K20" i="10" s="1"/>
  <c r="L20" i="10" a="1"/>
  <c r="L20" i="10" s="1"/>
  <c r="M20" i="10" a="1"/>
  <c r="M20" i="10" s="1"/>
  <c r="N20" i="10" a="1"/>
  <c r="N20" i="10" s="1"/>
  <c r="O20" i="10" a="1"/>
  <c r="O20" i="10" s="1"/>
  <c r="P20" i="10" a="1"/>
  <c r="P20" i="10" s="1"/>
  <c r="J21" i="10" a="1"/>
  <c r="J21" i="10" s="1"/>
  <c r="K21" i="10" a="1"/>
  <c r="K21" i="10" s="1"/>
  <c r="L21" i="10" a="1"/>
  <c r="L21" i="10" s="1"/>
  <c r="M21" i="10" a="1"/>
  <c r="M21" i="10" s="1"/>
  <c r="N21" i="10" a="1"/>
  <c r="N21" i="10" s="1"/>
  <c r="O21" i="10" a="1"/>
  <c r="O21" i="10" s="1"/>
  <c r="P21" i="10" a="1"/>
  <c r="P21" i="10" s="1"/>
  <c r="J22" i="10" a="1"/>
  <c r="J22" i="10" s="1"/>
  <c r="K22" i="10" a="1"/>
  <c r="K22" i="10" s="1"/>
  <c r="L22" i="10" a="1"/>
  <c r="L22" i="10" s="1"/>
  <c r="M22" i="10" a="1"/>
  <c r="M22" i="10" s="1"/>
  <c r="N22" i="10" a="1"/>
  <c r="N22" i="10" s="1"/>
  <c r="O22" i="10" a="1"/>
  <c r="O22" i="10" s="1"/>
  <c r="P22" i="10" a="1"/>
  <c r="P22" i="10" s="1"/>
  <c r="J23" i="10" a="1"/>
  <c r="J23" i="10" s="1"/>
  <c r="K23" i="10" a="1"/>
  <c r="K23" i="10" s="1"/>
  <c r="L23" i="10" a="1"/>
  <c r="L23" i="10" s="1"/>
  <c r="M23" i="10" a="1"/>
  <c r="M23" i="10" s="1"/>
  <c r="N23" i="10" a="1"/>
  <c r="N23" i="10" s="1"/>
  <c r="O23" i="10" a="1"/>
  <c r="O23" i="10" s="1"/>
  <c r="P23" i="10" a="1"/>
  <c r="P23" i="10" s="1"/>
  <c r="J24" i="10" a="1"/>
  <c r="J24" i="10" s="1"/>
  <c r="K24" i="10" a="1"/>
  <c r="K24" i="10" s="1"/>
  <c r="L24" i="10" a="1"/>
  <c r="L24" i="10" s="1"/>
  <c r="M24" i="10" a="1"/>
  <c r="M24" i="10" s="1"/>
  <c r="N24" i="10" a="1"/>
  <c r="N24" i="10" s="1"/>
  <c r="O24" i="10" a="1"/>
  <c r="O24" i="10" s="1"/>
  <c r="P24" i="10" a="1"/>
  <c r="P24" i="10" s="1"/>
  <c r="J25" i="10" a="1"/>
  <c r="J25" i="10" s="1"/>
  <c r="K25" i="10" a="1"/>
  <c r="K25" i="10" s="1"/>
  <c r="L25" i="10" a="1"/>
  <c r="L25" i="10" s="1"/>
  <c r="M25" i="10" a="1"/>
  <c r="M25" i="10" s="1"/>
  <c r="N25" i="10" a="1"/>
  <c r="N25" i="10" s="1"/>
  <c r="O25" i="10" a="1"/>
  <c r="O25" i="10" s="1"/>
  <c r="P25" i="10" a="1"/>
  <c r="P25" i="10" s="1"/>
  <c r="J26" i="10" a="1"/>
  <c r="J26" i="10" s="1"/>
  <c r="K26" i="10" a="1"/>
  <c r="K26" i="10" s="1"/>
  <c r="L26" i="10" a="1"/>
  <c r="L26" i="10" s="1"/>
  <c r="M26" i="10" a="1"/>
  <c r="M26" i="10" s="1"/>
  <c r="N26" i="10" a="1"/>
  <c r="N26" i="10" s="1"/>
  <c r="O26" i="10" a="1"/>
  <c r="O26" i="10" s="1"/>
  <c r="P26" i="10" a="1"/>
  <c r="P26" i="10" s="1"/>
  <c r="J27" i="10" a="1"/>
  <c r="J27" i="10" s="1"/>
  <c r="K27" i="10" a="1"/>
  <c r="K27" i="10" s="1"/>
  <c r="L27" i="10" a="1"/>
  <c r="L27" i="10" s="1"/>
  <c r="M27" i="10" a="1"/>
  <c r="M27" i="10" s="1"/>
  <c r="N27" i="10" a="1"/>
  <c r="N27" i="10" s="1"/>
  <c r="O27" i="10" a="1"/>
  <c r="O27" i="10" s="1"/>
  <c r="P27" i="10" a="1"/>
  <c r="P27" i="10" s="1"/>
  <c r="J28" i="10" a="1"/>
  <c r="J28" i="10" s="1"/>
  <c r="K28" i="10" a="1"/>
  <c r="K28" i="10" s="1"/>
  <c r="L28" i="10" a="1"/>
  <c r="L28" i="10" s="1"/>
  <c r="M28" i="10" a="1"/>
  <c r="M28" i="10" s="1"/>
  <c r="N28" i="10" a="1"/>
  <c r="N28" i="10" s="1"/>
  <c r="O28" i="10" a="1"/>
  <c r="O28" i="10" s="1"/>
  <c r="P28" i="10" a="1"/>
  <c r="P28" i="10" s="1"/>
  <c r="J29" i="10" a="1"/>
  <c r="J29" i="10" s="1"/>
  <c r="K29" i="10" a="1"/>
  <c r="K29" i="10" s="1"/>
  <c r="L29" i="10" a="1"/>
  <c r="L29" i="10" s="1"/>
  <c r="M29" i="10" a="1"/>
  <c r="M29" i="10" s="1"/>
  <c r="N29" i="10" a="1"/>
  <c r="N29" i="10" s="1"/>
  <c r="O29" i="10" a="1"/>
  <c r="O29" i="10" s="1"/>
  <c r="P29" i="10" a="1"/>
  <c r="P29" i="10" s="1"/>
  <c r="J30" i="10" a="1"/>
  <c r="J30" i="10" s="1"/>
  <c r="K30" i="10" a="1"/>
  <c r="K30" i="10" s="1"/>
  <c r="L30" i="10" a="1"/>
  <c r="L30" i="10" s="1"/>
  <c r="M30" i="10" a="1"/>
  <c r="M30" i="10" s="1"/>
  <c r="N30" i="10" a="1"/>
  <c r="N30" i="10" s="1"/>
  <c r="O30" i="10" a="1"/>
  <c r="O30" i="10" s="1"/>
  <c r="P30" i="10" a="1"/>
  <c r="P30" i="10" s="1"/>
  <c r="J31" i="10" a="1"/>
  <c r="J31" i="10" s="1"/>
  <c r="K31" i="10" a="1"/>
  <c r="K31" i="10" s="1"/>
  <c r="L31" i="10" a="1"/>
  <c r="L31" i="10" s="1"/>
  <c r="M31" i="10" a="1"/>
  <c r="M31" i="10" s="1"/>
  <c r="N31" i="10" a="1"/>
  <c r="N31" i="10" s="1"/>
  <c r="O31" i="10" a="1"/>
  <c r="O31" i="10" s="1"/>
  <c r="P31" i="10" a="1"/>
  <c r="P31" i="10" s="1"/>
  <c r="J32" i="10" a="1"/>
  <c r="J32" i="10" s="1"/>
  <c r="K32" i="10" a="1"/>
  <c r="K32" i="10" s="1"/>
  <c r="L32" i="10" a="1"/>
  <c r="L32" i="10" s="1"/>
  <c r="M32" i="10" a="1"/>
  <c r="M32" i="10" s="1"/>
  <c r="N32" i="10" a="1"/>
  <c r="N32" i="10" s="1"/>
  <c r="O32" i="10" a="1"/>
  <c r="O32" i="10" s="1"/>
  <c r="P32" i="10" a="1"/>
  <c r="P32" i="10" s="1"/>
  <c r="J33" i="10" a="1"/>
  <c r="J33" i="10" s="1"/>
  <c r="K33" i="10" a="1"/>
  <c r="K33" i="10" s="1"/>
  <c r="L33" i="10" a="1"/>
  <c r="L33" i="10" s="1"/>
  <c r="M33" i="10" a="1"/>
  <c r="M33" i="10" s="1"/>
  <c r="N33" i="10" a="1"/>
  <c r="N33" i="10" s="1"/>
  <c r="O33" i="10" a="1"/>
  <c r="O33" i="10" s="1"/>
  <c r="P33" i="10" a="1"/>
  <c r="P33" i="10" s="1"/>
  <c r="J34" i="10" a="1"/>
  <c r="J34" i="10" s="1"/>
  <c r="K34" i="10" a="1"/>
  <c r="K34" i="10" s="1"/>
  <c r="L34" i="10" a="1"/>
  <c r="L34" i="10" s="1"/>
  <c r="M34" i="10" a="1"/>
  <c r="M34" i="10" s="1"/>
  <c r="N34" i="10" a="1"/>
  <c r="N34" i="10" s="1"/>
  <c r="O34" i="10" a="1"/>
  <c r="O34" i="10" s="1"/>
  <c r="P34" i="10" a="1"/>
  <c r="P34" i="10" s="1"/>
  <c r="J35" i="10" a="1"/>
  <c r="J35" i="10" s="1"/>
  <c r="K35" i="10" a="1"/>
  <c r="K35" i="10" s="1"/>
  <c r="L35" i="10" a="1"/>
  <c r="L35" i="10" s="1"/>
  <c r="M35" i="10" a="1"/>
  <c r="M35" i="10" s="1"/>
  <c r="N35" i="10" a="1"/>
  <c r="N35" i="10" s="1"/>
  <c r="O35" i="10" a="1"/>
  <c r="O35" i="10" s="1"/>
  <c r="P35" i="10" a="1"/>
  <c r="P35" i="10" s="1"/>
  <c r="J36" i="10" a="1"/>
  <c r="J36" i="10" s="1"/>
  <c r="K36" i="10" a="1"/>
  <c r="K36" i="10" s="1"/>
  <c r="L36" i="10" a="1"/>
  <c r="L36" i="10" s="1"/>
  <c r="M36" i="10" a="1"/>
  <c r="M36" i="10" s="1"/>
  <c r="N36" i="10" a="1"/>
  <c r="N36" i="10" s="1"/>
  <c r="O36" i="10" a="1"/>
  <c r="O36" i="10" s="1"/>
  <c r="P36" i="10" a="1"/>
  <c r="P36" i="10" s="1"/>
  <c r="J37" i="10" a="1"/>
  <c r="J37" i="10" s="1"/>
  <c r="K37" i="10" a="1"/>
  <c r="K37" i="10" s="1"/>
  <c r="L37" i="10" a="1"/>
  <c r="L37" i="10" s="1"/>
  <c r="M37" i="10" a="1"/>
  <c r="M37" i="10" s="1"/>
  <c r="N37" i="10" a="1"/>
  <c r="N37" i="10" s="1"/>
  <c r="O37" i="10" a="1"/>
  <c r="O37" i="10" s="1"/>
  <c r="P37" i="10" a="1"/>
  <c r="P37" i="10" s="1"/>
  <c r="J38" i="10" a="1"/>
  <c r="J38" i="10" s="1"/>
  <c r="K38" i="10" a="1"/>
  <c r="K38" i="10" s="1"/>
  <c r="L38" i="10" a="1"/>
  <c r="L38" i="10" s="1"/>
  <c r="M38" i="10" a="1"/>
  <c r="M38" i="10" s="1"/>
  <c r="N38" i="10" a="1"/>
  <c r="N38" i="10" s="1"/>
  <c r="O38" i="10" a="1"/>
  <c r="O38" i="10" s="1"/>
  <c r="P38" i="10" a="1"/>
  <c r="P38" i="10" s="1"/>
  <c r="J39" i="10" a="1"/>
  <c r="J39" i="10" s="1"/>
  <c r="K39" i="10" a="1"/>
  <c r="K39" i="10" s="1"/>
  <c r="L39" i="10" a="1"/>
  <c r="L39" i="10" s="1"/>
  <c r="M39" i="10" a="1"/>
  <c r="M39" i="10" s="1"/>
  <c r="N39" i="10" a="1"/>
  <c r="N39" i="10" s="1"/>
  <c r="O39" i="10" a="1"/>
  <c r="O39" i="10" s="1"/>
  <c r="P39" i="10" a="1"/>
  <c r="P39" i="10" s="1"/>
  <c r="J40" i="10" a="1"/>
  <c r="J40" i="10" s="1"/>
  <c r="K40" i="10" a="1"/>
  <c r="K40" i="10" s="1"/>
  <c r="L40" i="10" a="1"/>
  <c r="L40" i="10" s="1"/>
  <c r="M40" i="10" a="1"/>
  <c r="M40" i="10" s="1"/>
  <c r="N40" i="10" a="1"/>
  <c r="N40" i="10" s="1"/>
  <c r="O40" i="10" a="1"/>
  <c r="O40" i="10" s="1"/>
  <c r="P40" i="10" a="1"/>
  <c r="P40" i="10" s="1"/>
  <c r="J41" i="10" a="1"/>
  <c r="J41" i="10" s="1"/>
  <c r="K41" i="10" a="1"/>
  <c r="K41" i="10" s="1"/>
  <c r="L41" i="10" a="1"/>
  <c r="L41" i="10" s="1"/>
  <c r="M41" i="10" a="1"/>
  <c r="M41" i="10" s="1"/>
  <c r="N41" i="10" a="1"/>
  <c r="N41" i="10" s="1"/>
  <c r="O41" i="10" a="1"/>
  <c r="O41" i="10" s="1"/>
  <c r="P41" i="10" a="1"/>
  <c r="P41" i="10" s="1"/>
  <c r="J42" i="10" a="1"/>
  <c r="J42" i="10" s="1"/>
  <c r="K42" i="10" a="1"/>
  <c r="K42" i="10" s="1"/>
  <c r="L42" i="10" a="1"/>
  <c r="L42" i="10" s="1"/>
  <c r="M42" i="10" a="1"/>
  <c r="M42" i="10" s="1"/>
  <c r="N42" i="10" a="1"/>
  <c r="N42" i="10" s="1"/>
  <c r="O42" i="10" a="1"/>
  <c r="O42" i="10" s="1"/>
  <c r="P42" i="10" a="1"/>
  <c r="P42" i="10" s="1"/>
  <c r="J43" i="10" a="1"/>
  <c r="J43" i="10" s="1"/>
  <c r="K43" i="10" a="1"/>
  <c r="K43" i="10" s="1"/>
  <c r="L43" i="10" a="1"/>
  <c r="L43" i="10" s="1"/>
  <c r="M43" i="10" a="1"/>
  <c r="M43" i="10" s="1"/>
  <c r="N43" i="10" a="1"/>
  <c r="N43" i="10" s="1"/>
  <c r="O43" i="10" a="1"/>
  <c r="O43" i="10" s="1"/>
  <c r="P43" i="10" a="1"/>
  <c r="P43" i="10" s="1"/>
  <c r="J44" i="10" a="1"/>
  <c r="J44" i="10" s="1"/>
  <c r="K44" i="10" a="1"/>
  <c r="K44" i="10" s="1"/>
  <c r="L44" i="10" a="1"/>
  <c r="L44" i="10" s="1"/>
  <c r="M44" i="10" a="1"/>
  <c r="M44" i="10" s="1"/>
  <c r="N44" i="10" a="1"/>
  <c r="N44" i="10" s="1"/>
  <c r="O44" i="10" a="1"/>
  <c r="O44" i="10" s="1"/>
  <c r="P44" i="10" a="1"/>
  <c r="P44" i="10" s="1"/>
  <c r="J45" i="10" a="1"/>
  <c r="J45" i="10" s="1"/>
  <c r="K45" i="10" a="1"/>
  <c r="K45" i="10" s="1"/>
  <c r="L45" i="10" a="1"/>
  <c r="L45" i="10" s="1"/>
  <c r="M45" i="10" a="1"/>
  <c r="M45" i="10" s="1"/>
  <c r="N45" i="10" a="1"/>
  <c r="N45" i="10" s="1"/>
  <c r="O45" i="10" a="1"/>
  <c r="O45" i="10" s="1"/>
  <c r="P45" i="10" a="1"/>
  <c r="P45" i="10" s="1"/>
  <c r="J46" i="10" a="1"/>
  <c r="J46" i="10" s="1"/>
  <c r="K46" i="10" a="1"/>
  <c r="K46" i="10" s="1"/>
  <c r="L46" i="10" a="1"/>
  <c r="L46" i="10" s="1"/>
  <c r="M46" i="10" a="1"/>
  <c r="M46" i="10" s="1"/>
  <c r="N46" i="10" a="1"/>
  <c r="N46" i="10" s="1"/>
  <c r="O46" i="10" a="1"/>
  <c r="O46" i="10" s="1"/>
  <c r="P46" i="10" a="1"/>
  <c r="P46" i="10" s="1"/>
  <c r="J47" i="10" a="1"/>
  <c r="J47" i="10" s="1"/>
  <c r="K47" i="10" a="1"/>
  <c r="K47" i="10" s="1"/>
  <c r="L47" i="10" a="1"/>
  <c r="L47" i="10" s="1"/>
  <c r="M47" i="10" a="1"/>
  <c r="M47" i="10" s="1"/>
  <c r="N47" i="10" a="1"/>
  <c r="N47" i="10" s="1"/>
  <c r="O47" i="10" a="1"/>
  <c r="O47" i="10" s="1"/>
  <c r="P47" i="10" a="1"/>
  <c r="P47" i="10" s="1"/>
  <c r="J48" i="10" a="1"/>
  <c r="J48" i="10" s="1"/>
  <c r="K48" i="10" a="1"/>
  <c r="K48" i="10" s="1"/>
  <c r="L48" i="10" a="1"/>
  <c r="L48" i="10" s="1"/>
  <c r="M48" i="10" a="1"/>
  <c r="M48" i="10" s="1"/>
  <c r="N48" i="10" a="1"/>
  <c r="N48" i="10" s="1"/>
  <c r="O48" i="10" a="1"/>
  <c r="O48" i="10" s="1"/>
  <c r="P48" i="10" a="1"/>
  <c r="P48" i="10" s="1"/>
  <c r="J49" i="10" a="1"/>
  <c r="J49" i="10" s="1"/>
  <c r="K49" i="10" a="1"/>
  <c r="K49" i="10" s="1"/>
  <c r="L49" i="10" a="1"/>
  <c r="L49" i="10" s="1"/>
  <c r="M49" i="10" a="1"/>
  <c r="M49" i="10" s="1"/>
  <c r="N49" i="10" a="1"/>
  <c r="N49" i="10" s="1"/>
  <c r="O49" i="10" a="1"/>
  <c r="O49" i="10" s="1"/>
  <c r="P49" i="10" a="1"/>
  <c r="P49" i="10" s="1"/>
  <c r="J50" i="10" a="1"/>
  <c r="J50" i="10" s="1"/>
  <c r="K50" i="10" a="1"/>
  <c r="K50" i="10" s="1"/>
  <c r="L50" i="10" a="1"/>
  <c r="L50" i="10" s="1"/>
  <c r="M50" i="10" a="1"/>
  <c r="M50" i="10" s="1"/>
  <c r="N50" i="10" a="1"/>
  <c r="N50" i="10" s="1"/>
  <c r="O50" i="10" a="1"/>
  <c r="O50" i="10" s="1"/>
  <c r="P50" i="10" a="1"/>
  <c r="P50" i="10" s="1"/>
  <c r="J51" i="10" a="1"/>
  <c r="J51" i="10" s="1"/>
  <c r="K51" i="10" a="1"/>
  <c r="K51" i="10" s="1"/>
  <c r="L51" i="10" a="1"/>
  <c r="L51" i="10" s="1"/>
  <c r="M51" i="10" a="1"/>
  <c r="M51" i="10" s="1"/>
  <c r="N51" i="10" a="1"/>
  <c r="N51" i="10" s="1"/>
  <c r="O51" i="10" a="1"/>
  <c r="O51" i="10" s="1"/>
  <c r="P51" i="10" a="1"/>
  <c r="P51" i="10" s="1"/>
  <c r="J52" i="10" a="1"/>
  <c r="J52" i="10" s="1"/>
  <c r="K52" i="10" a="1"/>
  <c r="K52" i="10" s="1"/>
  <c r="L52" i="10" a="1"/>
  <c r="L52" i="10" s="1"/>
  <c r="M52" i="10" a="1"/>
  <c r="M52" i="10" s="1"/>
  <c r="N52" i="10" a="1"/>
  <c r="N52" i="10" s="1"/>
  <c r="O52" i="10" a="1"/>
  <c r="O52" i="10" s="1"/>
  <c r="P52" i="10" a="1"/>
  <c r="P52" i="10" s="1"/>
  <c r="J53" i="10" a="1"/>
  <c r="J53" i="10" s="1"/>
  <c r="K53" i="10" a="1"/>
  <c r="K53" i="10" s="1"/>
  <c r="L53" i="10" a="1"/>
  <c r="L53" i="10" s="1"/>
  <c r="M53" i="10" a="1"/>
  <c r="M53" i="10" s="1"/>
  <c r="N53" i="10" a="1"/>
  <c r="N53" i="10" s="1"/>
  <c r="O53" i="10" a="1"/>
  <c r="O53" i="10" s="1"/>
  <c r="P53" i="10" a="1"/>
  <c r="P53" i="10" s="1"/>
  <c r="J54" i="10" a="1"/>
  <c r="J54" i="10" s="1"/>
  <c r="K54" i="10" a="1"/>
  <c r="K54" i="10" s="1"/>
  <c r="L54" i="10" a="1"/>
  <c r="L54" i="10" s="1"/>
  <c r="M54" i="10" a="1"/>
  <c r="M54" i="10" s="1"/>
  <c r="N54" i="10" a="1"/>
  <c r="N54" i="10" s="1"/>
  <c r="O54" i="10" a="1"/>
  <c r="O54" i="10" s="1"/>
  <c r="P54" i="10" a="1"/>
  <c r="P54" i="10" s="1"/>
  <c r="J55" i="10" a="1"/>
  <c r="J55" i="10" s="1"/>
  <c r="K55" i="10" a="1"/>
  <c r="K55" i="10" s="1"/>
  <c r="L55" i="10" a="1"/>
  <c r="L55" i="10" s="1"/>
  <c r="M55" i="10" a="1"/>
  <c r="M55" i="10" s="1"/>
  <c r="N55" i="10" a="1"/>
  <c r="N55" i="10" s="1"/>
  <c r="O55" i="10" a="1"/>
  <c r="O55" i="10" s="1"/>
  <c r="P55" i="10" a="1"/>
  <c r="P55" i="10" s="1"/>
  <c r="J56" i="10" a="1"/>
  <c r="J56" i="10" s="1"/>
  <c r="K56" i="10" a="1"/>
  <c r="K56" i="10" s="1"/>
  <c r="L56" i="10" a="1"/>
  <c r="L56" i="10" s="1"/>
  <c r="M56" i="10" a="1"/>
  <c r="M56" i="10" s="1"/>
  <c r="N56" i="10" a="1"/>
  <c r="N56" i="10" s="1"/>
  <c r="O56" i="10" a="1"/>
  <c r="O56" i="10" s="1"/>
  <c r="P56" i="10" a="1"/>
  <c r="P56" i="10" s="1"/>
  <c r="J57" i="10" a="1"/>
  <c r="J57" i="10" s="1"/>
  <c r="K57" i="10" a="1"/>
  <c r="K57" i="10" s="1"/>
  <c r="L57" i="10" a="1"/>
  <c r="L57" i="10" s="1"/>
  <c r="M57" i="10" a="1"/>
  <c r="M57" i="10" s="1"/>
  <c r="N57" i="10" a="1"/>
  <c r="N57" i="10" s="1"/>
  <c r="O57" i="10" a="1"/>
  <c r="O57" i="10" s="1"/>
  <c r="P57" i="10" a="1"/>
  <c r="P57" i="10" s="1"/>
  <c r="K2" i="10" a="1"/>
  <c r="K2" i="10" s="1"/>
  <c r="L2" i="10" a="1"/>
  <c r="L2" i="10" s="1"/>
  <c r="M2" i="10" a="1"/>
  <c r="M2" i="10" s="1"/>
  <c r="N2" i="10" a="1"/>
  <c r="N2" i="10" s="1"/>
  <c r="O2" i="10" a="1"/>
  <c r="O2" i="10" s="1"/>
  <c r="P2" i="10" a="1"/>
  <c r="P2" i="10" s="1"/>
  <c r="J2" i="10" a="1"/>
  <c r="J2" i="10" s="1"/>
  <c r="QE31" i="9"/>
  <c r="QD31" i="9"/>
  <c r="QC31" i="9"/>
  <c r="QB31" i="9"/>
  <c r="QA31" i="9"/>
  <c r="PZ31" i="9"/>
  <c r="PY31" i="9"/>
  <c r="PW31" i="9"/>
  <c r="PV31" i="9"/>
  <c r="PU31" i="9"/>
  <c r="PT31" i="9"/>
  <c r="PS31" i="9"/>
  <c r="PR31" i="9"/>
  <c r="PQ31" i="9"/>
  <c r="PO31" i="9"/>
  <c r="PN31" i="9"/>
  <c r="PM31" i="9"/>
  <c r="PL31" i="9"/>
  <c r="PK31" i="9"/>
  <c r="PJ31" i="9"/>
  <c r="PI31" i="9"/>
  <c r="QE30" i="9"/>
  <c r="QD30" i="9"/>
  <c r="QC30" i="9"/>
  <c r="QB30" i="9"/>
  <c r="QA30" i="9"/>
  <c r="PZ30" i="9"/>
  <c r="PY30" i="9"/>
  <c r="PW30" i="9"/>
  <c r="PV30" i="9"/>
  <c r="PU30" i="9"/>
  <c r="PT30" i="9"/>
  <c r="PS30" i="9"/>
  <c r="PR30" i="9"/>
  <c r="PQ30" i="9"/>
  <c r="PO30" i="9"/>
  <c r="PN30" i="9"/>
  <c r="PM30" i="9"/>
  <c r="PL30" i="9"/>
  <c r="PK30" i="9"/>
  <c r="PJ30" i="9"/>
  <c r="PI30" i="9"/>
  <c r="QD29" i="9"/>
  <c r="QC29" i="9"/>
  <c r="QB29" i="9"/>
  <c r="QA29" i="9"/>
  <c r="PZ29" i="9"/>
  <c r="PV29" i="9"/>
  <c r="PU29" i="9"/>
  <c r="PT29" i="9"/>
  <c r="PS29" i="9"/>
  <c r="PR29" i="9"/>
  <c r="PN29" i="9"/>
  <c r="PM29" i="9"/>
  <c r="PL29" i="9"/>
  <c r="PK29" i="9"/>
  <c r="PJ29" i="9"/>
  <c r="QE28" i="9"/>
  <c r="QD28" i="9"/>
  <c r="QC28" i="9"/>
  <c r="QB28" i="9"/>
  <c r="QA28" i="9"/>
  <c r="PZ28" i="9"/>
  <c r="PY28" i="9"/>
  <c r="PW28" i="9"/>
  <c r="PV28" i="9"/>
  <c r="PU28" i="9"/>
  <c r="PT28" i="9"/>
  <c r="PS28" i="9"/>
  <c r="PR28" i="9"/>
  <c r="PQ28" i="9"/>
  <c r="PO28" i="9"/>
  <c r="PN28" i="9"/>
  <c r="PM28" i="9"/>
  <c r="PL28" i="9"/>
  <c r="PK28" i="9"/>
  <c r="PJ28" i="9"/>
  <c r="PI28" i="9"/>
  <c r="QE27" i="9"/>
  <c r="QD27" i="9"/>
  <c r="QC27" i="9"/>
  <c r="QB27" i="9"/>
  <c r="QA27" i="9"/>
  <c r="PZ27" i="9"/>
  <c r="PY27" i="9"/>
  <c r="PW27" i="9"/>
  <c r="PV27" i="9"/>
  <c r="PU27" i="9"/>
  <c r="PT27" i="9"/>
  <c r="PS27" i="9"/>
  <c r="PR27" i="9"/>
  <c r="PQ27" i="9"/>
  <c r="PO27" i="9"/>
  <c r="PN27" i="9"/>
  <c r="PM27" i="9"/>
  <c r="PL27" i="9"/>
  <c r="PK27" i="9"/>
  <c r="PJ27" i="9"/>
  <c r="PI27" i="9"/>
  <c r="QE26" i="9"/>
  <c r="QD26" i="9"/>
  <c r="QC26" i="9"/>
  <c r="QB26" i="9"/>
  <c r="QA26" i="9"/>
  <c r="PZ26" i="9"/>
  <c r="PW26" i="9"/>
  <c r="PV26" i="9"/>
  <c r="PU26" i="9"/>
  <c r="PT26" i="9"/>
  <c r="PS26" i="9"/>
  <c r="PR26" i="9"/>
  <c r="PO26" i="9"/>
  <c r="PN26" i="9"/>
  <c r="PM26" i="9"/>
  <c r="PL26" i="9"/>
  <c r="PK26" i="9"/>
  <c r="PJ26" i="9"/>
  <c r="PG31" i="9"/>
  <c r="PF31" i="9"/>
  <c r="PE31" i="9"/>
  <c r="PD31" i="9"/>
  <c r="PC31" i="9"/>
  <c r="PB31" i="9"/>
  <c r="PA31" i="9"/>
  <c r="OY31" i="9"/>
  <c r="OX31" i="9"/>
  <c r="OW31" i="9"/>
  <c r="OV31" i="9"/>
  <c r="OU31" i="9"/>
  <c r="OT31" i="9"/>
  <c r="OS31" i="9"/>
  <c r="OQ31" i="9"/>
  <c r="OP31" i="9"/>
  <c r="OO31" i="9"/>
  <c r="ON31" i="9"/>
  <c r="OM31" i="9"/>
  <c r="OL31" i="9"/>
  <c r="OK31" i="9"/>
  <c r="OI31" i="9"/>
  <c r="OH31" i="9"/>
  <c r="OG31" i="9"/>
  <c r="OF31" i="9"/>
  <c r="OE31" i="9"/>
  <c r="OD31" i="9"/>
  <c r="OC31" i="9"/>
  <c r="OA31" i="9"/>
  <c r="NZ31" i="9"/>
  <c r="NY31" i="9"/>
  <c r="NX31" i="9"/>
  <c r="NW31" i="9"/>
  <c r="NV31" i="9"/>
  <c r="NU31" i="9"/>
  <c r="NS31" i="9"/>
  <c r="NR31" i="9"/>
  <c r="NQ31" i="9"/>
  <c r="NP31" i="9"/>
  <c r="NO31" i="9"/>
  <c r="NN31" i="9"/>
  <c r="NM31" i="9"/>
  <c r="NK31" i="9"/>
  <c r="NJ31" i="9"/>
  <c r="NI31" i="9"/>
  <c r="NH31" i="9"/>
  <c r="NG31" i="9"/>
  <c r="NF31" i="9"/>
  <c r="NE31" i="9"/>
  <c r="NC31" i="9"/>
  <c r="NB31" i="9"/>
  <c r="NA31" i="9"/>
  <c r="MZ31" i="9"/>
  <c r="MY31" i="9"/>
  <c r="MX31" i="9"/>
  <c r="MW31" i="9"/>
  <c r="PG30" i="9"/>
  <c r="PF30" i="9"/>
  <c r="PE30" i="9"/>
  <c r="PD30" i="9"/>
  <c r="PC30" i="9"/>
  <c r="PB30" i="9"/>
  <c r="PA30" i="9"/>
  <c r="OY30" i="9"/>
  <c r="OX30" i="9"/>
  <c r="OW30" i="9"/>
  <c r="OV30" i="9"/>
  <c r="OU30" i="9"/>
  <c r="OT30" i="9"/>
  <c r="OS30" i="9"/>
  <c r="OQ30" i="9"/>
  <c r="OP30" i="9"/>
  <c r="OO30" i="9"/>
  <c r="ON30" i="9"/>
  <c r="OM30" i="9"/>
  <c r="OL30" i="9"/>
  <c r="OK30" i="9"/>
  <c r="OI30" i="9"/>
  <c r="OH30" i="9"/>
  <c r="OG30" i="9"/>
  <c r="OF30" i="9"/>
  <c r="OE30" i="9"/>
  <c r="OD30" i="9"/>
  <c r="OC30" i="9"/>
  <c r="OA30" i="9"/>
  <c r="NZ30" i="9"/>
  <c r="NY30" i="9"/>
  <c r="NX30" i="9"/>
  <c r="NW30" i="9"/>
  <c r="NV30" i="9"/>
  <c r="NU30" i="9"/>
  <c r="NS30" i="9"/>
  <c r="NR30" i="9"/>
  <c r="NQ30" i="9"/>
  <c r="NP30" i="9"/>
  <c r="NO30" i="9"/>
  <c r="NN30" i="9"/>
  <c r="NM30" i="9"/>
  <c r="NK30" i="9"/>
  <c r="NJ30" i="9"/>
  <c r="NI30" i="9"/>
  <c r="NH30" i="9"/>
  <c r="NG30" i="9"/>
  <c r="NF30" i="9"/>
  <c r="NE30" i="9"/>
  <c r="NC30" i="9"/>
  <c r="NB30" i="9"/>
  <c r="NA30" i="9"/>
  <c r="MZ30" i="9"/>
  <c r="MY30" i="9"/>
  <c r="MX30" i="9"/>
  <c r="MW30" i="9"/>
  <c r="PF29" i="9"/>
  <c r="PE29" i="9"/>
  <c r="PD29" i="9"/>
  <c r="PC29" i="9"/>
  <c r="PB29" i="9"/>
  <c r="OX29" i="9"/>
  <c r="OW29" i="9"/>
  <c r="OV29" i="9"/>
  <c r="OU29" i="9"/>
  <c r="OT29" i="9"/>
  <c r="OP29" i="9"/>
  <c r="OO29" i="9"/>
  <c r="ON29" i="9"/>
  <c r="OM29" i="9"/>
  <c r="OL29" i="9"/>
  <c r="OH29" i="9"/>
  <c r="OG29" i="9"/>
  <c r="OF29" i="9"/>
  <c r="OE29" i="9"/>
  <c r="OD29" i="9"/>
  <c r="NZ29" i="9"/>
  <c r="NY29" i="9"/>
  <c r="NX29" i="9"/>
  <c r="NW29" i="9"/>
  <c r="NV29" i="9"/>
  <c r="NR29" i="9"/>
  <c r="NQ29" i="9"/>
  <c r="NP29" i="9"/>
  <c r="NO29" i="9"/>
  <c r="NN29" i="9"/>
  <c r="NJ29" i="9"/>
  <c r="NI29" i="9"/>
  <c r="NH29" i="9"/>
  <c r="NG29" i="9"/>
  <c r="NF29" i="9"/>
  <c r="NB29" i="9"/>
  <c r="NA29" i="9"/>
  <c r="MZ29" i="9"/>
  <c r="MY29" i="9"/>
  <c r="MX29" i="9"/>
  <c r="PG28" i="9"/>
  <c r="PF28" i="9"/>
  <c r="PE28" i="9"/>
  <c r="PD28" i="9"/>
  <c r="PC28" i="9"/>
  <c r="PB28" i="9"/>
  <c r="PA28" i="9"/>
  <c r="OY28" i="9"/>
  <c r="OX28" i="9"/>
  <c r="OW28" i="9"/>
  <c r="OV28" i="9"/>
  <c r="OU28" i="9"/>
  <c r="OT28" i="9"/>
  <c r="OS28" i="9"/>
  <c r="OQ28" i="9"/>
  <c r="OP28" i="9"/>
  <c r="OO28" i="9"/>
  <c r="ON28" i="9"/>
  <c r="OM28" i="9"/>
  <c r="OL28" i="9"/>
  <c r="OK28" i="9"/>
  <c r="OI28" i="9"/>
  <c r="OH28" i="9"/>
  <c r="OG28" i="9"/>
  <c r="OF28" i="9"/>
  <c r="OE28" i="9"/>
  <c r="OD28" i="9"/>
  <c r="OC28" i="9"/>
  <c r="OA28" i="9"/>
  <c r="NZ28" i="9"/>
  <c r="NY28" i="9"/>
  <c r="NX28" i="9"/>
  <c r="NW28" i="9"/>
  <c r="NV28" i="9"/>
  <c r="NU28" i="9"/>
  <c r="NS28" i="9"/>
  <c r="NR28" i="9"/>
  <c r="NQ28" i="9"/>
  <c r="NP28" i="9"/>
  <c r="NO28" i="9"/>
  <c r="NN28" i="9"/>
  <c r="NM28" i="9"/>
  <c r="NK28" i="9"/>
  <c r="NJ28" i="9"/>
  <c r="NI28" i="9"/>
  <c r="NH28" i="9"/>
  <c r="NG28" i="9"/>
  <c r="NF28" i="9"/>
  <c r="NE28" i="9"/>
  <c r="NC28" i="9"/>
  <c r="NB28" i="9"/>
  <c r="NA28" i="9"/>
  <c r="MZ28" i="9"/>
  <c r="MY28" i="9"/>
  <c r="MX28" i="9"/>
  <c r="MW28" i="9"/>
  <c r="PG27" i="9"/>
  <c r="PF27" i="9"/>
  <c r="PE27" i="9"/>
  <c r="PD27" i="9"/>
  <c r="PC27" i="9"/>
  <c r="PB27" i="9"/>
  <c r="PA27" i="9"/>
  <c r="OY27" i="9"/>
  <c r="OX27" i="9"/>
  <c r="OW27" i="9"/>
  <c r="OV27" i="9"/>
  <c r="OU27" i="9"/>
  <c r="OT27" i="9"/>
  <c r="OS27" i="9"/>
  <c r="OQ27" i="9"/>
  <c r="OP27" i="9"/>
  <c r="OO27" i="9"/>
  <c r="ON27" i="9"/>
  <c r="OM27" i="9"/>
  <c r="OL27" i="9"/>
  <c r="OK27" i="9"/>
  <c r="OI27" i="9"/>
  <c r="OH27" i="9"/>
  <c r="OG27" i="9"/>
  <c r="OF27" i="9"/>
  <c r="OE27" i="9"/>
  <c r="OD27" i="9"/>
  <c r="OC27" i="9"/>
  <c r="OA27" i="9"/>
  <c r="NZ27" i="9"/>
  <c r="NY27" i="9"/>
  <c r="NX27" i="9"/>
  <c r="NW27" i="9"/>
  <c r="NV27" i="9"/>
  <c r="NU27" i="9"/>
  <c r="NS27" i="9"/>
  <c r="NR27" i="9"/>
  <c r="NQ27" i="9"/>
  <c r="NP27" i="9"/>
  <c r="NO27" i="9"/>
  <c r="NN27" i="9"/>
  <c r="NM27" i="9"/>
  <c r="NK27" i="9"/>
  <c r="NJ27" i="9"/>
  <c r="NI27" i="9"/>
  <c r="NH27" i="9"/>
  <c r="NG27" i="9"/>
  <c r="NF27" i="9"/>
  <c r="NE27" i="9"/>
  <c r="NC27" i="9"/>
  <c r="NB27" i="9"/>
  <c r="NA27" i="9"/>
  <c r="MZ27" i="9"/>
  <c r="MY27" i="9"/>
  <c r="MX27" i="9"/>
  <c r="MW27" i="9"/>
  <c r="PG26" i="9"/>
  <c r="PF26" i="9"/>
  <c r="PE26" i="9"/>
  <c r="PD26" i="9"/>
  <c r="PC26" i="9"/>
  <c r="PB26" i="9"/>
  <c r="OY26" i="9"/>
  <c r="OX26" i="9"/>
  <c r="OW26" i="9"/>
  <c r="OV26" i="9"/>
  <c r="OU26" i="9"/>
  <c r="OT26" i="9"/>
  <c r="OQ26" i="9"/>
  <c r="OP26" i="9"/>
  <c r="OO26" i="9"/>
  <c r="ON26" i="9"/>
  <c r="OM26" i="9"/>
  <c r="OL26" i="9"/>
  <c r="OI26" i="9"/>
  <c r="OH26" i="9"/>
  <c r="OG26" i="9"/>
  <c r="OF26" i="9"/>
  <c r="OE26" i="9"/>
  <c r="OD26" i="9"/>
  <c r="OA26" i="9"/>
  <c r="NZ26" i="9"/>
  <c r="NY26" i="9"/>
  <c r="NX26" i="9"/>
  <c r="NW26" i="9"/>
  <c r="NV26" i="9"/>
  <c r="NS26" i="9"/>
  <c r="NR26" i="9"/>
  <c r="NQ26" i="9"/>
  <c r="NP26" i="9"/>
  <c r="NO26" i="9"/>
  <c r="NN26" i="9"/>
  <c r="NK26" i="9"/>
  <c r="NJ26" i="9"/>
  <c r="NI26" i="9"/>
  <c r="NH26" i="9"/>
  <c r="NG26" i="9"/>
  <c r="NF26" i="9"/>
  <c r="NC26" i="9"/>
  <c r="NB26" i="9"/>
  <c r="NA26" i="9"/>
  <c r="MZ26" i="9"/>
  <c r="MY26" i="9"/>
  <c r="MX26" i="9"/>
  <c r="MU31" i="9"/>
  <c r="MT31" i="9"/>
  <c r="MS31" i="9"/>
  <c r="MR31" i="9"/>
  <c r="MQ31" i="9"/>
  <c r="MP31" i="9"/>
  <c r="MO31" i="9"/>
  <c r="MM31" i="9"/>
  <c r="ML31" i="9"/>
  <c r="MK31" i="9"/>
  <c r="MJ31" i="9"/>
  <c r="MI31" i="9"/>
  <c r="MH31" i="9"/>
  <c r="MG31" i="9"/>
  <c r="ME31" i="9"/>
  <c r="MD31" i="9"/>
  <c r="MC31" i="9"/>
  <c r="MB31" i="9"/>
  <c r="MA31" i="9"/>
  <c r="LZ31" i="9"/>
  <c r="LY31" i="9"/>
  <c r="LW31" i="9"/>
  <c r="LV31" i="9"/>
  <c r="LU31" i="9"/>
  <c r="LT31" i="9"/>
  <c r="LS31" i="9"/>
  <c r="LR31" i="9"/>
  <c r="LQ31" i="9"/>
  <c r="LO31" i="9"/>
  <c r="LN31" i="9"/>
  <c r="LM31" i="9"/>
  <c r="LL31" i="9"/>
  <c r="LK31" i="9"/>
  <c r="LJ31" i="9"/>
  <c r="LI31" i="9"/>
  <c r="LG31" i="9"/>
  <c r="LF31" i="9"/>
  <c r="LE31" i="9"/>
  <c r="LD31" i="9"/>
  <c r="LC31" i="9"/>
  <c r="LB31" i="9"/>
  <c r="LA31" i="9"/>
  <c r="KY31" i="9"/>
  <c r="KX31" i="9"/>
  <c r="KW31" i="9"/>
  <c r="KV31" i="9"/>
  <c r="KU31" i="9"/>
  <c r="KT31" i="9"/>
  <c r="KS31" i="9"/>
  <c r="KQ31" i="9"/>
  <c r="KP31" i="9"/>
  <c r="KO31" i="9"/>
  <c r="KN31" i="9"/>
  <c r="KM31" i="9"/>
  <c r="KL31" i="9"/>
  <c r="KK31" i="9"/>
  <c r="MU30" i="9"/>
  <c r="MT30" i="9"/>
  <c r="MS30" i="9"/>
  <c r="MR30" i="9"/>
  <c r="MQ30" i="9"/>
  <c r="MP30" i="9"/>
  <c r="MO30" i="9"/>
  <c r="MM30" i="9"/>
  <c r="ML30" i="9"/>
  <c r="MK30" i="9"/>
  <c r="MJ30" i="9"/>
  <c r="MI30" i="9"/>
  <c r="MH30" i="9"/>
  <c r="MG30" i="9"/>
  <c r="ME30" i="9"/>
  <c r="MD30" i="9"/>
  <c r="MC30" i="9"/>
  <c r="MB30" i="9"/>
  <c r="MA30" i="9"/>
  <c r="LZ30" i="9"/>
  <c r="LY30" i="9"/>
  <c r="LW30" i="9"/>
  <c r="LV30" i="9"/>
  <c r="LU30" i="9"/>
  <c r="LT30" i="9"/>
  <c r="LS30" i="9"/>
  <c r="LR30" i="9"/>
  <c r="LQ30" i="9"/>
  <c r="LO30" i="9"/>
  <c r="LN30" i="9"/>
  <c r="LM30" i="9"/>
  <c r="LL30" i="9"/>
  <c r="LK30" i="9"/>
  <c r="LJ30" i="9"/>
  <c r="LI30" i="9"/>
  <c r="LG30" i="9"/>
  <c r="LF30" i="9"/>
  <c r="LE30" i="9"/>
  <c r="LD30" i="9"/>
  <c r="LC30" i="9"/>
  <c r="LB30" i="9"/>
  <c r="LA30" i="9"/>
  <c r="KY30" i="9"/>
  <c r="KX30" i="9"/>
  <c r="KW30" i="9"/>
  <c r="KV30" i="9"/>
  <c r="KU30" i="9"/>
  <c r="KT30" i="9"/>
  <c r="KS30" i="9"/>
  <c r="KQ30" i="9"/>
  <c r="KP30" i="9"/>
  <c r="KO30" i="9"/>
  <c r="KN30" i="9"/>
  <c r="KM30" i="9"/>
  <c r="KL30" i="9"/>
  <c r="KK30" i="9"/>
  <c r="MT29" i="9"/>
  <c r="MS29" i="9"/>
  <c r="MR29" i="9"/>
  <c r="MQ29" i="9"/>
  <c r="MP29" i="9"/>
  <c r="ML29" i="9"/>
  <c r="MK29" i="9"/>
  <c r="MJ29" i="9"/>
  <c r="MI29" i="9"/>
  <c r="MH29" i="9"/>
  <c r="MD29" i="9"/>
  <c r="MC29" i="9"/>
  <c r="MB29" i="9"/>
  <c r="MA29" i="9"/>
  <c r="LZ29" i="9"/>
  <c r="LV29" i="9"/>
  <c r="LU29" i="9"/>
  <c r="LT29" i="9"/>
  <c r="LS29" i="9"/>
  <c r="LR29" i="9"/>
  <c r="LN29" i="9"/>
  <c r="LM29" i="9"/>
  <c r="LL29" i="9"/>
  <c r="LK29" i="9"/>
  <c r="LJ29" i="9"/>
  <c r="LF29" i="9"/>
  <c r="LE29" i="9"/>
  <c r="LD29" i="9"/>
  <c r="LC29" i="9"/>
  <c r="LB29" i="9"/>
  <c r="KX29" i="9"/>
  <c r="KW29" i="9"/>
  <c r="KV29" i="9"/>
  <c r="KU29" i="9"/>
  <c r="KT29" i="9"/>
  <c r="KP29" i="9"/>
  <c r="KO29" i="9"/>
  <c r="KN29" i="9"/>
  <c r="KM29" i="9"/>
  <c r="KL29" i="9"/>
  <c r="MU28" i="9"/>
  <c r="MT28" i="9"/>
  <c r="MS28" i="9"/>
  <c r="MR28" i="9"/>
  <c r="MQ28" i="9"/>
  <c r="MP28" i="9"/>
  <c r="MO28" i="9"/>
  <c r="MM28" i="9"/>
  <c r="ML28" i="9"/>
  <c r="MK28" i="9"/>
  <c r="MJ28" i="9"/>
  <c r="MI28" i="9"/>
  <c r="MH28" i="9"/>
  <c r="MG28" i="9"/>
  <c r="ME28" i="9"/>
  <c r="MD28" i="9"/>
  <c r="MC28" i="9"/>
  <c r="MB28" i="9"/>
  <c r="MA28" i="9"/>
  <c r="LZ28" i="9"/>
  <c r="LY28" i="9"/>
  <c r="LW28" i="9"/>
  <c r="LV28" i="9"/>
  <c r="LU28" i="9"/>
  <c r="LT28" i="9"/>
  <c r="LS28" i="9"/>
  <c r="LR28" i="9"/>
  <c r="LQ28" i="9"/>
  <c r="LO28" i="9"/>
  <c r="LN28" i="9"/>
  <c r="LM28" i="9"/>
  <c r="LL28" i="9"/>
  <c r="LK28" i="9"/>
  <c r="LJ28" i="9"/>
  <c r="LI28" i="9"/>
  <c r="LG28" i="9"/>
  <c r="LF28" i="9"/>
  <c r="LE28" i="9"/>
  <c r="LD28" i="9"/>
  <c r="LC28" i="9"/>
  <c r="LB28" i="9"/>
  <c r="LA28" i="9"/>
  <c r="KY28" i="9"/>
  <c r="KX28" i="9"/>
  <c r="KW28" i="9"/>
  <c r="KV28" i="9"/>
  <c r="KU28" i="9"/>
  <c r="KT28" i="9"/>
  <c r="KS28" i="9"/>
  <c r="KQ28" i="9"/>
  <c r="KP28" i="9"/>
  <c r="KO28" i="9"/>
  <c r="KN28" i="9"/>
  <c r="KM28" i="9"/>
  <c r="KL28" i="9"/>
  <c r="KK28" i="9"/>
  <c r="MU27" i="9"/>
  <c r="MT27" i="9"/>
  <c r="MS27" i="9"/>
  <c r="MR27" i="9"/>
  <c r="MQ27" i="9"/>
  <c r="MP27" i="9"/>
  <c r="MO27" i="9"/>
  <c r="MM27" i="9"/>
  <c r="ML27" i="9"/>
  <c r="MK27" i="9"/>
  <c r="MJ27" i="9"/>
  <c r="MI27" i="9"/>
  <c r="MH27" i="9"/>
  <c r="MG27" i="9"/>
  <c r="ME27" i="9"/>
  <c r="MD27" i="9"/>
  <c r="MC27" i="9"/>
  <c r="MB27" i="9"/>
  <c r="MA27" i="9"/>
  <c r="LZ27" i="9"/>
  <c r="LY27" i="9"/>
  <c r="LW27" i="9"/>
  <c r="LV27" i="9"/>
  <c r="LU27" i="9"/>
  <c r="LT27" i="9"/>
  <c r="LS27" i="9"/>
  <c r="LR27" i="9"/>
  <c r="LQ27" i="9"/>
  <c r="LO27" i="9"/>
  <c r="LN27" i="9"/>
  <c r="LM27" i="9"/>
  <c r="LL27" i="9"/>
  <c r="LK27" i="9"/>
  <c r="LJ27" i="9"/>
  <c r="LI27" i="9"/>
  <c r="LG27" i="9"/>
  <c r="LF27" i="9"/>
  <c r="LE27" i="9"/>
  <c r="LD27" i="9"/>
  <c r="LC27" i="9"/>
  <c r="LB27" i="9"/>
  <c r="LA27" i="9"/>
  <c r="KY27" i="9"/>
  <c r="KX27" i="9"/>
  <c r="KW27" i="9"/>
  <c r="KV27" i="9"/>
  <c r="KU27" i="9"/>
  <c r="KT27" i="9"/>
  <c r="KS27" i="9"/>
  <c r="KQ27" i="9"/>
  <c r="KP27" i="9"/>
  <c r="KO27" i="9"/>
  <c r="KN27" i="9"/>
  <c r="KM27" i="9"/>
  <c r="KL27" i="9"/>
  <c r="KK27" i="9"/>
  <c r="MU26" i="9"/>
  <c r="MT26" i="9"/>
  <c r="MS26" i="9"/>
  <c r="MR26" i="9"/>
  <c r="MQ26" i="9"/>
  <c r="MP26" i="9"/>
  <c r="MM26" i="9"/>
  <c r="ML26" i="9"/>
  <c r="MK26" i="9"/>
  <c r="MJ26" i="9"/>
  <c r="MI26" i="9"/>
  <c r="MH26" i="9"/>
  <c r="ME26" i="9"/>
  <c r="MD26" i="9"/>
  <c r="MC26" i="9"/>
  <c r="MB26" i="9"/>
  <c r="MA26" i="9"/>
  <c r="LZ26" i="9"/>
  <c r="LW26" i="9"/>
  <c r="LV26" i="9"/>
  <c r="LU26" i="9"/>
  <c r="LT26" i="9"/>
  <c r="LS26" i="9"/>
  <c r="LR26" i="9"/>
  <c r="LO26" i="9"/>
  <c r="LN26" i="9"/>
  <c r="LM26" i="9"/>
  <c r="LL26" i="9"/>
  <c r="LK26" i="9"/>
  <c r="LJ26" i="9"/>
  <c r="LG26" i="9"/>
  <c r="LF26" i="9"/>
  <c r="LE26" i="9"/>
  <c r="LD26" i="9"/>
  <c r="LC26" i="9"/>
  <c r="LB26" i="9"/>
  <c r="KY26" i="9"/>
  <c r="KX26" i="9"/>
  <c r="KW26" i="9"/>
  <c r="KV26" i="9"/>
  <c r="KU26" i="9"/>
  <c r="KT26" i="9"/>
  <c r="KQ26" i="9"/>
  <c r="KP26" i="9"/>
  <c r="KO26" i="9"/>
  <c r="KN26" i="9"/>
  <c r="KM26" i="9"/>
  <c r="KL26" i="9"/>
  <c r="KI31" i="9"/>
  <c r="KH31" i="9"/>
  <c r="KG31" i="9"/>
  <c r="KF31" i="9"/>
  <c r="KE31" i="9"/>
  <c r="KD31" i="9"/>
  <c r="KC31" i="9"/>
  <c r="KA31" i="9"/>
  <c r="JZ31" i="9"/>
  <c r="JY31" i="9"/>
  <c r="JX31" i="9"/>
  <c r="JW31" i="9"/>
  <c r="JV31" i="9"/>
  <c r="JU31" i="9"/>
  <c r="JS31" i="9"/>
  <c r="JR31" i="9"/>
  <c r="JQ31" i="9"/>
  <c r="JP31" i="9"/>
  <c r="JO31" i="9"/>
  <c r="JN31" i="9"/>
  <c r="JM31" i="9"/>
  <c r="JK31" i="9"/>
  <c r="JJ31" i="9"/>
  <c r="JI31" i="9"/>
  <c r="JH31" i="9"/>
  <c r="JG31" i="9"/>
  <c r="JF31" i="9"/>
  <c r="JE31" i="9"/>
  <c r="JC31" i="9"/>
  <c r="JB31" i="9"/>
  <c r="JA31" i="9"/>
  <c r="IZ31" i="9"/>
  <c r="IY31" i="9"/>
  <c r="IX31" i="9"/>
  <c r="IW31" i="9"/>
  <c r="IU31" i="9"/>
  <c r="IT31" i="9"/>
  <c r="IS31" i="9"/>
  <c r="IR31" i="9"/>
  <c r="IQ31" i="9"/>
  <c r="IP31" i="9"/>
  <c r="IO31" i="9"/>
  <c r="IM31" i="9"/>
  <c r="IL31" i="9"/>
  <c r="IK31" i="9"/>
  <c r="IJ31" i="9"/>
  <c r="II31" i="9"/>
  <c r="IH31" i="9"/>
  <c r="IG31" i="9"/>
  <c r="IE31" i="9"/>
  <c r="ID31" i="9"/>
  <c r="IC31" i="9"/>
  <c r="IB31" i="9"/>
  <c r="IA31" i="9"/>
  <c r="HZ31" i="9"/>
  <c r="HY31" i="9"/>
  <c r="KI30" i="9"/>
  <c r="KH30" i="9"/>
  <c r="KG30" i="9"/>
  <c r="KF30" i="9"/>
  <c r="KE30" i="9"/>
  <c r="KD30" i="9"/>
  <c r="KC30" i="9"/>
  <c r="KA30" i="9"/>
  <c r="JZ30" i="9"/>
  <c r="JY30" i="9"/>
  <c r="JX30" i="9"/>
  <c r="JW30" i="9"/>
  <c r="JV30" i="9"/>
  <c r="JU30" i="9"/>
  <c r="JS30" i="9"/>
  <c r="JR30" i="9"/>
  <c r="JQ30" i="9"/>
  <c r="JP30" i="9"/>
  <c r="JO30" i="9"/>
  <c r="JN30" i="9"/>
  <c r="JM30" i="9"/>
  <c r="JK30" i="9"/>
  <c r="JJ30" i="9"/>
  <c r="JI30" i="9"/>
  <c r="JH30" i="9"/>
  <c r="JG30" i="9"/>
  <c r="JF30" i="9"/>
  <c r="JE30" i="9"/>
  <c r="JC30" i="9"/>
  <c r="JB30" i="9"/>
  <c r="JA30" i="9"/>
  <c r="IZ30" i="9"/>
  <c r="IY30" i="9"/>
  <c r="IX30" i="9"/>
  <c r="IW30" i="9"/>
  <c r="IU30" i="9"/>
  <c r="IT30" i="9"/>
  <c r="IS30" i="9"/>
  <c r="IR30" i="9"/>
  <c r="IQ30" i="9"/>
  <c r="IP30" i="9"/>
  <c r="IO30" i="9"/>
  <c r="IM30" i="9"/>
  <c r="IL30" i="9"/>
  <c r="IK30" i="9"/>
  <c r="IJ30" i="9"/>
  <c r="II30" i="9"/>
  <c r="IH30" i="9"/>
  <c r="IG30" i="9"/>
  <c r="IE30" i="9"/>
  <c r="ID30" i="9"/>
  <c r="IC30" i="9"/>
  <c r="IB30" i="9"/>
  <c r="IA30" i="9"/>
  <c r="HZ30" i="9"/>
  <c r="HY30" i="9"/>
  <c r="KH29" i="9"/>
  <c r="KG29" i="9"/>
  <c r="KF29" i="9"/>
  <c r="KE29" i="9"/>
  <c r="KD29" i="9"/>
  <c r="JZ29" i="9"/>
  <c r="JY29" i="9"/>
  <c r="JX29" i="9"/>
  <c r="JW29" i="9"/>
  <c r="JV29" i="9"/>
  <c r="JR29" i="9"/>
  <c r="JQ29" i="9"/>
  <c r="JP29" i="9"/>
  <c r="JO29" i="9"/>
  <c r="JN29" i="9"/>
  <c r="JJ29" i="9"/>
  <c r="JI29" i="9"/>
  <c r="JH29" i="9"/>
  <c r="JG29" i="9"/>
  <c r="JF29" i="9"/>
  <c r="JB29" i="9"/>
  <c r="JA29" i="9"/>
  <c r="IZ29" i="9"/>
  <c r="IY29" i="9"/>
  <c r="IX29" i="9"/>
  <c r="IT29" i="9"/>
  <c r="IS29" i="9"/>
  <c r="IR29" i="9"/>
  <c r="IQ29" i="9"/>
  <c r="IP29" i="9"/>
  <c r="IL29" i="9"/>
  <c r="IK29" i="9"/>
  <c r="IJ29" i="9"/>
  <c r="II29" i="9"/>
  <c r="IH29" i="9"/>
  <c r="ID29" i="9"/>
  <c r="IC29" i="9"/>
  <c r="IB29" i="9"/>
  <c r="IA29" i="9"/>
  <c r="HZ29" i="9"/>
  <c r="KI28" i="9"/>
  <c r="KH28" i="9"/>
  <c r="KG28" i="9"/>
  <c r="KF28" i="9"/>
  <c r="KE28" i="9"/>
  <c r="KD28" i="9"/>
  <c r="KC28" i="9"/>
  <c r="KA28" i="9"/>
  <c r="JZ28" i="9"/>
  <c r="JY28" i="9"/>
  <c r="JX28" i="9"/>
  <c r="JW28" i="9"/>
  <c r="JV28" i="9"/>
  <c r="JU28" i="9"/>
  <c r="JS28" i="9"/>
  <c r="JR28" i="9"/>
  <c r="JQ28" i="9"/>
  <c r="JP28" i="9"/>
  <c r="JO28" i="9"/>
  <c r="JN28" i="9"/>
  <c r="JM28" i="9"/>
  <c r="JK28" i="9"/>
  <c r="JJ28" i="9"/>
  <c r="JI28" i="9"/>
  <c r="JH28" i="9"/>
  <c r="JG28" i="9"/>
  <c r="JF28" i="9"/>
  <c r="JE28" i="9"/>
  <c r="JC28" i="9"/>
  <c r="JB28" i="9"/>
  <c r="JA28" i="9"/>
  <c r="IZ28" i="9"/>
  <c r="IY28" i="9"/>
  <c r="IX28" i="9"/>
  <c r="IW28" i="9"/>
  <c r="IU28" i="9"/>
  <c r="IT28" i="9"/>
  <c r="IS28" i="9"/>
  <c r="IR28" i="9"/>
  <c r="IQ28" i="9"/>
  <c r="IP28" i="9"/>
  <c r="IO28" i="9"/>
  <c r="IM28" i="9"/>
  <c r="IL28" i="9"/>
  <c r="IK28" i="9"/>
  <c r="IJ28" i="9"/>
  <c r="II28" i="9"/>
  <c r="IH28" i="9"/>
  <c r="IG28" i="9"/>
  <c r="IE28" i="9"/>
  <c r="ID28" i="9"/>
  <c r="IC28" i="9"/>
  <c r="IB28" i="9"/>
  <c r="IA28" i="9"/>
  <c r="HZ28" i="9"/>
  <c r="HY28" i="9"/>
  <c r="KI27" i="9"/>
  <c r="KH27" i="9"/>
  <c r="KG27" i="9"/>
  <c r="KF27" i="9"/>
  <c r="KE27" i="9"/>
  <c r="KD27" i="9"/>
  <c r="KC27" i="9"/>
  <c r="KA27" i="9"/>
  <c r="JZ27" i="9"/>
  <c r="JY27" i="9"/>
  <c r="JX27" i="9"/>
  <c r="JW27" i="9"/>
  <c r="JV27" i="9"/>
  <c r="JU27" i="9"/>
  <c r="JS27" i="9"/>
  <c r="JR27" i="9"/>
  <c r="JQ27" i="9"/>
  <c r="JP27" i="9"/>
  <c r="JO27" i="9"/>
  <c r="JN27" i="9"/>
  <c r="JM27" i="9"/>
  <c r="JK27" i="9"/>
  <c r="JJ27" i="9"/>
  <c r="JI27" i="9"/>
  <c r="JH27" i="9"/>
  <c r="JG27" i="9"/>
  <c r="JF27" i="9"/>
  <c r="JE27" i="9"/>
  <c r="JC27" i="9"/>
  <c r="JB27" i="9"/>
  <c r="JA27" i="9"/>
  <c r="IZ27" i="9"/>
  <c r="IY27" i="9"/>
  <c r="IX27" i="9"/>
  <c r="IW27" i="9"/>
  <c r="IU27" i="9"/>
  <c r="IT27" i="9"/>
  <c r="IS27" i="9"/>
  <c r="IR27" i="9"/>
  <c r="IQ27" i="9"/>
  <c r="IP27" i="9"/>
  <c r="IO27" i="9"/>
  <c r="IM27" i="9"/>
  <c r="IL27" i="9"/>
  <c r="IK27" i="9"/>
  <c r="IJ27" i="9"/>
  <c r="II27" i="9"/>
  <c r="IH27" i="9"/>
  <c r="IG27" i="9"/>
  <c r="IE27" i="9"/>
  <c r="ID27" i="9"/>
  <c r="IC27" i="9"/>
  <c r="IB27" i="9"/>
  <c r="IA27" i="9"/>
  <c r="HZ27" i="9"/>
  <c r="HY27" i="9"/>
  <c r="KI26" i="9"/>
  <c r="KH26" i="9"/>
  <c r="KG26" i="9"/>
  <c r="KF26" i="9"/>
  <c r="KE26" i="9"/>
  <c r="KD26" i="9"/>
  <c r="KA26" i="9"/>
  <c r="JZ26" i="9"/>
  <c r="JY26" i="9"/>
  <c r="JX26" i="9"/>
  <c r="JW26" i="9"/>
  <c r="JV26" i="9"/>
  <c r="JS26" i="9"/>
  <c r="JR26" i="9"/>
  <c r="JQ26" i="9"/>
  <c r="JP26" i="9"/>
  <c r="JO26" i="9"/>
  <c r="JN26" i="9"/>
  <c r="JK26" i="9"/>
  <c r="JJ26" i="9"/>
  <c r="JI26" i="9"/>
  <c r="JH26" i="9"/>
  <c r="JG26" i="9"/>
  <c r="JF26" i="9"/>
  <c r="JC26" i="9"/>
  <c r="JB26" i="9"/>
  <c r="JA26" i="9"/>
  <c r="IZ26" i="9"/>
  <c r="IY26" i="9"/>
  <c r="IX26" i="9"/>
  <c r="IU26" i="9"/>
  <c r="IT26" i="9"/>
  <c r="IS26" i="9"/>
  <c r="IR26" i="9"/>
  <c r="IQ26" i="9"/>
  <c r="IP26" i="9"/>
  <c r="IM26" i="9"/>
  <c r="IL26" i="9"/>
  <c r="IK26" i="9"/>
  <c r="IJ26" i="9"/>
  <c r="II26" i="9"/>
  <c r="IH26" i="9"/>
  <c r="IE26" i="9"/>
  <c r="ID26" i="9"/>
  <c r="IC26" i="9"/>
  <c r="IB26" i="9"/>
  <c r="IA26" i="9"/>
  <c r="HZ26" i="9"/>
  <c r="HW31" i="9"/>
  <c r="HV31" i="9"/>
  <c r="HU31" i="9"/>
  <c r="HT31" i="9"/>
  <c r="HS31" i="9"/>
  <c r="HR31" i="9"/>
  <c r="HQ31" i="9"/>
  <c r="HW30" i="9"/>
  <c r="HV30" i="9"/>
  <c r="HU30" i="9"/>
  <c r="HT30" i="9"/>
  <c r="HS30" i="9"/>
  <c r="HR30" i="9"/>
  <c r="HQ30" i="9"/>
  <c r="HV29" i="9"/>
  <c r="HU29" i="9"/>
  <c r="HT29" i="9"/>
  <c r="HS29" i="9"/>
  <c r="HR29" i="9"/>
  <c r="HW28" i="9"/>
  <c r="HV28" i="9"/>
  <c r="HU28" i="9"/>
  <c r="HT28" i="9"/>
  <c r="HS28" i="9"/>
  <c r="HR28" i="9"/>
  <c r="HQ28" i="9"/>
  <c r="HW27" i="9"/>
  <c r="HV27" i="9"/>
  <c r="HU27" i="9"/>
  <c r="HT27" i="9"/>
  <c r="HS27" i="9"/>
  <c r="HR27" i="9"/>
  <c r="HQ27" i="9"/>
  <c r="HW26" i="9"/>
  <c r="HV26" i="9"/>
  <c r="HU26" i="9"/>
  <c r="HT26" i="9"/>
  <c r="HS26" i="9"/>
  <c r="HR26" i="9"/>
  <c r="HO31" i="9"/>
  <c r="HN31" i="9"/>
  <c r="HM31" i="9"/>
  <c r="HL31" i="9"/>
  <c r="HK31" i="9"/>
  <c r="HJ31" i="9"/>
  <c r="HI31" i="9"/>
  <c r="HO30" i="9"/>
  <c r="HN30" i="9"/>
  <c r="HM30" i="9"/>
  <c r="HL30" i="9"/>
  <c r="HK30" i="9"/>
  <c r="HJ30" i="9"/>
  <c r="HI30" i="9"/>
  <c r="HN29" i="9"/>
  <c r="HM29" i="9"/>
  <c r="HL29" i="9"/>
  <c r="HK29" i="9"/>
  <c r="HJ29" i="9"/>
  <c r="HO28" i="9"/>
  <c r="HN28" i="9"/>
  <c r="HM28" i="9"/>
  <c r="HL28" i="9"/>
  <c r="HK28" i="9"/>
  <c r="HJ28" i="9"/>
  <c r="HI28" i="9"/>
  <c r="HO27" i="9"/>
  <c r="HN27" i="9"/>
  <c r="HM27" i="9"/>
  <c r="HL27" i="9"/>
  <c r="HK27" i="9"/>
  <c r="HJ27" i="9"/>
  <c r="HI27" i="9"/>
  <c r="HO26" i="9"/>
  <c r="HN26" i="9"/>
  <c r="HM26" i="9"/>
  <c r="HL26" i="9"/>
  <c r="HK26" i="9"/>
  <c r="HJ26" i="9"/>
  <c r="HG31" i="9"/>
  <c r="HF31" i="9"/>
  <c r="HE31" i="9"/>
  <c r="HD31" i="9"/>
  <c r="HC31" i="9"/>
  <c r="HB31" i="9"/>
  <c r="HA31" i="9"/>
  <c r="HG30" i="9"/>
  <c r="HF30" i="9"/>
  <c r="HE30" i="9"/>
  <c r="HD30" i="9"/>
  <c r="HC30" i="9"/>
  <c r="HB30" i="9"/>
  <c r="HA30" i="9"/>
  <c r="HF29" i="9"/>
  <c r="HE29" i="9"/>
  <c r="HD29" i="9"/>
  <c r="HC29" i="9"/>
  <c r="HB29" i="9"/>
  <c r="HG28" i="9"/>
  <c r="HF28" i="9"/>
  <c r="HE28" i="9"/>
  <c r="HD28" i="9"/>
  <c r="HC28" i="9"/>
  <c r="HB28" i="9"/>
  <c r="HA28" i="9"/>
  <c r="HG27" i="9"/>
  <c r="HF27" i="9"/>
  <c r="HE27" i="9"/>
  <c r="HD27" i="9"/>
  <c r="HC27" i="9"/>
  <c r="HB27" i="9"/>
  <c r="HA27" i="9"/>
  <c r="HG26" i="9"/>
  <c r="HF26" i="9"/>
  <c r="HE26" i="9"/>
  <c r="HD26" i="9"/>
  <c r="HC26" i="9"/>
  <c r="HB26" i="9"/>
  <c r="GY31" i="9"/>
  <c r="GX31" i="9"/>
  <c r="GW31" i="9"/>
  <c r="GV31" i="9"/>
  <c r="GU31" i="9"/>
  <c r="GT31" i="9"/>
  <c r="GS31" i="9"/>
  <c r="GY30" i="9"/>
  <c r="GX30" i="9"/>
  <c r="GW30" i="9"/>
  <c r="GV30" i="9"/>
  <c r="GU30" i="9"/>
  <c r="GT30" i="9"/>
  <c r="GS30" i="9"/>
  <c r="GX29" i="9"/>
  <c r="GW29" i="9"/>
  <c r="GV29" i="9"/>
  <c r="GU29" i="9"/>
  <c r="GT29" i="9"/>
  <c r="GY28" i="9"/>
  <c r="GX28" i="9"/>
  <c r="GW28" i="9"/>
  <c r="GV28" i="9"/>
  <c r="GU28" i="9"/>
  <c r="GT28" i="9"/>
  <c r="GS28" i="9"/>
  <c r="GY27" i="9"/>
  <c r="GX27" i="9"/>
  <c r="GW27" i="9"/>
  <c r="GV27" i="9"/>
  <c r="GU27" i="9"/>
  <c r="GT27" i="9"/>
  <c r="GS27" i="9"/>
  <c r="GY26" i="9"/>
  <c r="GX26" i="9"/>
  <c r="GW26" i="9"/>
  <c r="GV26" i="9"/>
  <c r="GU26" i="9"/>
  <c r="GT26" i="9"/>
  <c r="GQ31" i="9"/>
  <c r="GP31" i="9"/>
  <c r="GO31" i="9"/>
  <c r="GN31" i="9"/>
  <c r="GM31" i="9"/>
  <c r="GL31" i="9"/>
  <c r="GK31" i="9"/>
  <c r="GQ30" i="9"/>
  <c r="GP30" i="9"/>
  <c r="GO30" i="9"/>
  <c r="GN30" i="9"/>
  <c r="GM30" i="9"/>
  <c r="GL30" i="9"/>
  <c r="GK30" i="9"/>
  <c r="GP29" i="9"/>
  <c r="GO29" i="9"/>
  <c r="GN29" i="9"/>
  <c r="GM29" i="9"/>
  <c r="GL29" i="9"/>
  <c r="GQ28" i="9"/>
  <c r="GP28" i="9"/>
  <c r="GO28" i="9"/>
  <c r="GN28" i="9"/>
  <c r="GM28" i="9"/>
  <c r="GL28" i="9"/>
  <c r="GK28" i="9"/>
  <c r="GQ27" i="9"/>
  <c r="GP27" i="9"/>
  <c r="GO27" i="9"/>
  <c r="GN27" i="9"/>
  <c r="GM27" i="9"/>
  <c r="GL27" i="9"/>
  <c r="GK27" i="9"/>
  <c r="GQ26" i="9"/>
  <c r="GP26" i="9"/>
  <c r="GO26" i="9"/>
  <c r="GN26" i="9"/>
  <c r="GM26" i="9"/>
  <c r="GL26" i="9"/>
  <c r="GI31" i="9"/>
  <c r="GH31" i="9"/>
  <c r="GG31" i="9"/>
  <c r="GF31" i="9"/>
  <c r="GE31" i="9"/>
  <c r="GD31" i="9"/>
  <c r="GC31" i="9"/>
  <c r="GI30" i="9"/>
  <c r="GH30" i="9"/>
  <c r="GG30" i="9"/>
  <c r="GF30" i="9"/>
  <c r="GE30" i="9"/>
  <c r="GD30" i="9"/>
  <c r="GC30" i="9"/>
  <c r="GH29" i="9"/>
  <c r="GG29" i="9"/>
  <c r="GF29" i="9"/>
  <c r="GE29" i="9"/>
  <c r="GD29" i="9"/>
  <c r="GI28" i="9"/>
  <c r="GH28" i="9"/>
  <c r="GG28" i="9"/>
  <c r="GF28" i="9"/>
  <c r="GE28" i="9"/>
  <c r="GD28" i="9"/>
  <c r="GC28" i="9"/>
  <c r="GI27" i="9"/>
  <c r="GH27" i="9"/>
  <c r="GG27" i="9"/>
  <c r="GF27" i="9"/>
  <c r="GE27" i="9"/>
  <c r="GD27" i="9"/>
  <c r="GC27" i="9"/>
  <c r="GI26" i="9"/>
  <c r="GH26" i="9"/>
  <c r="GG26" i="9"/>
  <c r="GF26" i="9"/>
  <c r="GE26" i="9"/>
  <c r="GD26" i="9"/>
  <c r="GA31" i="9"/>
  <c r="FZ31" i="9"/>
  <c r="FY31" i="9"/>
  <c r="FX31" i="9"/>
  <c r="FW31" i="9"/>
  <c r="FV31" i="9"/>
  <c r="FU31" i="9"/>
  <c r="GA30" i="9"/>
  <c r="FZ30" i="9"/>
  <c r="FY30" i="9"/>
  <c r="FX30" i="9"/>
  <c r="FW30" i="9"/>
  <c r="FV30" i="9"/>
  <c r="FU30" i="9"/>
  <c r="FZ29" i="9"/>
  <c r="FY29" i="9"/>
  <c r="FX29" i="9"/>
  <c r="FW29" i="9"/>
  <c r="FV29" i="9"/>
  <c r="GA28" i="9"/>
  <c r="FZ28" i="9"/>
  <c r="FY28" i="9"/>
  <c r="FX28" i="9"/>
  <c r="FW28" i="9"/>
  <c r="FV28" i="9"/>
  <c r="FU28" i="9"/>
  <c r="GA27" i="9"/>
  <c r="FZ27" i="9"/>
  <c r="FY27" i="9"/>
  <c r="FX27" i="9"/>
  <c r="FW27" i="9"/>
  <c r="FV27" i="9"/>
  <c r="FU27" i="9"/>
  <c r="GA26" i="9"/>
  <c r="FZ26" i="9"/>
  <c r="FY26" i="9"/>
  <c r="FX26" i="9"/>
  <c r="FW26" i="9"/>
  <c r="FV26" i="9"/>
  <c r="FS31" i="9"/>
  <c r="FR31" i="9"/>
  <c r="FQ31" i="9"/>
  <c r="FP31" i="9"/>
  <c r="FO31" i="9"/>
  <c r="FN31" i="9"/>
  <c r="FM31" i="9"/>
  <c r="FS30" i="9"/>
  <c r="FR30" i="9"/>
  <c r="FQ30" i="9"/>
  <c r="FP30" i="9"/>
  <c r="FO30" i="9"/>
  <c r="FN30" i="9"/>
  <c r="FM30" i="9"/>
  <c r="FR29" i="9"/>
  <c r="FQ29" i="9"/>
  <c r="FP29" i="9"/>
  <c r="FO29" i="9"/>
  <c r="FN29" i="9"/>
  <c r="FS28" i="9"/>
  <c r="FR28" i="9"/>
  <c r="FQ28" i="9"/>
  <c r="FP28" i="9"/>
  <c r="FO28" i="9"/>
  <c r="FN28" i="9"/>
  <c r="FM28" i="9"/>
  <c r="FS27" i="9"/>
  <c r="FR27" i="9"/>
  <c r="FQ27" i="9"/>
  <c r="FP27" i="9"/>
  <c r="FO27" i="9"/>
  <c r="FN27" i="9"/>
  <c r="FM27" i="9"/>
  <c r="FS26" i="9"/>
  <c r="FR26" i="9"/>
  <c r="FQ26" i="9"/>
  <c r="FP26" i="9"/>
  <c r="FO26" i="9"/>
  <c r="FN26" i="9"/>
  <c r="FK31" i="9"/>
  <c r="FJ31" i="9"/>
  <c r="FI31" i="9"/>
  <c r="FH31" i="9"/>
  <c r="FG31" i="9"/>
  <c r="FF31" i="9"/>
  <c r="FE31" i="9"/>
  <c r="FK30" i="9"/>
  <c r="FJ30" i="9"/>
  <c r="FI30" i="9"/>
  <c r="FH30" i="9"/>
  <c r="FG30" i="9"/>
  <c r="FF30" i="9"/>
  <c r="FE30" i="9"/>
  <c r="FJ29" i="9"/>
  <c r="FI29" i="9"/>
  <c r="FH29" i="9"/>
  <c r="FG29" i="9"/>
  <c r="FF29" i="9"/>
  <c r="FK28" i="9"/>
  <c r="FJ28" i="9"/>
  <c r="FI28" i="9"/>
  <c r="FH28" i="9"/>
  <c r="FG28" i="9"/>
  <c r="FF28" i="9"/>
  <c r="FE28" i="9"/>
  <c r="FK27" i="9"/>
  <c r="FJ27" i="9"/>
  <c r="FI27" i="9"/>
  <c r="FH27" i="9"/>
  <c r="FG27" i="9"/>
  <c r="FF27" i="9"/>
  <c r="FE27" i="9"/>
  <c r="FK26" i="9"/>
  <c r="FJ26" i="9"/>
  <c r="FI26" i="9"/>
  <c r="FH26" i="9"/>
  <c r="FG26" i="9"/>
  <c r="FF26" i="9"/>
  <c r="FC31" i="9"/>
  <c r="FB31" i="9"/>
  <c r="FA31" i="9"/>
  <c r="EZ31" i="9"/>
  <c r="EY31" i="9"/>
  <c r="EX31" i="9"/>
  <c r="EW31" i="9"/>
  <c r="FC30" i="9"/>
  <c r="FB30" i="9"/>
  <c r="FA30" i="9"/>
  <c r="EZ30" i="9"/>
  <c r="EY30" i="9"/>
  <c r="EX30" i="9"/>
  <c r="EW30" i="9"/>
  <c r="FB29" i="9"/>
  <c r="FA29" i="9"/>
  <c r="EZ29" i="9"/>
  <c r="EY29" i="9"/>
  <c r="EX29" i="9"/>
  <c r="FC28" i="9"/>
  <c r="FB28" i="9"/>
  <c r="FA28" i="9"/>
  <c r="EZ28" i="9"/>
  <c r="EY28" i="9"/>
  <c r="EX28" i="9"/>
  <c r="EW28" i="9"/>
  <c r="FC27" i="9"/>
  <c r="FB27" i="9"/>
  <c r="FA27" i="9"/>
  <c r="EZ27" i="9"/>
  <c r="EY27" i="9"/>
  <c r="EX27" i="9"/>
  <c r="EW27" i="9"/>
  <c r="FC26" i="9"/>
  <c r="FB26" i="9"/>
  <c r="FA26" i="9"/>
  <c r="EZ26" i="9"/>
  <c r="EY26" i="9"/>
  <c r="EX26" i="9"/>
  <c r="EU31" i="9"/>
  <c r="ET31" i="9"/>
  <c r="ES31" i="9"/>
  <c r="ER31" i="9"/>
  <c r="EQ31" i="9"/>
  <c r="EP31" i="9"/>
  <c r="EO31" i="9"/>
  <c r="EU30" i="9"/>
  <c r="ET30" i="9"/>
  <c r="ES30" i="9"/>
  <c r="ER30" i="9"/>
  <c r="EQ30" i="9"/>
  <c r="EP30" i="9"/>
  <c r="EO30" i="9"/>
  <c r="ET29" i="9"/>
  <c r="ES29" i="9"/>
  <c r="ER29" i="9"/>
  <c r="EQ29" i="9"/>
  <c r="EP29" i="9"/>
  <c r="EU28" i="9"/>
  <c r="ET28" i="9"/>
  <c r="ES28" i="9"/>
  <c r="ER28" i="9"/>
  <c r="EQ28" i="9"/>
  <c r="EP28" i="9"/>
  <c r="EO28" i="9"/>
  <c r="EU27" i="9"/>
  <c r="ET27" i="9"/>
  <c r="ES27" i="9"/>
  <c r="ER27" i="9"/>
  <c r="EQ27" i="9"/>
  <c r="EP27" i="9"/>
  <c r="EO27" i="9"/>
  <c r="EU26" i="9"/>
  <c r="ET26" i="9"/>
  <c r="ES26" i="9"/>
  <c r="ER26" i="9"/>
  <c r="EQ26" i="9"/>
  <c r="EP26" i="9"/>
  <c r="EM31" i="9"/>
  <c r="EL31" i="9"/>
  <c r="EK31" i="9"/>
  <c r="EJ31" i="9"/>
  <c r="EI31" i="9"/>
  <c r="EH31" i="9"/>
  <c r="EG31" i="9"/>
  <c r="EM30" i="9"/>
  <c r="EL30" i="9"/>
  <c r="EK30" i="9"/>
  <c r="EJ30" i="9"/>
  <c r="EI30" i="9"/>
  <c r="EH30" i="9"/>
  <c r="EG30" i="9"/>
  <c r="EL29" i="9"/>
  <c r="EK29" i="9"/>
  <c r="EJ29" i="9"/>
  <c r="EI29" i="9"/>
  <c r="EH29" i="9"/>
  <c r="EM28" i="9"/>
  <c r="EL28" i="9"/>
  <c r="EK28" i="9"/>
  <c r="EJ28" i="9"/>
  <c r="EI28" i="9"/>
  <c r="EH28" i="9"/>
  <c r="EG28" i="9"/>
  <c r="EM27" i="9"/>
  <c r="EL27" i="9"/>
  <c r="EK27" i="9"/>
  <c r="EJ27" i="9"/>
  <c r="EI27" i="9"/>
  <c r="EH27" i="9"/>
  <c r="EG27" i="9"/>
  <c r="EM26" i="9"/>
  <c r="EL26" i="9"/>
  <c r="EK26" i="9"/>
  <c r="EJ26" i="9"/>
  <c r="EI26" i="9"/>
  <c r="EH26" i="9"/>
  <c r="EE31" i="9"/>
  <c r="ED31" i="9"/>
  <c r="EC31" i="9"/>
  <c r="EB31" i="9"/>
  <c r="EA31" i="9"/>
  <c r="DZ31" i="9"/>
  <c r="DY31" i="9"/>
  <c r="EE30" i="9"/>
  <c r="ED30" i="9"/>
  <c r="EC30" i="9"/>
  <c r="EB30" i="9"/>
  <c r="EA30" i="9"/>
  <c r="DZ30" i="9"/>
  <c r="DY30" i="9"/>
  <c r="ED29" i="9"/>
  <c r="EC29" i="9"/>
  <c r="EB29" i="9"/>
  <c r="EA29" i="9"/>
  <c r="DZ29" i="9"/>
  <c r="EE28" i="9"/>
  <c r="ED28" i="9"/>
  <c r="EC28" i="9"/>
  <c r="EB28" i="9"/>
  <c r="EA28" i="9"/>
  <c r="DZ28" i="9"/>
  <c r="DY28" i="9"/>
  <c r="EE27" i="9"/>
  <c r="ED27" i="9"/>
  <c r="EC27" i="9"/>
  <c r="EB27" i="9"/>
  <c r="EA27" i="9"/>
  <c r="DZ27" i="9"/>
  <c r="DY27" i="9"/>
  <c r="EE26" i="9"/>
  <c r="ED26" i="9"/>
  <c r="EC26" i="9"/>
  <c r="EB26" i="9"/>
  <c r="EA26" i="9"/>
  <c r="DZ26" i="9"/>
  <c r="DW31" i="9"/>
  <c r="DV31" i="9"/>
  <c r="DU31" i="9"/>
  <c r="DT31" i="9"/>
  <c r="DS31" i="9"/>
  <c r="DR31" i="9"/>
  <c r="DQ31" i="9"/>
  <c r="DW30" i="9"/>
  <c r="DV30" i="9"/>
  <c r="DU30" i="9"/>
  <c r="DT30" i="9"/>
  <c r="DS30" i="9"/>
  <c r="DR30" i="9"/>
  <c r="DQ30" i="9"/>
  <c r="DV29" i="9"/>
  <c r="DU29" i="9"/>
  <c r="DT29" i="9"/>
  <c r="DS29" i="9"/>
  <c r="DR29" i="9"/>
  <c r="DW28" i="9"/>
  <c r="DV28" i="9"/>
  <c r="DU28" i="9"/>
  <c r="DT28" i="9"/>
  <c r="DS28" i="9"/>
  <c r="DR28" i="9"/>
  <c r="DQ28" i="9"/>
  <c r="DW27" i="9"/>
  <c r="DV27" i="9"/>
  <c r="DU27" i="9"/>
  <c r="DT27" i="9"/>
  <c r="DS27" i="9"/>
  <c r="DR27" i="9"/>
  <c r="DQ27" i="9"/>
  <c r="DW26" i="9"/>
  <c r="DV26" i="9"/>
  <c r="DU26" i="9"/>
  <c r="DT26" i="9"/>
  <c r="DS26" i="9"/>
  <c r="DR26" i="9"/>
  <c r="DO31" i="9"/>
  <c r="DN31" i="9"/>
  <c r="DM31" i="9"/>
  <c r="DL31" i="9"/>
  <c r="DK31" i="9"/>
  <c r="DJ31" i="9"/>
  <c r="DI31" i="9"/>
  <c r="DO30" i="9"/>
  <c r="DN30" i="9"/>
  <c r="DM30" i="9"/>
  <c r="DL30" i="9"/>
  <c r="DK30" i="9"/>
  <c r="DJ30" i="9"/>
  <c r="DI30" i="9"/>
  <c r="DN29" i="9"/>
  <c r="DM29" i="9"/>
  <c r="DL29" i="9"/>
  <c r="DK29" i="9"/>
  <c r="DJ29" i="9"/>
  <c r="DO28" i="9"/>
  <c r="DN28" i="9"/>
  <c r="DM28" i="9"/>
  <c r="DL28" i="9"/>
  <c r="DK28" i="9"/>
  <c r="DJ28" i="9"/>
  <c r="DI28" i="9"/>
  <c r="DO27" i="9"/>
  <c r="DN27" i="9"/>
  <c r="DM27" i="9"/>
  <c r="DL27" i="9"/>
  <c r="DK27" i="9"/>
  <c r="DJ27" i="9"/>
  <c r="DI27" i="9"/>
  <c r="DO26" i="9"/>
  <c r="DN26" i="9"/>
  <c r="DM26" i="9"/>
  <c r="DL26" i="9"/>
  <c r="DK26" i="9"/>
  <c r="DJ26" i="9"/>
  <c r="DG31" i="9"/>
  <c r="DF31" i="9"/>
  <c r="DE31" i="9"/>
  <c r="DD31" i="9"/>
  <c r="DC31" i="9"/>
  <c r="DB31" i="9"/>
  <c r="DA31" i="9"/>
  <c r="DG30" i="9"/>
  <c r="DF30" i="9"/>
  <c r="DE30" i="9"/>
  <c r="DD30" i="9"/>
  <c r="DC30" i="9"/>
  <c r="DB30" i="9"/>
  <c r="DA30" i="9"/>
  <c r="DF29" i="9"/>
  <c r="DE29" i="9"/>
  <c r="DD29" i="9"/>
  <c r="DC29" i="9"/>
  <c r="DB29" i="9"/>
  <c r="DG28" i="9"/>
  <c r="DF28" i="9"/>
  <c r="DE28" i="9"/>
  <c r="DD28" i="9"/>
  <c r="DC28" i="9"/>
  <c r="DB28" i="9"/>
  <c r="DA28" i="9"/>
  <c r="DG27" i="9"/>
  <c r="DF27" i="9"/>
  <c r="DE27" i="9"/>
  <c r="DD27" i="9"/>
  <c r="DC27" i="9"/>
  <c r="DB27" i="9"/>
  <c r="DA27" i="9"/>
  <c r="DG26" i="9"/>
  <c r="DF26" i="9"/>
  <c r="DE26" i="9"/>
  <c r="DD26" i="9"/>
  <c r="DC26" i="9"/>
  <c r="DB26" i="9"/>
  <c r="CY31" i="9"/>
  <c r="CX31" i="9"/>
  <c r="CW31" i="9"/>
  <c r="CV31" i="9"/>
  <c r="CU31" i="9"/>
  <c r="CT31" i="9"/>
  <c r="CS31" i="9"/>
  <c r="CY30" i="9"/>
  <c r="CX30" i="9"/>
  <c r="CW30" i="9"/>
  <c r="CV30" i="9"/>
  <c r="CU30" i="9"/>
  <c r="CT30" i="9"/>
  <c r="CS30" i="9"/>
  <c r="CX29" i="9"/>
  <c r="CW29" i="9"/>
  <c r="CV29" i="9"/>
  <c r="CU29" i="9"/>
  <c r="CT29" i="9"/>
  <c r="CY28" i="9"/>
  <c r="CX28" i="9"/>
  <c r="CW28" i="9"/>
  <c r="CV28" i="9"/>
  <c r="CU28" i="9"/>
  <c r="CT28" i="9"/>
  <c r="CS28" i="9"/>
  <c r="CY27" i="9"/>
  <c r="CX27" i="9"/>
  <c r="CW27" i="9"/>
  <c r="CV27" i="9"/>
  <c r="CU27" i="9"/>
  <c r="CT27" i="9"/>
  <c r="CS27" i="9"/>
  <c r="CY26" i="9"/>
  <c r="CX26" i="9"/>
  <c r="CW26" i="9"/>
  <c r="CV26" i="9"/>
  <c r="CU26" i="9"/>
  <c r="CT26" i="9"/>
  <c r="CQ31" i="9"/>
  <c r="CP31" i="9"/>
  <c r="CO31" i="9"/>
  <c r="CN31" i="9"/>
  <c r="CM31" i="9"/>
  <c r="CL31" i="9"/>
  <c r="CK31" i="9"/>
  <c r="CQ30" i="9"/>
  <c r="CP30" i="9"/>
  <c r="CO30" i="9"/>
  <c r="CN30" i="9"/>
  <c r="CM30" i="9"/>
  <c r="CL30" i="9"/>
  <c r="CK30" i="9"/>
  <c r="CP29" i="9"/>
  <c r="CO29" i="9"/>
  <c r="CN29" i="9"/>
  <c r="CM29" i="9"/>
  <c r="CL29" i="9"/>
  <c r="CQ28" i="9"/>
  <c r="CP28" i="9"/>
  <c r="CO28" i="9"/>
  <c r="CN28" i="9"/>
  <c r="CM28" i="9"/>
  <c r="CL28" i="9"/>
  <c r="CK28" i="9"/>
  <c r="CQ27" i="9"/>
  <c r="CP27" i="9"/>
  <c r="CO27" i="9"/>
  <c r="CN27" i="9"/>
  <c r="CM27" i="9"/>
  <c r="CL27" i="9"/>
  <c r="CK27" i="9"/>
  <c r="CQ26" i="9"/>
  <c r="CP26" i="9"/>
  <c r="CO26" i="9"/>
  <c r="CN26" i="9"/>
  <c r="CM26" i="9"/>
  <c r="CL26" i="9"/>
  <c r="CI31" i="9"/>
  <c r="CH31" i="9"/>
  <c r="CG31" i="9"/>
  <c r="CF31" i="9"/>
  <c r="CE31" i="9"/>
  <c r="CD31" i="9"/>
  <c r="CC31" i="9"/>
  <c r="CI30" i="9"/>
  <c r="CH30" i="9"/>
  <c r="CG30" i="9"/>
  <c r="CF30" i="9"/>
  <c r="CE30" i="9"/>
  <c r="CD30" i="9"/>
  <c r="CC30" i="9"/>
  <c r="CH29" i="9"/>
  <c r="CG29" i="9"/>
  <c r="CF29" i="9"/>
  <c r="CE29" i="9"/>
  <c r="CD29" i="9"/>
  <c r="CI28" i="9"/>
  <c r="CH28" i="9"/>
  <c r="CG28" i="9"/>
  <c r="CF28" i="9"/>
  <c r="CE28" i="9"/>
  <c r="CD28" i="9"/>
  <c r="CC28" i="9"/>
  <c r="CI27" i="9"/>
  <c r="CH27" i="9"/>
  <c r="CG27" i="9"/>
  <c r="CF27" i="9"/>
  <c r="CE27" i="9"/>
  <c r="CD27" i="9"/>
  <c r="CC27" i="9"/>
  <c r="CI26" i="9"/>
  <c r="CH26" i="9"/>
  <c r="CG26" i="9"/>
  <c r="CF26" i="9"/>
  <c r="CE26" i="9"/>
  <c r="CD26" i="9"/>
  <c r="CA31" i="9"/>
  <c r="BZ31" i="9"/>
  <c r="BY31" i="9"/>
  <c r="BX31" i="9"/>
  <c r="BW31" i="9"/>
  <c r="BV31" i="9"/>
  <c r="BU31" i="9"/>
  <c r="CA30" i="9"/>
  <c r="BZ30" i="9"/>
  <c r="BY30" i="9"/>
  <c r="BX30" i="9"/>
  <c r="BW30" i="9"/>
  <c r="BV30" i="9"/>
  <c r="BU30" i="9"/>
  <c r="BZ29" i="9"/>
  <c r="BY29" i="9"/>
  <c r="BX29" i="9"/>
  <c r="BW29" i="9"/>
  <c r="BV29" i="9"/>
  <c r="CA28" i="9"/>
  <c r="BZ28" i="9"/>
  <c r="BY28" i="9"/>
  <c r="BX28" i="9"/>
  <c r="BW28" i="9"/>
  <c r="BV28" i="9"/>
  <c r="BU28" i="9"/>
  <c r="CA27" i="9"/>
  <c r="BZ27" i="9"/>
  <c r="BY27" i="9"/>
  <c r="BX27" i="9"/>
  <c r="BW27" i="9"/>
  <c r="BV27" i="9"/>
  <c r="BU27" i="9"/>
  <c r="CA26" i="9"/>
  <c r="BZ26" i="9"/>
  <c r="BY26" i="9"/>
  <c r="BX26" i="9"/>
  <c r="BW26" i="9"/>
  <c r="BV26" i="9"/>
  <c r="BS31" i="9"/>
  <c r="BR31" i="9"/>
  <c r="BQ31" i="9"/>
  <c r="BP31" i="9"/>
  <c r="BO31" i="9"/>
  <c r="BN31" i="9"/>
  <c r="BM31" i="9"/>
  <c r="BS30" i="9"/>
  <c r="BR30" i="9"/>
  <c r="BQ30" i="9"/>
  <c r="BP30" i="9"/>
  <c r="BO30" i="9"/>
  <c r="BN30" i="9"/>
  <c r="BM30" i="9"/>
  <c r="BR29" i="9"/>
  <c r="BQ29" i="9"/>
  <c r="BP29" i="9"/>
  <c r="BO29" i="9"/>
  <c r="BN29" i="9"/>
  <c r="BS28" i="9"/>
  <c r="BR28" i="9"/>
  <c r="BQ28" i="9"/>
  <c r="BP28" i="9"/>
  <c r="BO28" i="9"/>
  <c r="BN28" i="9"/>
  <c r="BM28" i="9"/>
  <c r="BS27" i="9"/>
  <c r="BR27" i="9"/>
  <c r="BQ27" i="9"/>
  <c r="BP27" i="9"/>
  <c r="BO27" i="9"/>
  <c r="BN27" i="9"/>
  <c r="BM27" i="9"/>
  <c r="BS26" i="9"/>
  <c r="BR26" i="9"/>
  <c r="BQ26" i="9"/>
  <c r="BP26" i="9"/>
  <c r="BO26" i="9"/>
  <c r="BN26" i="9"/>
  <c r="BK31" i="9"/>
  <c r="BJ31" i="9"/>
  <c r="BI31" i="9"/>
  <c r="BH31" i="9"/>
  <c r="BG31" i="9"/>
  <c r="BF31" i="9"/>
  <c r="BE31" i="9"/>
  <c r="BK30" i="9"/>
  <c r="BJ30" i="9"/>
  <c r="BI30" i="9"/>
  <c r="BH30" i="9"/>
  <c r="BG30" i="9"/>
  <c r="BF30" i="9"/>
  <c r="BE30" i="9"/>
  <c r="BJ29" i="9"/>
  <c r="BI29" i="9"/>
  <c r="BH29" i="9"/>
  <c r="BG29" i="9"/>
  <c r="BF29" i="9"/>
  <c r="BK28" i="9"/>
  <c r="BJ28" i="9"/>
  <c r="BI28" i="9"/>
  <c r="BH28" i="9"/>
  <c r="BG28" i="9"/>
  <c r="BF28" i="9"/>
  <c r="BE28" i="9"/>
  <c r="BK27" i="9"/>
  <c r="BJ27" i="9"/>
  <c r="BI27" i="9"/>
  <c r="BH27" i="9"/>
  <c r="BG27" i="9"/>
  <c r="BF27" i="9"/>
  <c r="BE27" i="9"/>
  <c r="BK26" i="9"/>
  <c r="BJ26" i="9"/>
  <c r="BI26" i="9"/>
  <c r="BH26" i="9"/>
  <c r="BG26" i="9"/>
  <c r="BF26" i="9"/>
  <c r="BC31" i="9"/>
  <c r="BB31" i="9"/>
  <c r="BA31" i="9"/>
  <c r="AZ31" i="9"/>
  <c r="AY31" i="9"/>
  <c r="AX31" i="9"/>
  <c r="AW31" i="9"/>
  <c r="BC30" i="9"/>
  <c r="BB30" i="9"/>
  <c r="BA30" i="9"/>
  <c r="AZ30" i="9"/>
  <c r="AY30" i="9"/>
  <c r="AX30" i="9"/>
  <c r="AW30" i="9"/>
  <c r="BB29" i="9"/>
  <c r="BA29" i="9"/>
  <c r="AZ29" i="9"/>
  <c r="AY29" i="9"/>
  <c r="AX29" i="9"/>
  <c r="BC28" i="9"/>
  <c r="BB28" i="9"/>
  <c r="BA28" i="9"/>
  <c r="AZ28" i="9"/>
  <c r="AY28" i="9"/>
  <c r="AX28" i="9"/>
  <c r="AW28" i="9"/>
  <c r="BC27" i="9"/>
  <c r="BB27" i="9"/>
  <c r="BA27" i="9"/>
  <c r="AZ27" i="9"/>
  <c r="AY27" i="9"/>
  <c r="AX27" i="9"/>
  <c r="AW27" i="9"/>
  <c r="BC26" i="9"/>
  <c r="BB26" i="9"/>
  <c r="BA26" i="9"/>
  <c r="AZ26" i="9"/>
  <c r="AY26" i="9"/>
  <c r="AX26" i="9"/>
  <c r="AU31" i="9"/>
  <c r="AT31" i="9"/>
  <c r="AS31" i="9"/>
  <c r="AR31" i="9"/>
  <c r="AQ31" i="9"/>
  <c r="AP31" i="9"/>
  <c r="AO31" i="9"/>
  <c r="AU30" i="9"/>
  <c r="AT30" i="9"/>
  <c r="AS30" i="9"/>
  <c r="AR30" i="9"/>
  <c r="AQ30" i="9"/>
  <c r="AP30" i="9"/>
  <c r="AO30" i="9"/>
  <c r="AT29" i="9"/>
  <c r="AS29" i="9"/>
  <c r="AR29" i="9"/>
  <c r="AQ29" i="9"/>
  <c r="AP29" i="9"/>
  <c r="AU28" i="9"/>
  <c r="AT28" i="9"/>
  <c r="AS28" i="9"/>
  <c r="AR28" i="9"/>
  <c r="AQ28" i="9"/>
  <c r="AP28" i="9"/>
  <c r="AO28" i="9"/>
  <c r="AU27" i="9"/>
  <c r="AT27" i="9"/>
  <c r="AS27" i="9"/>
  <c r="AR27" i="9"/>
  <c r="AQ27" i="9"/>
  <c r="AP27" i="9"/>
  <c r="AO27" i="9"/>
  <c r="AU26" i="9"/>
  <c r="AT26" i="9"/>
  <c r="AS26" i="9"/>
  <c r="AR26" i="9"/>
  <c r="AQ26" i="9"/>
  <c r="AP26" i="9"/>
  <c r="AM31" i="9"/>
  <c r="AL31" i="9"/>
  <c r="AK31" i="9"/>
  <c r="AJ31" i="9"/>
  <c r="AI31" i="9"/>
  <c r="AH31" i="9"/>
  <c r="AG31" i="9"/>
  <c r="AM30" i="9"/>
  <c r="AL30" i="9"/>
  <c r="AK30" i="9"/>
  <c r="AJ30" i="9"/>
  <c r="AI30" i="9"/>
  <c r="AH30" i="9"/>
  <c r="AG30" i="9"/>
  <c r="AL29" i="9"/>
  <c r="AK29" i="9"/>
  <c r="AJ29" i="9"/>
  <c r="AI29" i="9"/>
  <c r="AH29" i="9"/>
  <c r="AM28" i="9"/>
  <c r="AL28" i="9"/>
  <c r="AK28" i="9"/>
  <c r="AJ28" i="9"/>
  <c r="AI28" i="9"/>
  <c r="AH28" i="9"/>
  <c r="AG28" i="9"/>
  <c r="AM27" i="9"/>
  <c r="AL27" i="9"/>
  <c r="AK27" i="9"/>
  <c r="AJ27" i="9"/>
  <c r="AI27" i="9"/>
  <c r="AH27" i="9"/>
  <c r="AG27" i="9"/>
  <c r="AM26" i="9"/>
  <c r="AL26" i="9"/>
  <c r="AK26" i="9"/>
  <c r="AJ26" i="9"/>
  <c r="AI26" i="9"/>
  <c r="AH26" i="9"/>
  <c r="AE31" i="9"/>
  <c r="AD31" i="9"/>
  <c r="AC31" i="9"/>
  <c r="AB31" i="9"/>
  <c r="AA31" i="9"/>
  <c r="Z31" i="9"/>
  <c r="Y31" i="9"/>
  <c r="AE30" i="9"/>
  <c r="AD30" i="9"/>
  <c r="AC30" i="9"/>
  <c r="AB30" i="9"/>
  <c r="AA30" i="9"/>
  <c r="Z30" i="9"/>
  <c r="Y30" i="9"/>
  <c r="AD29" i="9"/>
  <c r="AC29" i="9"/>
  <c r="AB29" i="9"/>
  <c r="AA29" i="9"/>
  <c r="Z29" i="9"/>
  <c r="AE28" i="9"/>
  <c r="AD28" i="9"/>
  <c r="AC28" i="9"/>
  <c r="AB28" i="9"/>
  <c r="AA28" i="9"/>
  <c r="Z28" i="9"/>
  <c r="Y28" i="9"/>
  <c r="AE27" i="9"/>
  <c r="AD27" i="9"/>
  <c r="AC27" i="9"/>
  <c r="AB27" i="9"/>
  <c r="AA27" i="9"/>
  <c r="Z27" i="9"/>
  <c r="Y27" i="9"/>
  <c r="AE26" i="9"/>
  <c r="AD26" i="9"/>
  <c r="AC26" i="9"/>
  <c r="AB26" i="9"/>
  <c r="AA26" i="9"/>
  <c r="Z26" i="9"/>
  <c r="W31" i="9"/>
  <c r="V31" i="9"/>
  <c r="U31" i="9"/>
  <c r="T31" i="9"/>
  <c r="S31" i="9"/>
  <c r="R31" i="9"/>
  <c r="Q31" i="9"/>
  <c r="W30" i="9"/>
  <c r="V30" i="9"/>
  <c r="U30" i="9"/>
  <c r="T30" i="9"/>
  <c r="S30" i="9"/>
  <c r="R30" i="9"/>
  <c r="Q30" i="9"/>
  <c r="V29" i="9"/>
  <c r="U29" i="9"/>
  <c r="T29" i="9"/>
  <c r="S29" i="9"/>
  <c r="R29" i="9"/>
  <c r="W28" i="9"/>
  <c r="V28" i="9"/>
  <c r="U28" i="9"/>
  <c r="T28" i="9"/>
  <c r="S28" i="9"/>
  <c r="R28" i="9"/>
  <c r="Q28" i="9"/>
  <c r="W27" i="9"/>
  <c r="V27" i="9"/>
  <c r="U27" i="9"/>
  <c r="T27" i="9"/>
  <c r="S27" i="9"/>
  <c r="R27" i="9"/>
  <c r="Q27" i="9"/>
  <c r="W26" i="9"/>
  <c r="V26" i="9"/>
  <c r="U26" i="9"/>
  <c r="T26" i="9"/>
  <c r="S26" i="9"/>
  <c r="R26" i="9"/>
  <c r="O31" i="9"/>
  <c r="N31" i="9"/>
  <c r="M31" i="9"/>
  <c r="L31" i="9"/>
  <c r="K31" i="9"/>
  <c r="J31" i="9"/>
  <c r="I31" i="9"/>
  <c r="O30" i="9"/>
  <c r="N30" i="9"/>
  <c r="M30" i="9"/>
  <c r="L30" i="9"/>
  <c r="K30" i="9"/>
  <c r="J30" i="9"/>
  <c r="I30" i="9"/>
  <c r="N29" i="9"/>
  <c r="M29" i="9"/>
  <c r="L29" i="9"/>
  <c r="K29" i="9"/>
  <c r="J29" i="9"/>
  <c r="O28" i="9"/>
  <c r="N28" i="9"/>
  <c r="M28" i="9"/>
  <c r="L28" i="9"/>
  <c r="K28" i="9"/>
  <c r="J28" i="9"/>
  <c r="I28" i="9"/>
  <c r="O27" i="9"/>
  <c r="N27" i="9"/>
  <c r="M27" i="9"/>
  <c r="L27" i="9"/>
  <c r="K27" i="9"/>
  <c r="J27" i="9"/>
  <c r="I27" i="9"/>
  <c r="O26" i="9"/>
  <c r="N26" i="9"/>
  <c r="M26" i="9"/>
  <c r="L26" i="9"/>
  <c r="K26" i="9"/>
  <c r="J26" i="9"/>
  <c r="A27" i="9"/>
  <c r="A28" i="9"/>
  <c r="G31" i="9"/>
  <c r="F31" i="9"/>
  <c r="E31" i="9"/>
  <c r="D31" i="9"/>
  <c r="C31" i="9"/>
  <c r="B31" i="9"/>
  <c r="A31" i="9"/>
  <c r="G30" i="9"/>
  <c r="F30" i="9"/>
  <c r="E30" i="9"/>
  <c r="D30" i="9"/>
  <c r="C30" i="9"/>
  <c r="B30" i="9"/>
  <c r="A30" i="9"/>
  <c r="A1" i="1"/>
  <c r="B1" i="1"/>
  <c r="C1" i="1"/>
  <c r="D1" i="1"/>
  <c r="E1" i="1"/>
  <c r="A2" i="1"/>
  <c r="B2" i="1"/>
  <c r="G2" i="1" s="1"/>
  <c r="C2" i="1"/>
  <c r="D2" i="1"/>
  <c r="E2" i="1"/>
  <c r="A3" i="1"/>
  <c r="B3" i="1"/>
  <c r="G3" i="1" s="1"/>
  <c r="C3" i="1"/>
  <c r="D3" i="1"/>
  <c r="E3" i="1"/>
  <c r="A4" i="1"/>
  <c r="B4" i="1"/>
  <c r="G4" i="1" s="1"/>
  <c r="C4" i="1"/>
  <c r="D4" i="1"/>
  <c r="E4" i="1"/>
  <c r="A5" i="1"/>
  <c r="B5" i="1"/>
  <c r="G5" i="1" s="1"/>
  <c r="C5" i="1"/>
  <c r="D5" i="1"/>
  <c r="E5" i="1"/>
  <c r="A6" i="1"/>
  <c r="B6" i="1"/>
  <c r="G6" i="1" s="1"/>
  <c r="C6" i="1"/>
  <c r="D6" i="1"/>
  <c r="E6" i="1"/>
  <c r="A7" i="1"/>
  <c r="B7" i="1"/>
  <c r="G7" i="1" s="1"/>
  <c r="C7" i="1"/>
  <c r="D7" i="1"/>
  <c r="E7" i="1"/>
  <c r="A8" i="1"/>
  <c r="B8" i="1"/>
  <c r="G8" i="1" s="1"/>
  <c r="C8" i="1"/>
  <c r="D8" i="1"/>
  <c r="E8" i="1"/>
  <c r="A9" i="1"/>
  <c r="B9" i="1"/>
  <c r="G9" i="1" s="1"/>
  <c r="C9" i="1"/>
  <c r="D9" i="1"/>
  <c r="E9" i="1"/>
  <c r="A10" i="1"/>
  <c r="B10" i="1"/>
  <c r="G10" i="1" s="1"/>
  <c r="C10" i="1"/>
  <c r="D10" i="1"/>
  <c r="E10" i="1"/>
  <c r="A11" i="1"/>
  <c r="B11" i="1"/>
  <c r="G11" i="1" s="1"/>
  <c r="C11" i="1"/>
  <c r="D11" i="1"/>
  <c r="E11" i="1"/>
  <c r="A12" i="1"/>
  <c r="B12" i="1"/>
  <c r="G12" i="1" s="1"/>
  <c r="C12" i="1"/>
  <c r="D12" i="1"/>
  <c r="E12" i="1"/>
  <c r="A13" i="1"/>
  <c r="B13" i="1"/>
  <c r="G13" i="1" s="1"/>
  <c r="C13" i="1"/>
  <c r="D13" i="1"/>
  <c r="E13" i="1"/>
  <c r="A14" i="1"/>
  <c r="B14" i="1"/>
  <c r="G14" i="1" s="1"/>
  <c r="C14" i="1"/>
  <c r="D14" i="1"/>
  <c r="E14" i="1"/>
  <c r="A15" i="1"/>
  <c r="B15" i="1"/>
  <c r="G15" i="1" s="1"/>
  <c r="C15" i="1"/>
  <c r="D15" i="1"/>
  <c r="E15" i="1"/>
  <c r="A16" i="1"/>
  <c r="B16" i="1"/>
  <c r="G16" i="1" s="1"/>
  <c r="C16" i="1"/>
  <c r="D16" i="1"/>
  <c r="E16" i="1"/>
  <c r="A17" i="1"/>
  <c r="B17" i="1"/>
  <c r="G17" i="1" s="1"/>
  <c r="C17" i="1"/>
  <c r="D17" i="1"/>
  <c r="E17" i="1"/>
  <c r="A18" i="1"/>
  <c r="B18" i="1"/>
  <c r="G18" i="1" s="1"/>
  <c r="C18" i="1"/>
  <c r="D18" i="1"/>
  <c r="E18" i="1"/>
  <c r="A19" i="1"/>
  <c r="B19" i="1"/>
  <c r="G19" i="1" s="1"/>
  <c r="C19" i="1"/>
  <c r="D19" i="1"/>
  <c r="E19" i="1"/>
  <c r="A20" i="1"/>
  <c r="B20" i="1"/>
  <c r="G20" i="1" s="1"/>
  <c r="C20" i="1"/>
  <c r="D20" i="1"/>
  <c r="E20" i="1"/>
  <c r="A21" i="1"/>
  <c r="B21" i="1"/>
  <c r="G21" i="1" s="1"/>
  <c r="C21" i="1"/>
  <c r="D21" i="1"/>
  <c r="E21" i="1"/>
  <c r="A22" i="1"/>
  <c r="B22" i="1"/>
  <c r="G22" i="1" s="1"/>
  <c r="C22" i="1"/>
  <c r="D22" i="1"/>
  <c r="E22" i="1"/>
  <c r="A23" i="1"/>
  <c r="B23" i="1"/>
  <c r="G23" i="1" s="1"/>
  <c r="C23" i="1"/>
  <c r="D23" i="1"/>
  <c r="E23" i="1"/>
  <c r="A24" i="1"/>
  <c r="B24" i="1"/>
  <c r="G24" i="1" s="1"/>
  <c r="C24" i="1"/>
  <c r="D24" i="1"/>
  <c r="E24" i="1"/>
  <c r="A25" i="1"/>
  <c r="B25" i="1"/>
  <c r="G25" i="1" s="1"/>
  <c r="C25" i="1"/>
  <c r="D25" i="1"/>
  <c r="E25" i="1"/>
  <c r="A26" i="1"/>
  <c r="B26" i="1"/>
  <c r="G26" i="1" s="1"/>
  <c r="C26" i="1"/>
  <c r="D26" i="1"/>
  <c r="E26" i="1"/>
  <c r="A27" i="1"/>
  <c r="B27" i="1"/>
  <c r="G27" i="1" s="1"/>
  <c r="C27" i="1"/>
  <c r="D27" i="1"/>
  <c r="E27" i="1"/>
  <c r="A28" i="1"/>
  <c r="B28" i="1"/>
  <c r="G28" i="1" s="1"/>
  <c r="C28" i="1"/>
  <c r="D28" i="1"/>
  <c r="E28" i="1"/>
  <c r="A29" i="1"/>
  <c r="B29" i="1"/>
  <c r="G29" i="1" s="1"/>
  <c r="C29" i="1"/>
  <c r="D29" i="1"/>
  <c r="E29" i="1"/>
  <c r="A30" i="1"/>
  <c r="B30" i="1"/>
  <c r="G30" i="1" s="1"/>
  <c r="C30" i="1"/>
  <c r="D30" i="1"/>
  <c r="E30" i="1"/>
  <c r="A31" i="1"/>
  <c r="B31" i="1"/>
  <c r="G31" i="1" s="1"/>
  <c r="C31" i="1"/>
  <c r="D31" i="1"/>
  <c r="E31" i="1"/>
  <c r="A32" i="1"/>
  <c r="B32" i="1"/>
  <c r="G32" i="1" s="1"/>
  <c r="C32" i="1"/>
  <c r="D32" i="1"/>
  <c r="E32" i="1"/>
  <c r="A33" i="1"/>
  <c r="B33" i="1"/>
  <c r="G33" i="1" s="1"/>
  <c r="C33" i="1"/>
  <c r="D33" i="1"/>
  <c r="E33" i="1"/>
  <c r="A34" i="1"/>
  <c r="B34" i="1"/>
  <c r="G34" i="1" s="1"/>
  <c r="C34" i="1"/>
  <c r="D34" i="1"/>
  <c r="E34" i="1"/>
  <c r="A35" i="1"/>
  <c r="B35" i="1"/>
  <c r="G35" i="1" s="1"/>
  <c r="C35" i="1"/>
  <c r="D35" i="1"/>
  <c r="E35" i="1"/>
  <c r="A36" i="1"/>
  <c r="B36" i="1"/>
  <c r="G36" i="1" s="1"/>
  <c r="C36" i="1"/>
  <c r="D36" i="1"/>
  <c r="E36" i="1"/>
  <c r="A37" i="1"/>
  <c r="B37" i="1"/>
  <c r="G37" i="1" s="1"/>
  <c r="C37" i="1"/>
  <c r="D37" i="1"/>
  <c r="E37" i="1"/>
  <c r="A38" i="1"/>
  <c r="B38" i="1"/>
  <c r="G38" i="1" s="1"/>
  <c r="C38" i="1"/>
  <c r="D38" i="1"/>
  <c r="E38" i="1"/>
  <c r="A39" i="1"/>
  <c r="B39" i="1"/>
  <c r="G39" i="1" s="1"/>
  <c r="C39" i="1"/>
  <c r="D39" i="1"/>
  <c r="E39" i="1"/>
  <c r="A40" i="1"/>
  <c r="B40" i="1"/>
  <c r="G40" i="1" s="1"/>
  <c r="C40" i="1"/>
  <c r="D40" i="1"/>
  <c r="E40" i="1"/>
  <c r="A41" i="1"/>
  <c r="B41" i="1"/>
  <c r="G41" i="1" s="1"/>
  <c r="C41" i="1"/>
  <c r="D41" i="1"/>
  <c r="E41" i="1"/>
  <c r="A42" i="1"/>
  <c r="B42" i="1"/>
  <c r="G42" i="1" s="1"/>
  <c r="C42" i="1"/>
  <c r="D42" i="1"/>
  <c r="E42" i="1"/>
  <c r="A43" i="1"/>
  <c r="B43" i="1"/>
  <c r="G43" i="1" s="1"/>
  <c r="C43" i="1"/>
  <c r="D43" i="1"/>
  <c r="E43" i="1"/>
  <c r="A44" i="1"/>
  <c r="B44" i="1"/>
  <c r="G44" i="1" s="1"/>
  <c r="C44" i="1"/>
  <c r="D44" i="1"/>
  <c r="E44" i="1"/>
  <c r="A45" i="1"/>
  <c r="B45" i="1"/>
  <c r="G45" i="1" s="1"/>
  <c r="C45" i="1"/>
  <c r="D45" i="1"/>
  <c r="E45" i="1"/>
  <c r="A46" i="1"/>
  <c r="B46" i="1"/>
  <c r="G46" i="1" s="1"/>
  <c r="C46" i="1"/>
  <c r="D46" i="1"/>
  <c r="E46" i="1"/>
  <c r="A47" i="1"/>
  <c r="B47" i="1"/>
  <c r="G47" i="1" s="1"/>
  <c r="C47" i="1"/>
  <c r="D47" i="1"/>
  <c r="E47" i="1"/>
  <c r="A48" i="1"/>
  <c r="B48" i="1"/>
  <c r="G48" i="1" s="1"/>
  <c r="C48" i="1"/>
  <c r="D48" i="1"/>
  <c r="E48" i="1"/>
  <c r="A49" i="1"/>
  <c r="B49" i="1"/>
  <c r="G49" i="1" s="1"/>
  <c r="C49" i="1"/>
  <c r="D49" i="1"/>
  <c r="E49" i="1"/>
  <c r="A50" i="1"/>
  <c r="B50" i="1"/>
  <c r="G50" i="1" s="1"/>
  <c r="C50" i="1"/>
  <c r="D50" i="1"/>
  <c r="E50" i="1"/>
  <c r="A51" i="1"/>
  <c r="B51" i="1"/>
  <c r="G51" i="1" s="1"/>
  <c r="C51" i="1"/>
  <c r="D51" i="1"/>
  <c r="E51" i="1"/>
  <c r="A52" i="1"/>
  <c r="B52" i="1"/>
  <c r="G52" i="1" s="1"/>
  <c r="C52" i="1"/>
  <c r="D52" i="1"/>
  <c r="E52" i="1"/>
  <c r="A53" i="1"/>
  <c r="B53" i="1"/>
  <c r="G53" i="1" s="1"/>
  <c r="C53" i="1"/>
  <c r="D53" i="1"/>
  <c r="E53" i="1"/>
  <c r="A54" i="1"/>
  <c r="B54" i="1"/>
  <c r="G54" i="1" s="1"/>
  <c r="C54" i="1"/>
  <c r="D54" i="1"/>
  <c r="E54" i="1"/>
  <c r="A55" i="1"/>
  <c r="B55" i="1"/>
  <c r="G55" i="1" s="1"/>
  <c r="C55" i="1"/>
  <c r="D55" i="1"/>
  <c r="E55" i="1"/>
  <c r="A56" i="1"/>
  <c r="B56" i="1"/>
  <c r="G56" i="1" s="1"/>
  <c r="C56" i="1"/>
  <c r="D56" i="1"/>
  <c r="E56" i="1"/>
  <c r="A57" i="1"/>
  <c r="B57" i="1"/>
  <c r="G57" i="1" s="1"/>
  <c r="C57" i="1"/>
  <c r="D57" i="1"/>
  <c r="E57" i="1"/>
  <c r="A58" i="1"/>
  <c r="B58" i="1"/>
  <c r="G58" i="1" s="1"/>
  <c r="C58" i="1"/>
  <c r="D58" i="1"/>
  <c r="E58" i="1"/>
  <c r="A59" i="1"/>
  <c r="B59" i="1"/>
  <c r="G59" i="1" s="1"/>
  <c r="C59" i="1"/>
  <c r="D59" i="1"/>
  <c r="E59" i="1"/>
  <c r="A60" i="1"/>
  <c r="B60" i="1"/>
  <c r="G60" i="1" s="1"/>
  <c r="C60" i="1"/>
  <c r="D60" i="1"/>
  <c r="E60" i="1"/>
  <c r="A61" i="1"/>
  <c r="B61" i="1"/>
  <c r="G61" i="1" s="1"/>
  <c r="C61" i="1"/>
  <c r="D61" i="1"/>
  <c r="E61" i="1"/>
  <c r="A62" i="1"/>
  <c r="B62" i="1"/>
  <c r="G62" i="1" s="1"/>
  <c r="C62" i="1"/>
  <c r="D62" i="1"/>
  <c r="E62" i="1"/>
  <c r="A63" i="1"/>
  <c r="B63" i="1"/>
  <c r="G63" i="1" s="1"/>
  <c r="C63" i="1"/>
  <c r="D63" i="1"/>
  <c r="E63" i="1"/>
  <c r="A64" i="1"/>
  <c r="B64" i="1"/>
  <c r="G64" i="1" s="1"/>
  <c r="C64" i="1"/>
  <c r="D64" i="1"/>
  <c r="E64" i="1"/>
  <c r="A65" i="1"/>
  <c r="B65" i="1"/>
  <c r="G65" i="1" s="1"/>
  <c r="C65" i="1"/>
  <c r="D65" i="1"/>
  <c r="E65" i="1"/>
  <c r="A66" i="1"/>
  <c r="B66" i="1"/>
  <c r="G66" i="1" s="1"/>
  <c r="C66" i="1"/>
  <c r="D66" i="1"/>
  <c r="E66" i="1"/>
  <c r="A67" i="1"/>
  <c r="B67" i="1"/>
  <c r="G67" i="1" s="1"/>
  <c r="C67" i="1"/>
  <c r="D67" i="1"/>
  <c r="E67" i="1"/>
  <c r="A68" i="1"/>
  <c r="B68" i="1"/>
  <c r="G68" i="1" s="1"/>
  <c r="C68" i="1"/>
  <c r="D68" i="1"/>
  <c r="E68" i="1"/>
  <c r="A69" i="1"/>
  <c r="B69" i="1"/>
  <c r="G69" i="1" s="1"/>
  <c r="C69" i="1"/>
  <c r="D69" i="1"/>
  <c r="E69" i="1"/>
  <c r="A70" i="1"/>
  <c r="B70" i="1"/>
  <c r="G70" i="1" s="1"/>
  <c r="C70" i="1"/>
  <c r="D70" i="1"/>
  <c r="E70" i="1"/>
  <c r="A71" i="1"/>
  <c r="B71" i="1"/>
  <c r="G71" i="1" s="1"/>
  <c r="C71" i="1"/>
  <c r="D71" i="1"/>
  <c r="E71" i="1"/>
  <c r="A72" i="1"/>
  <c r="B72" i="1"/>
  <c r="G72" i="1" s="1"/>
  <c r="C72" i="1"/>
  <c r="D72" i="1"/>
  <c r="E72" i="1"/>
  <c r="A73" i="1"/>
  <c r="B73" i="1"/>
  <c r="G73" i="1" s="1"/>
  <c r="C73" i="1"/>
  <c r="D73" i="1"/>
  <c r="E73" i="1"/>
  <c r="A74" i="1"/>
  <c r="B74" i="1"/>
  <c r="G74" i="1" s="1"/>
  <c r="C74" i="1"/>
  <c r="D74" i="1"/>
  <c r="E74" i="1"/>
  <c r="A75" i="1"/>
  <c r="B75" i="1"/>
  <c r="G75" i="1" s="1"/>
  <c r="C75" i="1"/>
  <c r="D75" i="1"/>
  <c r="E75" i="1"/>
  <c r="A76" i="1"/>
  <c r="B76" i="1"/>
  <c r="G76" i="1" s="1"/>
  <c r="C76" i="1"/>
  <c r="D76" i="1"/>
  <c r="E76" i="1"/>
  <c r="A77" i="1"/>
  <c r="B77" i="1"/>
  <c r="G77" i="1" s="1"/>
  <c r="C77" i="1"/>
  <c r="D77" i="1"/>
  <c r="E77" i="1"/>
  <c r="A78" i="1"/>
  <c r="B78" i="1"/>
  <c r="C78" i="1"/>
  <c r="D78" i="1"/>
  <c r="E78" i="1"/>
  <c r="A79" i="1"/>
  <c r="B79" i="1"/>
  <c r="C79" i="1"/>
  <c r="D79" i="1"/>
  <c r="E79" i="1"/>
  <c r="A80" i="1"/>
  <c r="B80" i="1"/>
  <c r="C80" i="1"/>
  <c r="D80" i="1"/>
  <c r="E80" i="1"/>
  <c r="A81" i="1"/>
  <c r="B81" i="1"/>
  <c r="C81" i="1"/>
  <c r="D81" i="1"/>
  <c r="E81" i="1"/>
  <c r="A82" i="1"/>
  <c r="B82" i="1"/>
  <c r="C82" i="1"/>
  <c r="D82" i="1"/>
  <c r="E82" i="1"/>
  <c r="A83" i="1"/>
  <c r="B83" i="1"/>
  <c r="C83" i="1"/>
  <c r="D83" i="1"/>
  <c r="E83" i="1"/>
  <c r="A84" i="1"/>
  <c r="B84" i="1"/>
  <c r="C84" i="1"/>
  <c r="D84" i="1"/>
  <c r="E84" i="1"/>
  <c r="A85" i="1"/>
  <c r="B85" i="1"/>
  <c r="C85" i="1"/>
  <c r="D85" i="1"/>
  <c r="E85" i="1"/>
  <c r="A86" i="1"/>
  <c r="B86" i="1"/>
  <c r="C86" i="1"/>
  <c r="D86" i="1"/>
  <c r="E86" i="1"/>
  <c r="A87" i="1"/>
  <c r="B87" i="1"/>
  <c r="C87" i="1"/>
  <c r="D87" i="1"/>
  <c r="E87" i="1"/>
  <c r="A88" i="1"/>
  <c r="B88" i="1"/>
  <c r="C88" i="1"/>
  <c r="D88" i="1"/>
  <c r="E88" i="1"/>
  <c r="A89" i="1"/>
  <c r="B89" i="1"/>
  <c r="C89" i="1"/>
  <c r="D89" i="1"/>
  <c r="E89" i="1"/>
  <c r="A90" i="1"/>
  <c r="B90" i="1"/>
  <c r="C90" i="1"/>
  <c r="D90" i="1"/>
  <c r="E90" i="1"/>
  <c r="A91" i="1"/>
  <c r="B91" i="1"/>
  <c r="C91" i="1"/>
  <c r="D91" i="1"/>
  <c r="E91" i="1"/>
  <c r="A92" i="1"/>
  <c r="B92" i="1"/>
  <c r="C92" i="1"/>
  <c r="D92" i="1"/>
  <c r="E92" i="1"/>
  <c r="A93" i="1"/>
  <c r="B93" i="1"/>
  <c r="C93" i="1"/>
  <c r="D93" i="1"/>
  <c r="E93" i="1"/>
  <c r="A94" i="1"/>
  <c r="B94" i="1"/>
  <c r="C94" i="1"/>
  <c r="D94" i="1"/>
  <c r="E94" i="1"/>
  <c r="A95" i="1"/>
  <c r="B95" i="1"/>
  <c r="C95" i="1"/>
  <c r="D95" i="1"/>
  <c r="E95" i="1"/>
  <c r="A96" i="1"/>
  <c r="B96" i="1"/>
  <c r="C96" i="1"/>
  <c r="D96" i="1"/>
  <c r="E96" i="1"/>
  <c r="A97" i="1"/>
  <c r="B97" i="1"/>
  <c r="C97" i="1"/>
  <c r="D97" i="1"/>
  <c r="E97" i="1"/>
  <c r="A98" i="1"/>
  <c r="B98" i="1"/>
  <c r="C98" i="1"/>
  <c r="D98" i="1"/>
  <c r="E98" i="1"/>
  <c r="A99" i="1"/>
  <c r="B99" i="1"/>
  <c r="C99" i="1"/>
  <c r="D99" i="1"/>
  <c r="E99" i="1"/>
  <c r="A100" i="1"/>
  <c r="B100" i="1"/>
  <c r="C100" i="1"/>
  <c r="D100" i="1"/>
  <c r="E100" i="1"/>
  <c r="A101" i="1"/>
  <c r="B101" i="1"/>
  <c r="C101" i="1"/>
  <c r="D101" i="1"/>
  <c r="E101" i="1"/>
  <c r="A102" i="1"/>
  <c r="B102" i="1"/>
  <c r="C102" i="1"/>
  <c r="D102" i="1"/>
  <c r="E102" i="1"/>
  <c r="A103" i="1"/>
  <c r="B103" i="1"/>
  <c r="C103" i="1"/>
  <c r="D103" i="1"/>
  <c r="E103" i="1"/>
  <c r="A104" i="1"/>
  <c r="B104" i="1"/>
  <c r="C104" i="1"/>
  <c r="D104" i="1"/>
  <c r="E104" i="1"/>
  <c r="A105" i="1"/>
  <c r="B105" i="1"/>
  <c r="C105" i="1"/>
  <c r="D105" i="1"/>
  <c r="E105" i="1"/>
  <c r="A106" i="1"/>
  <c r="B106" i="1"/>
  <c r="C106" i="1"/>
  <c r="D106" i="1"/>
  <c r="E106" i="1"/>
  <c r="A107" i="1"/>
  <c r="B107" i="1"/>
  <c r="C107" i="1"/>
  <c r="D107" i="1"/>
  <c r="E107" i="1"/>
  <c r="A108" i="1"/>
  <c r="B108" i="1"/>
  <c r="C108" i="1"/>
  <c r="D108" i="1"/>
  <c r="E108" i="1"/>
  <c r="A109" i="1"/>
  <c r="B109" i="1"/>
  <c r="C109" i="1"/>
  <c r="D109" i="1"/>
  <c r="E109" i="1"/>
  <c r="A110" i="1"/>
  <c r="B110" i="1"/>
  <c r="C110" i="1"/>
  <c r="D110" i="1"/>
  <c r="E110" i="1"/>
  <c r="A111" i="1"/>
  <c r="B111" i="1"/>
  <c r="C111" i="1"/>
  <c r="D111" i="1"/>
  <c r="E111" i="1"/>
  <c r="A112" i="1"/>
  <c r="B112" i="1"/>
  <c r="C112" i="1"/>
  <c r="D112" i="1"/>
  <c r="E112" i="1"/>
  <c r="A113" i="1"/>
  <c r="B113" i="1"/>
  <c r="C113" i="1"/>
  <c r="D113" i="1"/>
  <c r="E113" i="1"/>
  <c r="A114" i="1"/>
  <c r="B114" i="1"/>
  <c r="C114" i="1"/>
  <c r="D114" i="1"/>
  <c r="E114" i="1"/>
  <c r="A115" i="1"/>
  <c r="B115" i="1"/>
  <c r="C115" i="1"/>
  <c r="D115" i="1"/>
  <c r="E115" i="1"/>
  <c r="A116" i="1"/>
  <c r="B116" i="1"/>
  <c r="C116" i="1"/>
  <c r="D116" i="1"/>
  <c r="E116" i="1"/>
  <c r="A117" i="1"/>
  <c r="B117" i="1"/>
  <c r="C117" i="1"/>
  <c r="D117" i="1"/>
  <c r="E117" i="1"/>
  <c r="A118" i="1"/>
  <c r="B118" i="1"/>
  <c r="C118" i="1"/>
  <c r="D118" i="1"/>
  <c r="E118" i="1"/>
  <c r="A119" i="1"/>
  <c r="B119" i="1"/>
  <c r="C119" i="1"/>
  <c r="D119" i="1"/>
  <c r="E119" i="1"/>
  <c r="A120" i="1"/>
  <c r="B120" i="1"/>
  <c r="C120" i="1"/>
  <c r="D120" i="1"/>
  <c r="E120" i="1"/>
  <c r="A121" i="1"/>
  <c r="B121" i="1"/>
  <c r="C121" i="1"/>
  <c r="D121" i="1"/>
  <c r="E121" i="1"/>
  <c r="A122" i="1"/>
  <c r="B122" i="1"/>
  <c r="C122" i="1"/>
  <c r="D122" i="1"/>
  <c r="E122" i="1"/>
  <c r="A123" i="1"/>
  <c r="B123" i="1"/>
  <c r="C123" i="1"/>
  <c r="D123" i="1"/>
  <c r="E123" i="1"/>
  <c r="A124" i="1"/>
  <c r="B124" i="1"/>
  <c r="C124" i="1"/>
  <c r="D124" i="1"/>
  <c r="E124" i="1"/>
  <c r="A125" i="1"/>
  <c r="B125" i="1"/>
  <c r="C125" i="1"/>
  <c r="D125" i="1"/>
  <c r="E125" i="1"/>
  <c r="A126" i="1"/>
  <c r="B126" i="1"/>
  <c r="C126" i="1"/>
  <c r="D126" i="1"/>
  <c r="E126" i="1"/>
  <c r="A127" i="1"/>
  <c r="B127" i="1"/>
  <c r="C127" i="1"/>
  <c r="D127" i="1"/>
  <c r="E127" i="1"/>
  <c r="A128" i="1"/>
  <c r="B128" i="1"/>
  <c r="C128" i="1"/>
  <c r="D128" i="1"/>
  <c r="E128" i="1"/>
  <c r="A129" i="1"/>
  <c r="B129" i="1"/>
  <c r="C129" i="1"/>
  <c r="D129" i="1"/>
  <c r="E129" i="1"/>
  <c r="A130" i="1"/>
  <c r="B130" i="1"/>
  <c r="C130" i="1"/>
  <c r="D130" i="1"/>
  <c r="E130" i="1"/>
  <c r="A131" i="1"/>
  <c r="B131" i="1"/>
  <c r="C131" i="1"/>
  <c r="D131" i="1"/>
  <c r="E131" i="1"/>
  <c r="A132" i="1"/>
  <c r="B132" i="1"/>
  <c r="C132" i="1"/>
  <c r="D132" i="1"/>
  <c r="E132" i="1"/>
  <c r="A133" i="1"/>
  <c r="B133" i="1"/>
  <c r="C133" i="1"/>
  <c r="D133" i="1"/>
  <c r="E133" i="1"/>
  <c r="A134" i="1"/>
  <c r="B134" i="1"/>
  <c r="C134" i="1"/>
  <c r="D134" i="1"/>
  <c r="E134" i="1"/>
  <c r="A135" i="1"/>
  <c r="B135" i="1"/>
  <c r="C135" i="1"/>
  <c r="D135" i="1"/>
  <c r="E135" i="1"/>
  <c r="A136" i="1"/>
  <c r="B136" i="1"/>
  <c r="C136" i="1"/>
  <c r="D136" i="1"/>
  <c r="E136" i="1"/>
  <c r="A137" i="1"/>
  <c r="B137" i="1"/>
  <c r="C137" i="1"/>
  <c r="D137" i="1"/>
  <c r="E137" i="1"/>
  <c r="A138" i="1"/>
  <c r="B138" i="1"/>
  <c r="C138" i="1"/>
  <c r="D138" i="1"/>
  <c r="E138" i="1"/>
  <c r="A139" i="1"/>
  <c r="B139" i="1"/>
  <c r="C139" i="1"/>
  <c r="D139" i="1"/>
  <c r="E139" i="1"/>
  <c r="A140" i="1"/>
  <c r="B140" i="1"/>
  <c r="C140" i="1"/>
  <c r="D140" i="1"/>
  <c r="E140" i="1"/>
  <c r="A141" i="1"/>
  <c r="B141" i="1"/>
  <c r="C141" i="1"/>
  <c r="D141" i="1"/>
  <c r="E141" i="1"/>
  <c r="A142" i="1"/>
  <c r="B142" i="1"/>
  <c r="C142" i="1"/>
  <c r="D142" i="1"/>
  <c r="E142" i="1"/>
  <c r="A143" i="1"/>
  <c r="B143" i="1"/>
  <c r="C143" i="1"/>
  <c r="D143" i="1"/>
  <c r="E143" i="1"/>
  <c r="A144" i="1"/>
  <c r="B144" i="1"/>
  <c r="C144" i="1"/>
  <c r="D144" i="1"/>
  <c r="E144" i="1"/>
  <c r="A145" i="1"/>
  <c r="B145" i="1"/>
  <c r="C145" i="1"/>
  <c r="D145" i="1"/>
  <c r="E145" i="1"/>
  <c r="A146" i="1"/>
  <c r="B146" i="1"/>
  <c r="C146" i="1"/>
  <c r="D146" i="1"/>
  <c r="E146" i="1"/>
  <c r="A147" i="1"/>
  <c r="B147" i="1"/>
  <c r="C147" i="1"/>
  <c r="D147" i="1"/>
  <c r="E147" i="1"/>
  <c r="A148" i="1"/>
  <c r="B148" i="1"/>
  <c r="C148" i="1"/>
  <c r="D148" i="1"/>
  <c r="E148" i="1"/>
  <c r="A149" i="1"/>
  <c r="B149" i="1"/>
  <c r="C149" i="1"/>
  <c r="D149" i="1"/>
  <c r="E149" i="1"/>
  <c r="A150" i="1"/>
  <c r="B150" i="1"/>
  <c r="C150" i="1"/>
  <c r="D150" i="1"/>
  <c r="E150" i="1"/>
  <c r="A151" i="1"/>
  <c r="B151" i="1"/>
  <c r="C151" i="1"/>
  <c r="D151" i="1"/>
  <c r="E151" i="1"/>
  <c r="A152" i="1"/>
  <c r="B152" i="1"/>
  <c r="C152" i="1"/>
  <c r="D152" i="1"/>
  <c r="E152" i="1"/>
  <c r="A153" i="1"/>
  <c r="B153" i="1"/>
  <c r="C153" i="1"/>
  <c r="D153" i="1"/>
  <c r="E153" i="1"/>
  <c r="A154" i="1"/>
  <c r="B154" i="1"/>
  <c r="C154" i="1"/>
  <c r="D154" i="1"/>
  <c r="E154" i="1"/>
  <c r="A155" i="1"/>
  <c r="B155" i="1"/>
  <c r="C155" i="1"/>
  <c r="D155" i="1"/>
  <c r="E155" i="1"/>
  <c r="A156" i="1"/>
  <c r="B156" i="1"/>
  <c r="C156" i="1"/>
  <c r="D156" i="1"/>
  <c r="E156" i="1"/>
  <c r="A157" i="1"/>
  <c r="B157" i="1"/>
  <c r="C157" i="1"/>
  <c r="D157" i="1"/>
  <c r="E157" i="1"/>
  <c r="A158" i="1"/>
  <c r="B158" i="1"/>
  <c r="C158" i="1"/>
  <c r="D158" i="1"/>
  <c r="E158" i="1"/>
  <c r="A159" i="1"/>
  <c r="B159" i="1"/>
  <c r="C159" i="1"/>
  <c r="D159" i="1"/>
  <c r="E159" i="1"/>
  <c r="A160" i="1"/>
  <c r="B160" i="1"/>
  <c r="C160" i="1"/>
  <c r="D160" i="1"/>
  <c r="E160" i="1"/>
  <c r="A161" i="1"/>
  <c r="B161" i="1"/>
  <c r="C161" i="1"/>
  <c r="D161" i="1"/>
  <c r="E161" i="1"/>
  <c r="A162" i="1"/>
  <c r="B162" i="1"/>
  <c r="C162" i="1"/>
  <c r="D162" i="1"/>
  <c r="E162" i="1"/>
  <c r="A163" i="1"/>
  <c r="B163" i="1"/>
  <c r="C163" i="1"/>
  <c r="D163" i="1"/>
  <c r="E163" i="1"/>
  <c r="A164" i="1"/>
  <c r="B164" i="1"/>
  <c r="C164" i="1"/>
  <c r="D164" i="1"/>
  <c r="E164" i="1"/>
  <c r="A165" i="1"/>
  <c r="B165" i="1"/>
  <c r="C165" i="1"/>
  <c r="D165" i="1"/>
  <c r="E165" i="1"/>
  <c r="A166" i="1"/>
  <c r="B166" i="1"/>
  <c r="C166" i="1"/>
  <c r="D166" i="1"/>
  <c r="E166" i="1"/>
  <c r="A167" i="1"/>
  <c r="B167" i="1"/>
  <c r="C167" i="1"/>
  <c r="D167" i="1"/>
  <c r="E167" i="1"/>
  <c r="A168" i="1"/>
  <c r="B168" i="1"/>
  <c r="C168" i="1"/>
  <c r="D168" i="1"/>
  <c r="E168" i="1"/>
  <c r="A169" i="1"/>
  <c r="B169" i="1"/>
  <c r="C169" i="1"/>
  <c r="D169" i="1"/>
  <c r="E169" i="1"/>
  <c r="A170" i="1"/>
  <c r="B170" i="1"/>
  <c r="C170" i="1"/>
  <c r="D170" i="1"/>
  <c r="E170" i="1"/>
  <c r="A171" i="1"/>
  <c r="B171" i="1"/>
  <c r="C171" i="1"/>
  <c r="D171" i="1"/>
  <c r="E171" i="1"/>
  <c r="A172" i="1"/>
  <c r="B172" i="1"/>
  <c r="C172" i="1"/>
  <c r="D172" i="1"/>
  <c r="E172" i="1"/>
  <c r="A173" i="1"/>
  <c r="B173" i="1"/>
  <c r="C173" i="1"/>
  <c r="D173" i="1"/>
  <c r="E173" i="1"/>
  <c r="A174" i="1"/>
  <c r="B174" i="1"/>
  <c r="C174" i="1"/>
  <c r="D174" i="1"/>
  <c r="E174" i="1"/>
  <c r="A175" i="1"/>
  <c r="B175" i="1"/>
  <c r="C175" i="1"/>
  <c r="D175" i="1"/>
  <c r="E175" i="1"/>
  <c r="A176" i="1"/>
  <c r="B176" i="1"/>
  <c r="C176" i="1"/>
  <c r="D176" i="1"/>
  <c r="E176" i="1"/>
  <c r="A177" i="1"/>
  <c r="B177" i="1"/>
  <c r="C177" i="1"/>
  <c r="D177" i="1"/>
  <c r="E177" i="1"/>
  <c r="A178" i="1"/>
  <c r="B178" i="1"/>
  <c r="C178" i="1"/>
  <c r="D178" i="1"/>
  <c r="E178" i="1"/>
  <c r="A179" i="1"/>
  <c r="B179" i="1"/>
  <c r="C179" i="1"/>
  <c r="D179" i="1"/>
  <c r="E179" i="1"/>
  <c r="A180" i="1"/>
  <c r="B180" i="1"/>
  <c r="C180" i="1"/>
  <c r="D180" i="1"/>
  <c r="E180" i="1"/>
  <c r="A181" i="1"/>
  <c r="B181" i="1"/>
  <c r="C181" i="1"/>
  <c r="D181" i="1"/>
  <c r="E181" i="1"/>
  <c r="A182" i="1"/>
  <c r="B182" i="1"/>
  <c r="C182" i="1"/>
  <c r="D182" i="1"/>
  <c r="E182" i="1"/>
  <c r="A183" i="1"/>
  <c r="B183" i="1"/>
  <c r="C183" i="1"/>
  <c r="D183" i="1"/>
  <c r="E183" i="1"/>
  <c r="A184" i="1"/>
  <c r="B184" i="1"/>
  <c r="C184" i="1"/>
  <c r="D184" i="1"/>
  <c r="E184" i="1"/>
  <c r="A185" i="1"/>
  <c r="B185" i="1"/>
  <c r="C185" i="1"/>
  <c r="D185" i="1"/>
  <c r="E185" i="1"/>
  <c r="A186" i="1"/>
  <c r="B186" i="1"/>
  <c r="C186" i="1"/>
  <c r="D186" i="1"/>
  <c r="E186" i="1"/>
  <c r="A187" i="1"/>
  <c r="B187" i="1"/>
  <c r="C187" i="1"/>
  <c r="D187" i="1"/>
  <c r="E187" i="1"/>
  <c r="A188" i="1"/>
  <c r="B188" i="1"/>
  <c r="C188" i="1"/>
  <c r="D188" i="1"/>
  <c r="E188" i="1"/>
  <c r="A189" i="1"/>
  <c r="B189" i="1"/>
  <c r="C189" i="1"/>
  <c r="D189" i="1"/>
  <c r="E189" i="1"/>
  <c r="A190" i="1"/>
  <c r="B190" i="1"/>
  <c r="C190" i="1"/>
  <c r="D190" i="1"/>
  <c r="E190" i="1"/>
  <c r="A191" i="1"/>
  <c r="B191" i="1"/>
  <c r="C191" i="1"/>
  <c r="D191" i="1"/>
  <c r="E191" i="1"/>
  <c r="A192" i="1"/>
  <c r="B192" i="1"/>
  <c r="C192" i="1"/>
  <c r="D192" i="1"/>
  <c r="E192" i="1"/>
  <c r="A193" i="1"/>
  <c r="B193" i="1"/>
  <c r="C193" i="1"/>
  <c r="D193" i="1"/>
  <c r="E193" i="1"/>
  <c r="A194" i="1"/>
  <c r="B194" i="1"/>
  <c r="C194" i="1"/>
  <c r="D194" i="1"/>
  <c r="E194" i="1"/>
  <c r="A195" i="1"/>
  <c r="B195" i="1"/>
  <c r="C195" i="1"/>
  <c r="D195" i="1"/>
  <c r="E195" i="1"/>
  <c r="A196" i="1"/>
  <c r="B196" i="1"/>
  <c r="C196" i="1"/>
  <c r="D196" i="1"/>
  <c r="E196" i="1"/>
  <c r="A197" i="1"/>
  <c r="B197" i="1"/>
  <c r="C197" i="1"/>
  <c r="D197" i="1"/>
  <c r="E197" i="1"/>
  <c r="A198" i="1"/>
  <c r="B198" i="1"/>
  <c r="C198" i="1"/>
  <c r="D198" i="1"/>
  <c r="E198" i="1"/>
  <c r="A199" i="1"/>
  <c r="B199" i="1"/>
  <c r="C199" i="1"/>
  <c r="D199" i="1"/>
  <c r="E199" i="1"/>
  <c r="A200" i="1"/>
  <c r="B200" i="1"/>
  <c r="C200" i="1"/>
  <c r="D200" i="1"/>
  <c r="E200" i="1"/>
  <c r="A201" i="1"/>
  <c r="B201" i="1"/>
  <c r="C201" i="1"/>
  <c r="D201" i="1"/>
  <c r="E201" i="1"/>
  <c r="A202" i="1"/>
  <c r="B202" i="1"/>
  <c r="C202" i="1"/>
  <c r="D202" i="1"/>
  <c r="E202" i="1"/>
  <c r="A203" i="1"/>
  <c r="B203" i="1"/>
  <c r="C203" i="1"/>
  <c r="D203" i="1"/>
  <c r="E203" i="1"/>
  <c r="A204" i="1"/>
  <c r="B204" i="1"/>
  <c r="C204" i="1"/>
  <c r="D204" i="1"/>
  <c r="E204" i="1"/>
  <c r="A205" i="1"/>
  <c r="B205" i="1"/>
  <c r="C205" i="1"/>
  <c r="D205" i="1"/>
  <c r="E205" i="1"/>
  <c r="A206" i="1"/>
  <c r="B206" i="1"/>
  <c r="C206" i="1"/>
  <c r="D206" i="1"/>
  <c r="E206" i="1"/>
  <c r="A207" i="1"/>
  <c r="B207" i="1"/>
  <c r="C207" i="1"/>
  <c r="D207" i="1"/>
  <c r="E207" i="1"/>
  <c r="A208" i="1"/>
  <c r="B208" i="1"/>
  <c r="C208" i="1"/>
  <c r="D208" i="1"/>
  <c r="E208" i="1"/>
  <c r="A209" i="1"/>
  <c r="B209" i="1"/>
  <c r="C209" i="1"/>
  <c r="D209" i="1"/>
  <c r="E209" i="1"/>
  <c r="A210" i="1"/>
  <c r="B210" i="1"/>
  <c r="C210" i="1"/>
  <c r="D210" i="1"/>
  <c r="E210" i="1"/>
  <c r="A211" i="1"/>
  <c r="B211" i="1"/>
  <c r="C211" i="1"/>
  <c r="D211" i="1"/>
  <c r="E211" i="1"/>
  <c r="A212" i="1"/>
  <c r="B212" i="1"/>
  <c r="C212" i="1"/>
  <c r="D212" i="1"/>
  <c r="E212" i="1"/>
  <c r="A213" i="1"/>
  <c r="B213" i="1"/>
  <c r="C213" i="1"/>
  <c r="D213" i="1"/>
  <c r="E213" i="1"/>
  <c r="A214" i="1"/>
  <c r="B214" i="1"/>
  <c r="C214" i="1"/>
  <c r="D214" i="1"/>
  <c r="E214" i="1"/>
  <c r="A215" i="1"/>
  <c r="B215" i="1"/>
  <c r="C215" i="1"/>
  <c r="D215" i="1"/>
  <c r="E215" i="1"/>
  <c r="A216" i="1"/>
  <c r="B216" i="1"/>
  <c r="C216" i="1"/>
  <c r="D216" i="1"/>
  <c r="E216" i="1"/>
  <c r="A217" i="1"/>
  <c r="B217" i="1"/>
  <c r="C217" i="1"/>
  <c r="D217" i="1"/>
  <c r="E217" i="1"/>
  <c r="A218" i="1"/>
  <c r="B218" i="1"/>
  <c r="C218" i="1"/>
  <c r="D218" i="1"/>
  <c r="E218" i="1"/>
  <c r="A219" i="1"/>
  <c r="B219" i="1"/>
  <c r="C219" i="1"/>
  <c r="D219" i="1"/>
  <c r="E219" i="1"/>
  <c r="A220" i="1"/>
  <c r="B220" i="1"/>
  <c r="C220" i="1"/>
  <c r="D220" i="1"/>
  <c r="E220" i="1"/>
  <c r="A221" i="1"/>
  <c r="B221" i="1"/>
  <c r="C221" i="1"/>
  <c r="D221" i="1"/>
  <c r="E221" i="1"/>
  <c r="A222" i="1"/>
  <c r="B222" i="1"/>
  <c r="C222" i="1"/>
  <c r="D222" i="1"/>
  <c r="E222" i="1"/>
  <c r="A223" i="1"/>
  <c r="B223" i="1"/>
  <c r="C223" i="1"/>
  <c r="D223" i="1"/>
  <c r="E223" i="1"/>
  <c r="A224" i="1"/>
  <c r="B224" i="1"/>
  <c r="C224" i="1"/>
  <c r="D224" i="1"/>
  <c r="E224" i="1"/>
  <c r="A225" i="1"/>
  <c r="B225" i="1"/>
  <c r="C225" i="1"/>
  <c r="D225" i="1"/>
  <c r="E225" i="1"/>
  <c r="A226" i="1"/>
  <c r="B226" i="1"/>
  <c r="C226" i="1"/>
  <c r="D226" i="1"/>
  <c r="E226" i="1"/>
  <c r="A227" i="1"/>
  <c r="B227" i="1"/>
  <c r="C227" i="1"/>
  <c r="D227" i="1"/>
  <c r="E227" i="1"/>
  <c r="A228" i="1"/>
  <c r="B228" i="1"/>
  <c r="C228" i="1"/>
  <c r="D228" i="1"/>
  <c r="E228" i="1"/>
  <c r="A229" i="1"/>
  <c r="B229" i="1"/>
  <c r="C229" i="1"/>
  <c r="D229" i="1"/>
  <c r="E229" i="1"/>
  <c r="A230" i="1"/>
  <c r="B230" i="1"/>
  <c r="C230" i="1"/>
  <c r="D230" i="1"/>
  <c r="E230" i="1"/>
  <c r="A231" i="1"/>
  <c r="B231" i="1"/>
  <c r="C231" i="1"/>
  <c r="D231" i="1"/>
  <c r="E231" i="1"/>
  <c r="A232" i="1"/>
  <c r="B232" i="1"/>
  <c r="C232" i="1"/>
  <c r="D232" i="1"/>
  <c r="E232" i="1"/>
  <c r="A233" i="1"/>
  <c r="B233" i="1"/>
  <c r="C233" i="1"/>
  <c r="D233" i="1"/>
  <c r="E233" i="1"/>
  <c r="A234" i="1"/>
  <c r="B234" i="1"/>
  <c r="C234" i="1"/>
  <c r="D234" i="1"/>
  <c r="E234" i="1"/>
  <c r="A235" i="1"/>
  <c r="B235" i="1"/>
  <c r="C235" i="1"/>
  <c r="D235" i="1"/>
  <c r="E235" i="1"/>
  <c r="A236" i="1"/>
  <c r="B236" i="1"/>
  <c r="C236" i="1"/>
  <c r="D236" i="1"/>
  <c r="E236" i="1"/>
  <c r="A237" i="1"/>
  <c r="B237" i="1"/>
  <c r="C237" i="1"/>
  <c r="D237" i="1"/>
  <c r="E237" i="1"/>
  <c r="A238" i="1"/>
  <c r="B238" i="1"/>
  <c r="C238" i="1"/>
  <c r="D238" i="1"/>
  <c r="E238" i="1"/>
  <c r="A239" i="1"/>
  <c r="B239" i="1"/>
  <c r="C239" i="1"/>
  <c r="D239" i="1"/>
  <c r="E239" i="1"/>
  <c r="A240" i="1"/>
  <c r="B240" i="1"/>
  <c r="C240" i="1"/>
  <c r="D240" i="1"/>
  <c r="E240" i="1"/>
  <c r="A241" i="1"/>
  <c r="B241" i="1"/>
  <c r="C241" i="1"/>
  <c r="D241" i="1"/>
  <c r="E241" i="1"/>
  <c r="A242" i="1"/>
  <c r="B242" i="1"/>
  <c r="C242" i="1"/>
  <c r="D242" i="1"/>
  <c r="E242" i="1"/>
  <c r="A243" i="1"/>
  <c r="B243" i="1"/>
  <c r="C243" i="1"/>
  <c r="D243" i="1"/>
  <c r="E243" i="1"/>
  <c r="A244" i="1"/>
  <c r="B244" i="1"/>
  <c r="C244" i="1"/>
  <c r="D244" i="1"/>
  <c r="E244" i="1"/>
  <c r="A245" i="1"/>
  <c r="B245" i="1"/>
  <c r="C245" i="1"/>
  <c r="D245" i="1"/>
  <c r="E245" i="1"/>
  <c r="A246" i="1"/>
  <c r="B246" i="1"/>
  <c r="C246" i="1"/>
  <c r="D246" i="1"/>
  <c r="E246" i="1"/>
  <c r="A247" i="1"/>
  <c r="B247" i="1"/>
  <c r="C247" i="1"/>
  <c r="D247" i="1"/>
  <c r="E247" i="1"/>
  <c r="A248" i="1"/>
  <c r="B248" i="1"/>
  <c r="C248" i="1"/>
  <c r="D248" i="1"/>
  <c r="E248" i="1"/>
  <c r="A249" i="1"/>
  <c r="B249" i="1"/>
  <c r="C249" i="1"/>
  <c r="D249" i="1"/>
  <c r="E249" i="1"/>
  <c r="A250" i="1"/>
  <c r="B250" i="1"/>
  <c r="C250" i="1"/>
  <c r="D250" i="1"/>
  <c r="E250" i="1"/>
  <c r="A251" i="1"/>
  <c r="B251" i="1"/>
  <c r="C251" i="1"/>
  <c r="D251" i="1"/>
  <c r="E251" i="1"/>
  <c r="A252" i="1"/>
  <c r="B252" i="1"/>
  <c r="C252" i="1"/>
  <c r="D252" i="1"/>
  <c r="E252" i="1"/>
  <c r="A253" i="1"/>
  <c r="B253" i="1"/>
  <c r="C253" i="1"/>
  <c r="D253" i="1"/>
  <c r="E253" i="1"/>
  <c r="A254" i="1"/>
  <c r="B254" i="1"/>
  <c r="C254" i="1"/>
  <c r="D254" i="1"/>
  <c r="E254" i="1"/>
  <c r="A255" i="1"/>
  <c r="B255" i="1"/>
  <c r="C255" i="1"/>
  <c r="D255" i="1"/>
  <c r="E255" i="1"/>
  <c r="A256" i="1"/>
  <c r="B256" i="1"/>
  <c r="C256" i="1"/>
  <c r="D256" i="1"/>
  <c r="E256" i="1"/>
  <c r="A257" i="1"/>
  <c r="B257" i="1"/>
  <c r="C257" i="1"/>
  <c r="D257" i="1"/>
  <c r="E257" i="1"/>
  <c r="A258" i="1"/>
  <c r="B258" i="1"/>
  <c r="C258" i="1"/>
  <c r="D258" i="1"/>
  <c r="E258" i="1"/>
  <c r="A259" i="1"/>
  <c r="B259" i="1"/>
  <c r="C259" i="1"/>
  <c r="D259" i="1"/>
  <c r="E259" i="1"/>
  <c r="A260" i="1"/>
  <c r="B260" i="1"/>
  <c r="C260" i="1"/>
  <c r="D260" i="1"/>
  <c r="E260" i="1"/>
  <c r="A261" i="1"/>
  <c r="B261" i="1"/>
  <c r="C261" i="1"/>
  <c r="D261" i="1"/>
  <c r="E261" i="1"/>
  <c r="A262" i="1"/>
  <c r="B262" i="1"/>
  <c r="C262" i="1"/>
  <c r="D262" i="1"/>
  <c r="E262" i="1"/>
  <c r="A263" i="1"/>
  <c r="B263" i="1"/>
  <c r="C263" i="1"/>
  <c r="D263" i="1"/>
  <c r="E263" i="1"/>
  <c r="A264" i="1"/>
  <c r="B264" i="1"/>
  <c r="C264" i="1"/>
  <c r="D264" i="1"/>
  <c r="E264" i="1"/>
  <c r="A265" i="1"/>
  <c r="B265" i="1"/>
  <c r="C265" i="1"/>
  <c r="D265" i="1"/>
  <c r="E265" i="1"/>
  <c r="A266" i="1"/>
  <c r="B266" i="1"/>
  <c r="C266" i="1"/>
  <c r="D266" i="1"/>
  <c r="E266" i="1"/>
  <c r="A267" i="1"/>
  <c r="B267" i="1"/>
  <c r="C267" i="1"/>
  <c r="D267" i="1"/>
  <c r="E267" i="1"/>
  <c r="A268" i="1"/>
  <c r="B268" i="1"/>
  <c r="C268" i="1"/>
  <c r="D268" i="1"/>
  <c r="E268" i="1"/>
  <c r="A269" i="1"/>
  <c r="B269" i="1"/>
  <c r="C269" i="1"/>
  <c r="D269" i="1"/>
  <c r="E269" i="1"/>
  <c r="A270" i="1"/>
  <c r="B270" i="1"/>
  <c r="C270" i="1"/>
  <c r="D270" i="1"/>
  <c r="E270" i="1"/>
  <c r="A271" i="1"/>
  <c r="B271" i="1"/>
  <c r="C271" i="1"/>
  <c r="D271" i="1"/>
  <c r="E271" i="1"/>
  <c r="A272" i="1"/>
  <c r="B272" i="1"/>
  <c r="C272" i="1"/>
  <c r="D272" i="1"/>
  <c r="E272" i="1"/>
  <c r="A273" i="1"/>
  <c r="B273" i="1"/>
  <c r="C273" i="1"/>
  <c r="D273" i="1"/>
  <c r="E273" i="1"/>
  <c r="A274" i="1"/>
  <c r="B274" i="1"/>
  <c r="C274" i="1"/>
  <c r="D274" i="1"/>
  <c r="E274" i="1"/>
  <c r="A275" i="1"/>
  <c r="B275" i="1"/>
  <c r="C275" i="1"/>
  <c r="D275" i="1"/>
  <c r="E275" i="1"/>
  <c r="A276" i="1"/>
  <c r="B276" i="1"/>
  <c r="C276" i="1"/>
  <c r="D276" i="1"/>
  <c r="E276" i="1"/>
  <c r="A277" i="1"/>
  <c r="B277" i="1"/>
  <c r="C277" i="1"/>
  <c r="D277" i="1"/>
  <c r="E277" i="1"/>
  <c r="A278" i="1"/>
  <c r="B278" i="1"/>
  <c r="C278" i="1"/>
  <c r="D278" i="1"/>
  <c r="E278" i="1"/>
  <c r="A279" i="1"/>
  <c r="B279" i="1"/>
  <c r="C279" i="1"/>
  <c r="D279" i="1"/>
  <c r="E279" i="1"/>
  <c r="A280" i="1"/>
  <c r="B280" i="1"/>
  <c r="C280" i="1"/>
  <c r="D280" i="1"/>
  <c r="E280" i="1"/>
  <c r="A281" i="1"/>
  <c r="B281" i="1"/>
  <c r="C281" i="1"/>
  <c r="D281" i="1"/>
  <c r="E281" i="1"/>
  <c r="A282" i="1"/>
  <c r="B282" i="1"/>
  <c r="C282" i="1"/>
  <c r="D282" i="1"/>
  <c r="E282" i="1"/>
  <c r="A283" i="1"/>
  <c r="B283" i="1"/>
  <c r="C283" i="1"/>
  <c r="D283" i="1"/>
  <c r="E283" i="1"/>
  <c r="A284" i="1"/>
  <c r="B284" i="1"/>
  <c r="C284" i="1"/>
  <c r="D284" i="1"/>
  <c r="E284" i="1"/>
  <c r="A285" i="1"/>
  <c r="B285" i="1"/>
  <c r="C285" i="1"/>
  <c r="D285" i="1"/>
  <c r="E285" i="1"/>
  <c r="A286" i="1"/>
  <c r="B286" i="1"/>
  <c r="C286" i="1"/>
  <c r="D286" i="1"/>
  <c r="E286" i="1"/>
  <c r="A287" i="1"/>
  <c r="B287" i="1"/>
  <c r="C287" i="1"/>
  <c r="D287" i="1"/>
  <c r="E287" i="1"/>
  <c r="A288" i="1"/>
  <c r="B288" i="1"/>
  <c r="C288" i="1"/>
  <c r="D288" i="1"/>
  <c r="E288" i="1"/>
  <c r="A289" i="1"/>
  <c r="B289" i="1"/>
  <c r="C289" i="1"/>
  <c r="D289" i="1"/>
  <c r="E289" i="1"/>
  <c r="A290" i="1"/>
  <c r="B290" i="1"/>
  <c r="C290" i="1"/>
  <c r="D290" i="1"/>
  <c r="E290" i="1"/>
  <c r="A291" i="1"/>
  <c r="B291" i="1"/>
  <c r="C291" i="1"/>
  <c r="D291" i="1"/>
  <c r="E291" i="1"/>
  <c r="A292" i="1"/>
  <c r="B292" i="1"/>
  <c r="C292" i="1"/>
  <c r="D292" i="1"/>
  <c r="E292" i="1"/>
  <c r="A293" i="1"/>
  <c r="B293" i="1"/>
  <c r="C293" i="1"/>
  <c r="D293" i="1"/>
  <c r="E293" i="1"/>
  <c r="A294" i="1"/>
  <c r="B294" i="1"/>
  <c r="C294" i="1"/>
  <c r="D294" i="1"/>
  <c r="E294" i="1"/>
  <c r="A295" i="1"/>
  <c r="B295" i="1"/>
  <c r="C295" i="1"/>
  <c r="D295" i="1"/>
  <c r="E295" i="1"/>
  <c r="A296" i="1"/>
  <c r="B296" i="1"/>
  <c r="C296" i="1"/>
  <c r="D296" i="1"/>
  <c r="E296" i="1"/>
  <c r="A297" i="1"/>
  <c r="B297" i="1"/>
  <c r="C297" i="1"/>
  <c r="D297" i="1"/>
  <c r="E297" i="1"/>
  <c r="A298" i="1"/>
  <c r="B298" i="1"/>
  <c r="C298" i="1"/>
  <c r="D298" i="1"/>
  <c r="E298" i="1"/>
  <c r="A299" i="1"/>
  <c r="B299" i="1"/>
  <c r="C299" i="1"/>
  <c r="D299" i="1"/>
  <c r="E299" i="1"/>
  <c r="A300" i="1"/>
  <c r="B300" i="1"/>
  <c r="C300" i="1"/>
  <c r="D300" i="1"/>
  <c r="E300" i="1"/>
  <c r="A301" i="1"/>
  <c r="B301" i="1"/>
  <c r="C301" i="1"/>
  <c r="D301" i="1"/>
  <c r="E301" i="1"/>
  <c r="A302" i="1"/>
  <c r="B302" i="1"/>
  <c r="C302" i="1"/>
  <c r="D302" i="1"/>
  <c r="E302" i="1"/>
  <c r="A303" i="1"/>
  <c r="B303" i="1"/>
  <c r="C303" i="1"/>
  <c r="D303" i="1"/>
  <c r="E303" i="1"/>
  <c r="A304" i="1"/>
  <c r="B304" i="1"/>
  <c r="C304" i="1"/>
  <c r="D304" i="1"/>
  <c r="E304" i="1"/>
  <c r="A305" i="1"/>
  <c r="B305" i="1"/>
  <c r="C305" i="1"/>
  <c r="D305" i="1"/>
  <c r="E305" i="1"/>
  <c r="A306" i="1"/>
  <c r="B306" i="1"/>
  <c r="C306" i="1"/>
  <c r="D306" i="1"/>
  <c r="E306" i="1"/>
  <c r="A307" i="1"/>
  <c r="B307" i="1"/>
  <c r="C307" i="1"/>
  <c r="D307" i="1"/>
  <c r="E307" i="1"/>
  <c r="A308" i="1"/>
  <c r="B308" i="1"/>
  <c r="C308" i="1"/>
  <c r="D308" i="1"/>
  <c r="E308" i="1"/>
  <c r="A309" i="1"/>
  <c r="B309" i="1"/>
  <c r="C309" i="1"/>
  <c r="D309" i="1"/>
  <c r="E309" i="1"/>
  <c r="A310" i="1"/>
  <c r="B310" i="1"/>
  <c r="C310" i="1"/>
  <c r="D310" i="1"/>
  <c r="E310" i="1"/>
  <c r="A311" i="1"/>
  <c r="B311" i="1"/>
  <c r="C311" i="1"/>
  <c r="D311" i="1"/>
  <c r="E311" i="1"/>
  <c r="A312" i="1"/>
  <c r="B312" i="1"/>
  <c r="C312" i="1"/>
  <c r="D312" i="1"/>
  <c r="E312" i="1"/>
  <c r="A313" i="1"/>
  <c r="B313" i="1"/>
  <c r="C313" i="1"/>
  <c r="D313" i="1"/>
  <c r="E313" i="1"/>
  <c r="A314" i="1"/>
  <c r="B314" i="1"/>
  <c r="C314" i="1"/>
  <c r="D314" i="1"/>
  <c r="E314" i="1"/>
  <c r="A315" i="1"/>
  <c r="B315" i="1"/>
  <c r="C315" i="1"/>
  <c r="D315" i="1"/>
  <c r="E315" i="1"/>
  <c r="A316" i="1"/>
  <c r="B316" i="1"/>
  <c r="C316" i="1"/>
  <c r="D316" i="1"/>
  <c r="E316" i="1"/>
  <c r="A317" i="1"/>
  <c r="B317" i="1"/>
  <c r="C317" i="1"/>
  <c r="D317" i="1"/>
  <c r="E317" i="1"/>
  <c r="A318" i="1"/>
  <c r="B318" i="1"/>
  <c r="C318" i="1"/>
  <c r="D318" i="1"/>
  <c r="E318" i="1"/>
  <c r="A319" i="1"/>
  <c r="B319" i="1"/>
  <c r="C319" i="1"/>
  <c r="D319" i="1"/>
  <c r="E319" i="1"/>
  <c r="A320" i="1"/>
  <c r="B320" i="1"/>
  <c r="C320" i="1"/>
  <c r="D320" i="1"/>
  <c r="E320" i="1"/>
  <c r="A321" i="1"/>
  <c r="B321" i="1"/>
  <c r="C321" i="1"/>
  <c r="D321" i="1"/>
  <c r="E321" i="1"/>
  <c r="A322" i="1"/>
  <c r="B322" i="1"/>
  <c r="C322" i="1"/>
  <c r="D322" i="1"/>
  <c r="E322" i="1"/>
  <c r="A323" i="1"/>
  <c r="B323" i="1"/>
  <c r="C323" i="1"/>
  <c r="D323" i="1"/>
  <c r="E323" i="1"/>
  <c r="A324" i="1"/>
  <c r="B324" i="1"/>
  <c r="C324" i="1"/>
  <c r="D324" i="1"/>
  <c r="E324" i="1"/>
  <c r="A325" i="1"/>
  <c r="B325" i="1"/>
  <c r="C325" i="1"/>
  <c r="D325" i="1"/>
  <c r="E325" i="1"/>
  <c r="A326" i="1"/>
  <c r="B326" i="1"/>
  <c r="C326" i="1"/>
  <c r="D326" i="1"/>
  <c r="E326" i="1"/>
  <c r="A327" i="1"/>
  <c r="B327" i="1"/>
  <c r="C327" i="1"/>
  <c r="D327" i="1"/>
  <c r="E327" i="1"/>
  <c r="A328" i="1"/>
  <c r="B328" i="1"/>
  <c r="C328" i="1"/>
  <c r="D328" i="1"/>
  <c r="E328" i="1"/>
  <c r="A329" i="1"/>
  <c r="B329" i="1"/>
  <c r="C329" i="1"/>
  <c r="D329" i="1"/>
  <c r="E329" i="1"/>
  <c r="A330" i="1"/>
  <c r="B330" i="1"/>
  <c r="C330" i="1"/>
  <c r="D330" i="1"/>
  <c r="E330" i="1"/>
  <c r="A331" i="1"/>
  <c r="B331" i="1"/>
  <c r="C331" i="1"/>
  <c r="D331" i="1"/>
  <c r="E331" i="1"/>
  <c r="A332" i="1"/>
  <c r="B332" i="1"/>
  <c r="C332" i="1"/>
  <c r="D332" i="1"/>
  <c r="E332" i="1"/>
  <c r="A333" i="1"/>
  <c r="B333" i="1"/>
  <c r="C333" i="1"/>
  <c r="D333" i="1"/>
  <c r="E333" i="1"/>
  <c r="A334" i="1"/>
  <c r="B334" i="1"/>
  <c r="C334" i="1"/>
  <c r="D334" i="1"/>
  <c r="E334" i="1"/>
  <c r="A335" i="1"/>
  <c r="B335" i="1"/>
  <c r="C335" i="1"/>
  <c r="D335" i="1"/>
  <c r="E335" i="1"/>
  <c r="A336" i="1"/>
  <c r="B336" i="1"/>
  <c r="C336" i="1"/>
  <c r="D336" i="1"/>
  <c r="E336" i="1"/>
  <c r="A337" i="1"/>
  <c r="B337" i="1"/>
  <c r="C337" i="1"/>
  <c r="D337" i="1"/>
  <c r="E337" i="1"/>
  <c r="A338" i="1"/>
  <c r="B338" i="1"/>
  <c r="C338" i="1"/>
  <c r="D338" i="1"/>
  <c r="E338" i="1"/>
  <c r="A339" i="1"/>
  <c r="B339" i="1"/>
  <c r="C339" i="1"/>
  <c r="D339" i="1"/>
  <c r="E339" i="1"/>
  <c r="A340" i="1"/>
  <c r="B340" i="1"/>
  <c r="C340" i="1"/>
  <c r="D340" i="1"/>
  <c r="E340" i="1"/>
  <c r="A341" i="1"/>
  <c r="B341" i="1"/>
  <c r="C341" i="1"/>
  <c r="D341" i="1"/>
  <c r="E341" i="1"/>
  <c r="A342" i="1"/>
  <c r="B342" i="1"/>
  <c r="C342" i="1"/>
  <c r="D342" i="1"/>
  <c r="E342" i="1"/>
  <c r="A343" i="1"/>
  <c r="B343" i="1"/>
  <c r="C343" i="1"/>
  <c r="D343" i="1"/>
  <c r="E343" i="1"/>
  <c r="A344" i="1"/>
  <c r="B344" i="1"/>
  <c r="C344" i="1"/>
  <c r="D344" i="1"/>
  <c r="E344" i="1"/>
  <c r="A345" i="1"/>
  <c r="B345" i="1"/>
  <c r="C345" i="1"/>
  <c r="D345" i="1"/>
  <c r="E345" i="1"/>
  <c r="A346" i="1"/>
  <c r="B346" i="1"/>
  <c r="C346" i="1"/>
  <c r="D346" i="1"/>
  <c r="E346" i="1"/>
  <c r="A347" i="1"/>
  <c r="B347" i="1"/>
  <c r="C347" i="1"/>
  <c r="D347" i="1"/>
  <c r="E347" i="1"/>
  <c r="A348" i="1"/>
  <c r="B348" i="1"/>
  <c r="C348" i="1"/>
  <c r="D348" i="1"/>
  <c r="E348" i="1"/>
  <c r="A349" i="1"/>
  <c r="B349" i="1"/>
  <c r="C349" i="1"/>
  <c r="D349" i="1"/>
  <c r="E349" i="1"/>
  <c r="A350" i="1"/>
  <c r="B350" i="1"/>
  <c r="C350" i="1"/>
  <c r="D350" i="1"/>
  <c r="E350" i="1"/>
  <c r="A351" i="1"/>
  <c r="B351" i="1"/>
  <c r="C351" i="1"/>
  <c r="D351" i="1"/>
  <c r="E351" i="1"/>
  <c r="A352" i="1"/>
  <c r="B352" i="1"/>
  <c r="C352" i="1"/>
  <c r="D352" i="1"/>
  <c r="E352" i="1"/>
  <c r="A353" i="1"/>
  <c r="B353" i="1"/>
  <c r="C353" i="1"/>
  <c r="D353" i="1"/>
  <c r="E353" i="1"/>
  <c r="A354" i="1"/>
  <c r="B354" i="1"/>
  <c r="C354" i="1"/>
  <c r="D354" i="1"/>
  <c r="E354" i="1"/>
  <c r="A355" i="1"/>
  <c r="B355" i="1"/>
  <c r="C355" i="1"/>
  <c r="D355" i="1"/>
  <c r="E355" i="1"/>
  <c r="A356" i="1"/>
  <c r="B356" i="1"/>
  <c r="C356" i="1"/>
  <c r="D356" i="1"/>
  <c r="E356" i="1"/>
  <c r="A357" i="1"/>
  <c r="B357" i="1"/>
  <c r="C357" i="1"/>
  <c r="D357" i="1"/>
  <c r="E357" i="1"/>
  <c r="A358" i="1"/>
  <c r="B358" i="1"/>
  <c r="C358" i="1"/>
  <c r="D358" i="1"/>
  <c r="E358" i="1"/>
  <c r="A359" i="1"/>
  <c r="B359" i="1"/>
  <c r="C359" i="1"/>
  <c r="D359" i="1"/>
  <c r="E359" i="1"/>
  <c r="A360" i="1"/>
  <c r="B360" i="1"/>
  <c r="C360" i="1"/>
  <c r="D360" i="1"/>
  <c r="E360" i="1"/>
  <c r="A361" i="1"/>
  <c r="B361" i="1"/>
  <c r="C361" i="1"/>
  <c r="D361" i="1"/>
  <c r="E361" i="1"/>
  <c r="A362" i="1"/>
  <c r="B362" i="1"/>
  <c r="C362" i="1"/>
  <c r="D362" i="1"/>
  <c r="E362" i="1"/>
  <c r="A363" i="1"/>
  <c r="B363" i="1"/>
  <c r="C363" i="1"/>
  <c r="D363" i="1"/>
  <c r="E363" i="1"/>
  <c r="A364" i="1"/>
  <c r="B364" i="1"/>
  <c r="C364" i="1"/>
  <c r="D364" i="1"/>
  <c r="E364" i="1"/>
  <c r="A365" i="1"/>
  <c r="B365" i="1"/>
  <c r="C365" i="1"/>
  <c r="D365" i="1"/>
  <c r="E365" i="1"/>
  <c r="A366" i="1"/>
  <c r="B366" i="1"/>
  <c r="C366" i="1"/>
  <c r="D366" i="1"/>
  <c r="E366" i="1"/>
  <c r="A367" i="1"/>
  <c r="B367" i="1"/>
  <c r="C367" i="1"/>
  <c r="D367" i="1"/>
  <c r="E367" i="1"/>
  <c r="A368" i="1"/>
  <c r="B368" i="1"/>
  <c r="C368" i="1"/>
  <c r="D368" i="1"/>
  <c r="E368" i="1"/>
  <c r="A369" i="1"/>
  <c r="B369" i="1"/>
  <c r="C369" i="1"/>
  <c r="D369" i="1"/>
  <c r="E369" i="1"/>
  <c r="A370" i="1"/>
  <c r="B370" i="1"/>
  <c r="C370" i="1"/>
  <c r="D370" i="1"/>
  <c r="E370" i="1"/>
  <c r="A371" i="1"/>
  <c r="B371" i="1"/>
  <c r="C371" i="1"/>
  <c r="D371" i="1"/>
  <c r="E371" i="1"/>
  <c r="A372" i="1"/>
  <c r="B372" i="1"/>
  <c r="C372" i="1"/>
  <c r="D372" i="1"/>
  <c r="E372" i="1"/>
  <c r="A373" i="1"/>
  <c r="B373" i="1"/>
  <c r="C373" i="1"/>
  <c r="D373" i="1"/>
  <c r="E373" i="1"/>
  <c r="A374" i="1"/>
  <c r="B374" i="1"/>
  <c r="C374" i="1"/>
  <c r="D374" i="1"/>
  <c r="E374" i="1"/>
  <c r="A375" i="1"/>
  <c r="B375" i="1"/>
  <c r="C375" i="1"/>
  <c r="D375" i="1"/>
  <c r="E375" i="1"/>
  <c r="A376" i="1"/>
  <c r="B376" i="1"/>
  <c r="C376" i="1"/>
  <c r="D376" i="1"/>
  <c r="E376" i="1"/>
  <c r="A377" i="1"/>
  <c r="B377" i="1"/>
  <c r="C377" i="1"/>
  <c r="D377" i="1"/>
  <c r="E377" i="1"/>
  <c r="A378" i="1"/>
  <c r="B378" i="1"/>
  <c r="C378" i="1"/>
  <c r="D378" i="1"/>
  <c r="E378" i="1"/>
  <c r="A379" i="1"/>
  <c r="B379" i="1"/>
  <c r="C379" i="1"/>
  <c r="D379" i="1"/>
  <c r="E379" i="1"/>
  <c r="A380" i="1"/>
  <c r="B380" i="1"/>
  <c r="C380" i="1"/>
  <c r="D380" i="1"/>
  <c r="E380" i="1"/>
  <c r="A381" i="1"/>
  <c r="B381" i="1"/>
  <c r="C381" i="1"/>
  <c r="D381" i="1"/>
  <c r="E381" i="1"/>
  <c r="A382" i="1"/>
  <c r="B382" i="1"/>
  <c r="C382" i="1"/>
  <c r="D382" i="1"/>
  <c r="E382" i="1"/>
  <c r="A383" i="1"/>
  <c r="B383" i="1"/>
  <c r="C383" i="1"/>
  <c r="D383" i="1"/>
  <c r="E383" i="1"/>
  <c r="A384" i="1"/>
  <c r="B384" i="1"/>
  <c r="C384" i="1"/>
  <c r="D384" i="1"/>
  <c r="E384" i="1"/>
  <c r="A385" i="1"/>
  <c r="B385" i="1"/>
  <c r="C385" i="1"/>
  <c r="D385" i="1"/>
  <c r="E385" i="1"/>
  <c r="A386" i="1"/>
  <c r="B386" i="1"/>
  <c r="C386" i="1"/>
  <c r="D386" i="1"/>
  <c r="E386" i="1"/>
  <c r="A387" i="1"/>
  <c r="B387" i="1"/>
  <c r="C387" i="1"/>
  <c r="D387" i="1"/>
  <c r="E387" i="1"/>
  <c r="A388" i="1"/>
  <c r="B388" i="1"/>
  <c r="C388" i="1"/>
  <c r="D388" i="1"/>
  <c r="E388" i="1"/>
  <c r="A389" i="1"/>
  <c r="B389" i="1"/>
  <c r="C389" i="1"/>
  <c r="D389" i="1"/>
  <c r="E389" i="1"/>
  <c r="A390" i="1"/>
  <c r="B390" i="1"/>
  <c r="C390" i="1"/>
  <c r="D390" i="1"/>
  <c r="E390" i="1"/>
  <c r="A391" i="1"/>
  <c r="B391" i="1"/>
  <c r="C391" i="1"/>
  <c r="D391" i="1"/>
  <c r="E391" i="1"/>
  <c r="A392" i="1"/>
  <c r="B392" i="1"/>
  <c r="C392" i="1"/>
  <c r="D392" i="1"/>
  <c r="E392" i="1"/>
  <c r="A393" i="1"/>
  <c r="B393" i="1"/>
  <c r="C393" i="1"/>
  <c r="D393" i="1"/>
  <c r="E393" i="1"/>
  <c r="A394" i="1"/>
  <c r="B394" i="1"/>
  <c r="C394" i="1"/>
  <c r="D394" i="1"/>
  <c r="E394" i="1"/>
  <c r="A395" i="1"/>
  <c r="B395" i="1"/>
  <c r="C395" i="1"/>
  <c r="D395" i="1"/>
  <c r="E395" i="1"/>
  <c r="A396" i="1"/>
  <c r="B396" i="1"/>
  <c r="C396" i="1"/>
  <c r="D396" i="1"/>
  <c r="E396" i="1"/>
  <c r="A397" i="1"/>
  <c r="B397" i="1"/>
  <c r="C397" i="1"/>
  <c r="D397" i="1"/>
  <c r="E397" i="1"/>
  <c r="A398" i="1"/>
  <c r="B398" i="1"/>
  <c r="C398" i="1"/>
  <c r="D398" i="1"/>
  <c r="E398" i="1"/>
  <c r="A399" i="1"/>
  <c r="B399" i="1"/>
  <c r="C399" i="1"/>
  <c r="D399" i="1"/>
  <c r="E399" i="1"/>
  <c r="A400" i="1"/>
  <c r="B400" i="1"/>
  <c r="C400" i="1"/>
  <c r="D400" i="1"/>
  <c r="E400" i="1"/>
  <c r="A401" i="1"/>
  <c r="B401" i="1"/>
  <c r="C401" i="1"/>
  <c r="D401" i="1"/>
  <c r="E401" i="1"/>
  <c r="A402" i="1"/>
  <c r="B402" i="1"/>
  <c r="C402" i="1"/>
  <c r="D402" i="1"/>
  <c r="E402" i="1"/>
  <c r="A403" i="1"/>
  <c r="B403" i="1"/>
  <c r="C403" i="1"/>
  <c r="D403" i="1"/>
  <c r="E403" i="1"/>
  <c r="A404" i="1"/>
  <c r="B404" i="1"/>
  <c r="C404" i="1"/>
  <c r="D404" i="1"/>
  <c r="E404" i="1"/>
  <c r="A405" i="1"/>
  <c r="B405" i="1"/>
  <c r="C405" i="1"/>
  <c r="D405" i="1"/>
  <c r="E405" i="1"/>
  <c r="A406" i="1"/>
  <c r="B406" i="1"/>
  <c r="C406" i="1"/>
  <c r="D406" i="1"/>
  <c r="E406" i="1"/>
  <c r="A407" i="1"/>
  <c r="B407" i="1"/>
  <c r="C407" i="1"/>
  <c r="D407" i="1"/>
  <c r="E407" i="1"/>
  <c r="A408" i="1"/>
  <c r="B408" i="1"/>
  <c r="C408" i="1"/>
  <c r="D408" i="1"/>
  <c r="E408" i="1"/>
  <c r="A409" i="1"/>
  <c r="B409" i="1"/>
  <c r="C409" i="1"/>
  <c r="D409" i="1"/>
  <c r="E409" i="1"/>
  <c r="A410" i="1"/>
  <c r="B410" i="1"/>
  <c r="C410" i="1"/>
  <c r="D410" i="1"/>
  <c r="E410" i="1"/>
  <c r="A411" i="1"/>
  <c r="B411" i="1"/>
  <c r="C411" i="1"/>
  <c r="D411" i="1"/>
  <c r="E411" i="1"/>
  <c r="A412" i="1"/>
  <c r="B412" i="1"/>
  <c r="C412" i="1"/>
  <c r="D412" i="1"/>
  <c r="E412" i="1"/>
  <c r="A413" i="1"/>
  <c r="B413" i="1"/>
  <c r="C413" i="1"/>
  <c r="D413" i="1"/>
  <c r="E413" i="1"/>
  <c r="A414" i="1"/>
  <c r="B414" i="1"/>
  <c r="C414" i="1"/>
  <c r="D414" i="1"/>
  <c r="E414" i="1"/>
  <c r="A415" i="1"/>
  <c r="B415" i="1"/>
  <c r="C415" i="1"/>
  <c r="D415" i="1"/>
  <c r="E415" i="1"/>
  <c r="A416" i="1"/>
  <c r="B416" i="1"/>
  <c r="C416" i="1"/>
  <c r="D416" i="1"/>
  <c r="E416" i="1"/>
  <c r="A417" i="1"/>
  <c r="B417" i="1"/>
  <c r="C417" i="1"/>
  <c r="D417" i="1"/>
  <c r="E417" i="1"/>
  <c r="A418" i="1"/>
  <c r="B418" i="1"/>
  <c r="C418" i="1"/>
  <c r="D418" i="1"/>
  <c r="E418" i="1"/>
  <c r="A419" i="1"/>
  <c r="B419" i="1"/>
  <c r="C419" i="1"/>
  <c r="D419" i="1"/>
  <c r="E419" i="1"/>
  <c r="A420" i="1"/>
  <c r="B420" i="1"/>
  <c r="C420" i="1"/>
  <c r="D420" i="1"/>
  <c r="E420" i="1"/>
  <c r="A421" i="1"/>
  <c r="B421" i="1"/>
  <c r="C421" i="1"/>
  <c r="D421" i="1"/>
  <c r="E421" i="1"/>
  <c r="A422" i="1"/>
  <c r="B422" i="1"/>
  <c r="C422" i="1"/>
  <c r="D422" i="1"/>
  <c r="E422" i="1"/>
  <c r="A423" i="1"/>
  <c r="B423" i="1"/>
  <c r="C423" i="1"/>
  <c r="D423" i="1"/>
  <c r="E423" i="1"/>
  <c r="A424" i="1"/>
  <c r="B424" i="1"/>
  <c r="C424" i="1"/>
  <c r="D424" i="1"/>
  <c r="E424" i="1"/>
  <c r="A425" i="1"/>
  <c r="B425" i="1"/>
  <c r="C425" i="1"/>
  <c r="D425" i="1"/>
  <c r="E425" i="1"/>
  <c r="A426" i="1"/>
  <c r="B426" i="1"/>
  <c r="C426" i="1"/>
  <c r="D426" i="1"/>
  <c r="E426" i="1"/>
  <c r="A427" i="1"/>
  <c r="B427" i="1"/>
  <c r="C427" i="1"/>
  <c r="D427" i="1"/>
  <c r="E427" i="1"/>
  <c r="A428" i="1"/>
  <c r="B428" i="1"/>
  <c r="C428" i="1"/>
  <c r="D428" i="1"/>
  <c r="E428" i="1"/>
  <c r="A429" i="1"/>
  <c r="B429" i="1"/>
  <c r="C429" i="1"/>
  <c r="D429" i="1"/>
  <c r="E429" i="1"/>
  <c r="A430" i="1"/>
  <c r="B430" i="1"/>
  <c r="C430" i="1"/>
  <c r="D430" i="1"/>
  <c r="E430" i="1"/>
  <c r="A431" i="1"/>
  <c r="B431" i="1"/>
  <c r="C431" i="1"/>
  <c r="D431" i="1"/>
  <c r="E431" i="1"/>
  <c r="A432" i="1"/>
  <c r="B432" i="1"/>
  <c r="C432" i="1"/>
  <c r="D432" i="1"/>
  <c r="E432" i="1"/>
  <c r="A433" i="1"/>
  <c r="B433" i="1"/>
  <c r="C433" i="1"/>
  <c r="D433" i="1"/>
  <c r="E433" i="1"/>
  <c r="A434" i="1"/>
  <c r="B434" i="1"/>
  <c r="C434" i="1"/>
  <c r="D434" i="1"/>
  <c r="E434" i="1"/>
  <c r="A435" i="1"/>
  <c r="B435" i="1"/>
  <c r="C435" i="1"/>
  <c r="D435" i="1"/>
  <c r="E435" i="1"/>
  <c r="A436" i="1"/>
  <c r="B436" i="1"/>
  <c r="C436" i="1"/>
  <c r="D436" i="1"/>
  <c r="E436" i="1"/>
  <c r="A437" i="1"/>
  <c r="B437" i="1"/>
  <c r="C437" i="1"/>
  <c r="D437" i="1"/>
  <c r="E437" i="1"/>
  <c r="A438" i="1"/>
  <c r="B438" i="1"/>
  <c r="C438" i="1"/>
  <c r="D438" i="1"/>
  <c r="E438" i="1"/>
  <c r="A439" i="1"/>
  <c r="B439" i="1"/>
  <c r="C439" i="1"/>
  <c r="D439" i="1"/>
  <c r="E439" i="1"/>
  <c r="A440" i="1"/>
  <c r="B440" i="1"/>
  <c r="C440" i="1"/>
  <c r="D440" i="1"/>
  <c r="E440" i="1"/>
  <c r="A441" i="1"/>
  <c r="B441" i="1"/>
  <c r="C441" i="1"/>
  <c r="D441" i="1"/>
  <c r="E441" i="1"/>
  <c r="A442" i="1"/>
  <c r="B442" i="1"/>
  <c r="C442" i="1"/>
  <c r="D442" i="1"/>
  <c r="E442" i="1"/>
  <c r="A443" i="1"/>
  <c r="B443" i="1"/>
  <c r="C443" i="1"/>
  <c r="D443" i="1"/>
  <c r="E443" i="1"/>
  <c r="A444" i="1"/>
  <c r="B444" i="1"/>
  <c r="C444" i="1"/>
  <c r="D444" i="1"/>
  <c r="E444" i="1"/>
  <c r="A445" i="1"/>
  <c r="B445" i="1"/>
  <c r="C445" i="1"/>
  <c r="D445" i="1"/>
  <c r="E445" i="1"/>
  <c r="A446" i="1"/>
  <c r="B446" i="1"/>
  <c r="C446" i="1"/>
  <c r="D446" i="1"/>
  <c r="E446" i="1"/>
  <c r="A447" i="1"/>
  <c r="B447" i="1"/>
  <c r="C447" i="1"/>
  <c r="D447" i="1"/>
  <c r="E447" i="1"/>
  <c r="A448" i="1"/>
  <c r="B448" i="1"/>
  <c r="C448" i="1"/>
  <c r="D448" i="1"/>
  <c r="E448" i="1"/>
  <c r="A449" i="1"/>
  <c r="B449" i="1"/>
  <c r="C449" i="1"/>
  <c r="D449" i="1"/>
  <c r="E449" i="1"/>
  <c r="A450" i="1"/>
  <c r="B450" i="1"/>
  <c r="C450" i="1"/>
  <c r="D450" i="1"/>
  <c r="E450" i="1"/>
  <c r="A451" i="1"/>
  <c r="B451" i="1"/>
  <c r="C451" i="1"/>
  <c r="D451" i="1"/>
  <c r="E451" i="1"/>
  <c r="A452" i="1"/>
  <c r="B452" i="1"/>
  <c r="C452" i="1"/>
  <c r="D452" i="1"/>
  <c r="E452" i="1"/>
  <c r="A453" i="1"/>
  <c r="B453" i="1"/>
  <c r="C453" i="1"/>
  <c r="D453" i="1"/>
  <c r="E453" i="1"/>
  <c r="A454" i="1"/>
  <c r="B454" i="1"/>
  <c r="C454" i="1"/>
  <c r="D454" i="1"/>
  <c r="E454" i="1"/>
  <c r="A455" i="1"/>
  <c r="B455" i="1"/>
  <c r="C455" i="1"/>
  <c r="D455" i="1"/>
  <c r="E455" i="1"/>
  <c r="A456" i="1"/>
  <c r="B456" i="1"/>
  <c r="C456" i="1"/>
  <c r="D456" i="1"/>
  <c r="E456" i="1"/>
  <c r="A457" i="1"/>
  <c r="B457" i="1"/>
  <c r="C457" i="1"/>
  <c r="D457" i="1"/>
  <c r="E457" i="1"/>
  <c r="A458" i="1"/>
  <c r="B458" i="1"/>
  <c r="C458" i="1"/>
  <c r="D458" i="1"/>
  <c r="E458" i="1"/>
  <c r="A459" i="1"/>
  <c r="B459" i="1"/>
  <c r="C459" i="1"/>
  <c r="D459" i="1"/>
  <c r="E459" i="1"/>
  <c r="A460" i="1"/>
  <c r="B460" i="1"/>
  <c r="C460" i="1"/>
  <c r="D460" i="1"/>
  <c r="E460" i="1"/>
  <c r="A461" i="1"/>
  <c r="B461" i="1"/>
  <c r="C461" i="1"/>
  <c r="D461" i="1"/>
  <c r="E461" i="1"/>
  <c r="A462" i="1"/>
  <c r="B462" i="1"/>
  <c r="C462" i="1"/>
  <c r="D462" i="1"/>
  <c r="E462" i="1"/>
  <c r="A463" i="1"/>
  <c r="B463" i="1"/>
  <c r="C463" i="1"/>
  <c r="D463" i="1"/>
  <c r="E463" i="1"/>
  <c r="A464" i="1"/>
  <c r="B464" i="1"/>
  <c r="C464" i="1"/>
  <c r="D464" i="1"/>
  <c r="E464" i="1"/>
  <c r="A465" i="1"/>
  <c r="B465" i="1"/>
  <c r="C465" i="1"/>
  <c r="D465" i="1"/>
  <c r="E465" i="1"/>
  <c r="A466" i="1"/>
  <c r="B466" i="1"/>
  <c r="C466" i="1"/>
  <c r="D466" i="1"/>
  <c r="E466" i="1"/>
  <c r="A467" i="1"/>
  <c r="B467" i="1"/>
  <c r="C467" i="1"/>
  <c r="D467" i="1"/>
  <c r="E467" i="1"/>
  <c r="A468" i="1"/>
  <c r="B468" i="1"/>
  <c r="C468" i="1"/>
  <c r="D468" i="1"/>
  <c r="E468" i="1"/>
  <c r="A469" i="1"/>
  <c r="B469" i="1"/>
  <c r="C469" i="1"/>
  <c r="D469" i="1"/>
  <c r="E469" i="1"/>
  <c r="A470" i="1"/>
  <c r="B470" i="1"/>
  <c r="C470" i="1"/>
  <c r="D470" i="1"/>
  <c r="E470" i="1"/>
  <c r="A471" i="1"/>
  <c r="B471" i="1"/>
  <c r="C471" i="1"/>
  <c r="D471" i="1"/>
  <c r="E471" i="1"/>
  <c r="A472" i="1"/>
  <c r="B472" i="1"/>
  <c r="C472" i="1"/>
  <c r="D472" i="1"/>
  <c r="E472" i="1"/>
  <c r="A473" i="1"/>
  <c r="B473" i="1"/>
  <c r="C473" i="1"/>
  <c r="D473" i="1"/>
  <c r="E473" i="1"/>
  <c r="A474" i="1"/>
  <c r="B474" i="1"/>
  <c r="C474" i="1"/>
  <c r="D474" i="1"/>
  <c r="E474" i="1"/>
  <c r="A475" i="1"/>
  <c r="B475" i="1"/>
  <c r="C475" i="1"/>
  <c r="D475" i="1"/>
  <c r="E475" i="1"/>
  <c r="A476" i="1"/>
  <c r="B476" i="1"/>
  <c r="C476" i="1"/>
  <c r="D476" i="1"/>
  <c r="E476" i="1"/>
  <c r="A477" i="1"/>
  <c r="B477" i="1"/>
  <c r="C477" i="1"/>
  <c r="D477" i="1"/>
  <c r="E477" i="1"/>
  <c r="A478" i="1"/>
  <c r="B478" i="1"/>
  <c r="C478" i="1"/>
  <c r="D478" i="1"/>
  <c r="E478" i="1"/>
  <c r="A479" i="1"/>
  <c r="B479" i="1"/>
  <c r="C479" i="1"/>
  <c r="D479" i="1"/>
  <c r="E479" i="1"/>
  <c r="A480" i="1"/>
  <c r="B480" i="1"/>
  <c r="C480" i="1"/>
  <c r="D480" i="1"/>
  <c r="E480" i="1"/>
  <c r="A481" i="1"/>
  <c r="B481" i="1"/>
  <c r="C481" i="1"/>
  <c r="D481" i="1"/>
  <c r="E481" i="1"/>
  <c r="A482" i="1"/>
  <c r="B482" i="1"/>
  <c r="C482" i="1"/>
  <c r="D482" i="1"/>
  <c r="E482" i="1"/>
  <c r="A483" i="1"/>
  <c r="B483" i="1"/>
  <c r="C483" i="1"/>
  <c r="D483" i="1"/>
  <c r="E483" i="1"/>
  <c r="A484" i="1"/>
  <c r="B484" i="1"/>
  <c r="C484" i="1"/>
  <c r="D484" i="1"/>
  <c r="E484" i="1"/>
  <c r="A485" i="1"/>
  <c r="B485" i="1"/>
  <c r="C485" i="1"/>
  <c r="D485" i="1"/>
  <c r="E485" i="1"/>
  <c r="A486" i="1"/>
  <c r="B486" i="1"/>
  <c r="C486" i="1"/>
  <c r="D486" i="1"/>
  <c r="E486" i="1"/>
  <c r="A487" i="1"/>
  <c r="B487" i="1"/>
  <c r="C487" i="1"/>
  <c r="D487" i="1"/>
  <c r="E487" i="1"/>
  <c r="A488" i="1"/>
  <c r="B488" i="1"/>
  <c r="C488" i="1"/>
  <c r="D488" i="1"/>
  <c r="E488" i="1"/>
  <c r="A489" i="1"/>
  <c r="B489" i="1"/>
  <c r="C489" i="1"/>
  <c r="D489" i="1"/>
  <c r="E489" i="1"/>
  <c r="A490" i="1"/>
  <c r="B490" i="1"/>
  <c r="C490" i="1"/>
  <c r="D490" i="1"/>
  <c r="E490" i="1"/>
  <c r="A491" i="1"/>
  <c r="B491" i="1"/>
  <c r="C491" i="1"/>
  <c r="D491" i="1"/>
  <c r="E491" i="1"/>
  <c r="A492" i="1"/>
  <c r="B492" i="1"/>
  <c r="C492" i="1"/>
  <c r="D492" i="1"/>
  <c r="E492" i="1"/>
  <c r="A493" i="1"/>
  <c r="B493" i="1"/>
  <c r="C493" i="1"/>
  <c r="D493" i="1"/>
  <c r="E493" i="1"/>
  <c r="A494" i="1"/>
  <c r="B494" i="1"/>
  <c r="C494" i="1"/>
  <c r="D494" i="1"/>
  <c r="E494" i="1"/>
  <c r="A495" i="1"/>
  <c r="B495" i="1"/>
  <c r="C495" i="1"/>
  <c r="D495" i="1"/>
  <c r="E495" i="1"/>
  <c r="A496" i="1"/>
  <c r="B496" i="1"/>
  <c r="C496" i="1"/>
  <c r="D496" i="1"/>
  <c r="E496" i="1"/>
  <c r="A497" i="1"/>
  <c r="B497" i="1"/>
  <c r="C497" i="1"/>
  <c r="D497" i="1"/>
  <c r="E497" i="1"/>
  <c r="A498" i="1"/>
  <c r="B498" i="1"/>
  <c r="C498" i="1"/>
  <c r="D498" i="1"/>
  <c r="E498" i="1"/>
  <c r="A499" i="1"/>
  <c r="B499" i="1"/>
  <c r="C499" i="1"/>
  <c r="D499" i="1"/>
  <c r="E499" i="1"/>
  <c r="A500" i="1"/>
  <c r="B500" i="1"/>
  <c r="C500" i="1"/>
  <c r="D500" i="1"/>
  <c r="E500" i="1"/>
  <c r="A501" i="1"/>
  <c r="B501" i="1"/>
  <c r="C501" i="1"/>
  <c r="D501" i="1"/>
  <c r="E501" i="1"/>
  <c r="A502" i="1"/>
  <c r="B502" i="1"/>
  <c r="C502" i="1"/>
  <c r="D502" i="1"/>
  <c r="E502" i="1"/>
  <c r="A503" i="1"/>
  <c r="B503" i="1"/>
  <c r="C503" i="1"/>
  <c r="D503" i="1"/>
  <c r="E503" i="1"/>
  <c r="A504" i="1"/>
  <c r="B504" i="1"/>
  <c r="C504" i="1"/>
  <c r="D504" i="1"/>
  <c r="E504" i="1"/>
  <c r="A505" i="1"/>
  <c r="B505" i="1"/>
  <c r="C505" i="1"/>
  <c r="D505" i="1"/>
  <c r="E505" i="1"/>
  <c r="A506" i="1"/>
  <c r="B506" i="1"/>
  <c r="C506" i="1"/>
  <c r="D506" i="1"/>
  <c r="E506" i="1"/>
  <c r="A507" i="1"/>
  <c r="B507" i="1"/>
  <c r="C507" i="1"/>
  <c r="D507" i="1"/>
  <c r="E507" i="1"/>
  <c r="A508" i="1"/>
  <c r="B508" i="1"/>
  <c r="C508" i="1"/>
  <c r="D508" i="1"/>
  <c r="E508" i="1"/>
  <c r="A509" i="1"/>
  <c r="B509" i="1"/>
  <c r="C509" i="1"/>
  <c r="D509" i="1"/>
  <c r="E509" i="1"/>
  <c r="A510" i="1"/>
  <c r="B510" i="1"/>
  <c r="C510" i="1"/>
  <c r="D510" i="1"/>
  <c r="E510" i="1"/>
  <c r="A511" i="1"/>
  <c r="B511" i="1"/>
  <c r="C511" i="1"/>
  <c r="D511" i="1"/>
  <c r="E511" i="1"/>
  <c r="A512" i="1"/>
  <c r="B512" i="1"/>
  <c r="C512" i="1"/>
  <c r="D512" i="1"/>
  <c r="E512" i="1"/>
  <c r="A513" i="1"/>
  <c r="B513" i="1"/>
  <c r="C513" i="1"/>
  <c r="D513" i="1"/>
  <c r="E513" i="1"/>
  <c r="A514" i="1"/>
  <c r="B514" i="1"/>
  <c r="C514" i="1"/>
  <c r="D514" i="1"/>
  <c r="E514" i="1"/>
  <c r="A515" i="1"/>
  <c r="B515" i="1"/>
  <c r="C515" i="1"/>
  <c r="D515" i="1"/>
  <c r="E515" i="1"/>
  <c r="A516" i="1"/>
  <c r="B516" i="1"/>
  <c r="C516" i="1"/>
  <c r="D516" i="1"/>
  <c r="E516" i="1"/>
  <c r="A517" i="1"/>
  <c r="B517" i="1"/>
  <c r="C517" i="1"/>
  <c r="D517" i="1"/>
  <c r="E517" i="1"/>
  <c r="A518" i="1"/>
  <c r="B518" i="1"/>
  <c r="C518" i="1"/>
  <c r="D518" i="1"/>
  <c r="E518" i="1"/>
  <c r="A519" i="1"/>
  <c r="B519" i="1"/>
  <c r="C519" i="1"/>
  <c r="D519" i="1"/>
  <c r="E519" i="1"/>
  <c r="A520" i="1"/>
  <c r="B520" i="1"/>
  <c r="C520" i="1"/>
  <c r="D520" i="1"/>
  <c r="E520" i="1"/>
  <c r="A521" i="1"/>
  <c r="B521" i="1"/>
  <c r="C521" i="1"/>
  <c r="D521" i="1"/>
  <c r="E521" i="1"/>
  <c r="A522" i="1"/>
  <c r="B522" i="1"/>
  <c r="C522" i="1"/>
  <c r="D522" i="1"/>
  <c r="E522" i="1"/>
  <c r="A523" i="1"/>
  <c r="B523" i="1"/>
  <c r="C523" i="1"/>
  <c r="D523" i="1"/>
  <c r="E523" i="1"/>
  <c r="A524" i="1"/>
  <c r="B524" i="1"/>
  <c r="C524" i="1"/>
  <c r="D524" i="1"/>
  <c r="E524" i="1"/>
  <c r="A525" i="1"/>
  <c r="B525" i="1"/>
  <c r="C525" i="1"/>
  <c r="D525" i="1"/>
  <c r="E525" i="1"/>
  <c r="A526" i="1"/>
  <c r="B526" i="1"/>
  <c r="C526" i="1"/>
  <c r="D526" i="1"/>
  <c r="E526" i="1"/>
  <c r="A527" i="1"/>
  <c r="B527" i="1"/>
  <c r="C527" i="1"/>
  <c r="D527" i="1"/>
  <c r="E527" i="1"/>
  <c r="A528" i="1"/>
  <c r="B528" i="1"/>
  <c r="C528" i="1"/>
  <c r="D528" i="1"/>
  <c r="E528" i="1"/>
  <c r="A529" i="1"/>
  <c r="B529" i="1"/>
  <c r="C529" i="1"/>
  <c r="D529" i="1"/>
  <c r="E529" i="1"/>
  <c r="A530" i="1"/>
  <c r="B530" i="1"/>
  <c r="C530" i="1"/>
  <c r="D530" i="1"/>
  <c r="E530" i="1"/>
  <c r="A531" i="1"/>
  <c r="B531" i="1"/>
  <c r="C531" i="1"/>
  <c r="D531" i="1"/>
  <c r="E531" i="1"/>
  <c r="A532" i="1"/>
  <c r="B532" i="1"/>
  <c r="C532" i="1"/>
  <c r="D532" i="1"/>
  <c r="E532" i="1"/>
  <c r="A533" i="1"/>
  <c r="B533" i="1"/>
  <c r="C533" i="1"/>
  <c r="D533" i="1"/>
  <c r="E533" i="1"/>
  <c r="A534" i="1"/>
  <c r="B534" i="1"/>
  <c r="C534" i="1"/>
  <c r="D534" i="1"/>
  <c r="E534" i="1"/>
  <c r="A535" i="1"/>
  <c r="B535" i="1"/>
  <c r="C535" i="1"/>
  <c r="D535" i="1"/>
  <c r="E535" i="1"/>
  <c r="A536" i="1"/>
  <c r="B536" i="1"/>
  <c r="C536" i="1"/>
  <c r="D536" i="1"/>
  <c r="E536" i="1"/>
  <c r="A537" i="1"/>
  <c r="B537" i="1"/>
  <c r="C537" i="1"/>
  <c r="D537" i="1"/>
  <c r="E537" i="1"/>
  <c r="A538" i="1"/>
  <c r="B538" i="1"/>
  <c r="C538" i="1"/>
  <c r="D538" i="1"/>
  <c r="E538" i="1"/>
  <c r="A539" i="1"/>
  <c r="B539" i="1"/>
  <c r="C539" i="1"/>
  <c r="D539" i="1"/>
  <c r="E539" i="1"/>
  <c r="A540" i="1"/>
  <c r="B540" i="1"/>
  <c r="C540" i="1"/>
  <c r="D540" i="1"/>
  <c r="E540" i="1"/>
  <c r="A541" i="1"/>
  <c r="B541" i="1"/>
  <c r="C541" i="1"/>
  <c r="D541" i="1"/>
  <c r="E541" i="1"/>
  <c r="A542" i="1"/>
  <c r="B542" i="1"/>
  <c r="C542" i="1"/>
  <c r="D542" i="1"/>
  <c r="E542" i="1"/>
  <c r="A543" i="1"/>
  <c r="B543" i="1"/>
  <c r="C543" i="1"/>
  <c r="D543" i="1"/>
  <c r="E543" i="1"/>
  <c r="A544" i="1"/>
  <c r="B544" i="1"/>
  <c r="C544" i="1"/>
  <c r="D544" i="1"/>
  <c r="E544" i="1"/>
  <c r="A545" i="1"/>
  <c r="B545" i="1"/>
  <c r="C545" i="1"/>
  <c r="D545" i="1"/>
  <c r="E545" i="1"/>
  <c r="A546" i="1"/>
  <c r="B546" i="1"/>
  <c r="C546" i="1"/>
  <c r="D546" i="1"/>
  <c r="E546" i="1"/>
  <c r="A547" i="1"/>
  <c r="B547" i="1"/>
  <c r="C547" i="1"/>
  <c r="D547" i="1"/>
  <c r="E547" i="1"/>
  <c r="A548" i="1"/>
  <c r="B548" i="1"/>
  <c r="C548" i="1"/>
  <c r="D548" i="1"/>
  <c r="E548" i="1"/>
  <c r="A549" i="1"/>
  <c r="B549" i="1"/>
  <c r="C549" i="1"/>
  <c r="D549" i="1"/>
  <c r="E549" i="1"/>
  <c r="A550" i="1"/>
  <c r="B550" i="1"/>
  <c r="C550" i="1"/>
  <c r="D550" i="1"/>
  <c r="E550" i="1"/>
  <c r="A551" i="1"/>
  <c r="B551" i="1"/>
  <c r="C551" i="1"/>
  <c r="D551" i="1"/>
  <c r="E551" i="1"/>
  <c r="A552" i="1"/>
  <c r="B552" i="1"/>
  <c r="C552" i="1"/>
  <c r="D552" i="1"/>
  <c r="E552" i="1"/>
  <c r="A553" i="1"/>
  <c r="B553" i="1"/>
  <c r="C553" i="1"/>
  <c r="D553" i="1"/>
  <c r="E553" i="1"/>
  <c r="A554" i="1"/>
  <c r="B554" i="1"/>
  <c r="C554" i="1"/>
  <c r="D554" i="1"/>
  <c r="E554" i="1"/>
  <c r="A555" i="1"/>
  <c r="B555" i="1"/>
  <c r="C555" i="1"/>
  <c r="D555" i="1"/>
  <c r="E555" i="1"/>
  <c r="A556" i="1"/>
  <c r="B556" i="1"/>
  <c r="C556" i="1"/>
  <c r="D556" i="1"/>
  <c r="E556" i="1"/>
  <c r="A557" i="1"/>
  <c r="B557" i="1"/>
  <c r="C557" i="1"/>
  <c r="D557" i="1"/>
  <c r="E557" i="1"/>
  <c r="A558" i="1"/>
  <c r="B558" i="1"/>
  <c r="C558" i="1"/>
  <c r="D558" i="1"/>
  <c r="E558" i="1"/>
  <c r="A559" i="1"/>
  <c r="B559" i="1"/>
  <c r="C559" i="1"/>
  <c r="D559" i="1"/>
  <c r="E559" i="1"/>
  <c r="A560" i="1"/>
  <c r="B560" i="1"/>
  <c r="C560" i="1"/>
  <c r="D560" i="1"/>
  <c r="E560" i="1"/>
  <c r="A561" i="1"/>
  <c r="B561" i="1"/>
  <c r="C561" i="1"/>
  <c r="D561" i="1"/>
  <c r="E561" i="1"/>
  <c r="A562" i="1"/>
  <c r="B562" i="1"/>
  <c r="C562" i="1"/>
  <c r="D562" i="1"/>
  <c r="E562" i="1"/>
  <c r="A563" i="1"/>
  <c r="B563" i="1"/>
  <c r="C563" i="1"/>
  <c r="D563" i="1"/>
  <c r="E563" i="1"/>
  <c r="A564" i="1"/>
  <c r="B564" i="1"/>
  <c r="C564" i="1"/>
  <c r="D564" i="1"/>
  <c r="E564" i="1"/>
  <c r="A565" i="1"/>
  <c r="B565" i="1"/>
  <c r="C565" i="1"/>
  <c r="D565" i="1"/>
  <c r="E565" i="1"/>
  <c r="A566" i="1"/>
  <c r="B566" i="1"/>
  <c r="C566" i="1"/>
  <c r="D566" i="1"/>
  <c r="E566" i="1"/>
  <c r="A567" i="1"/>
  <c r="B567" i="1"/>
  <c r="C567" i="1"/>
  <c r="D567" i="1"/>
  <c r="E567" i="1"/>
  <c r="A568" i="1"/>
  <c r="B568" i="1"/>
  <c r="C568" i="1"/>
  <c r="D568" i="1"/>
  <c r="E568" i="1"/>
  <c r="A569" i="1"/>
  <c r="B569" i="1"/>
  <c r="C569" i="1"/>
  <c r="D569" i="1"/>
  <c r="E569" i="1"/>
  <c r="A570" i="1"/>
  <c r="B570" i="1"/>
  <c r="C570" i="1"/>
  <c r="D570" i="1"/>
  <c r="E570" i="1"/>
  <c r="A571" i="1"/>
  <c r="B571" i="1"/>
  <c r="C571" i="1"/>
  <c r="D571" i="1"/>
  <c r="E571" i="1"/>
  <c r="A572" i="1"/>
  <c r="B572" i="1"/>
  <c r="C572" i="1"/>
  <c r="D572" i="1"/>
  <c r="E572" i="1"/>
  <c r="A573" i="1"/>
  <c r="B573" i="1"/>
  <c r="C573" i="1"/>
  <c r="D573" i="1"/>
  <c r="E573" i="1"/>
  <c r="A574" i="1"/>
  <c r="B574" i="1"/>
  <c r="C574" i="1"/>
  <c r="D574" i="1"/>
  <c r="E574" i="1"/>
  <c r="A575" i="1"/>
  <c r="B575" i="1"/>
  <c r="C575" i="1"/>
  <c r="D575" i="1"/>
  <c r="E575" i="1"/>
  <c r="A576" i="1"/>
  <c r="B576" i="1"/>
  <c r="C576" i="1"/>
  <c r="D576" i="1"/>
  <c r="E576" i="1"/>
  <c r="A577" i="1"/>
  <c r="B577" i="1"/>
  <c r="C577" i="1"/>
  <c r="D577" i="1"/>
  <c r="E577" i="1"/>
  <c r="A578" i="1"/>
  <c r="B578" i="1"/>
  <c r="C578" i="1"/>
  <c r="D578" i="1"/>
  <c r="E578" i="1"/>
  <c r="A579" i="1"/>
  <c r="B579" i="1"/>
  <c r="C579" i="1"/>
  <c r="D579" i="1"/>
  <c r="E579" i="1"/>
  <c r="A580" i="1"/>
  <c r="B580" i="1"/>
  <c r="C580" i="1"/>
  <c r="D580" i="1"/>
  <c r="E580" i="1"/>
  <c r="A581" i="1"/>
  <c r="B581" i="1"/>
  <c r="C581" i="1"/>
  <c r="D581" i="1"/>
  <c r="E581" i="1"/>
  <c r="A582" i="1"/>
  <c r="B582" i="1"/>
  <c r="C582" i="1"/>
  <c r="D582" i="1"/>
  <c r="E582" i="1"/>
  <c r="A583" i="1"/>
  <c r="B583" i="1"/>
  <c r="C583" i="1"/>
  <c r="D583" i="1"/>
  <c r="E583" i="1"/>
  <c r="A584" i="1"/>
  <c r="B584" i="1"/>
  <c r="C584" i="1"/>
  <c r="D584" i="1"/>
  <c r="E584" i="1"/>
  <c r="A585" i="1"/>
  <c r="B585" i="1"/>
  <c r="C585" i="1"/>
  <c r="D585" i="1"/>
  <c r="E585" i="1"/>
  <c r="A586" i="1"/>
  <c r="B586" i="1"/>
  <c r="C586" i="1"/>
  <c r="D586" i="1"/>
  <c r="E586" i="1"/>
  <c r="A587" i="1"/>
  <c r="B587" i="1"/>
  <c r="C587" i="1"/>
  <c r="D587" i="1"/>
  <c r="E587" i="1"/>
  <c r="A588" i="1"/>
  <c r="B588" i="1"/>
  <c r="C588" i="1"/>
  <c r="D588" i="1"/>
  <c r="E588" i="1"/>
  <c r="A589" i="1"/>
  <c r="B589" i="1"/>
  <c r="C589" i="1"/>
  <c r="D589" i="1"/>
  <c r="E589" i="1"/>
  <c r="A590" i="1"/>
  <c r="B590" i="1"/>
  <c r="C590" i="1"/>
  <c r="D590" i="1"/>
  <c r="E590" i="1"/>
  <c r="A591" i="1"/>
  <c r="B591" i="1"/>
  <c r="C591" i="1"/>
  <c r="D591" i="1"/>
  <c r="E591" i="1"/>
  <c r="A592" i="1"/>
  <c r="B592" i="1"/>
  <c r="C592" i="1"/>
  <c r="D592" i="1"/>
  <c r="E592" i="1"/>
  <c r="A593" i="1"/>
  <c r="B593" i="1"/>
  <c r="C593" i="1"/>
  <c r="D593" i="1"/>
  <c r="E593" i="1"/>
  <c r="A594" i="1"/>
  <c r="B594" i="1"/>
  <c r="C594" i="1"/>
  <c r="D594" i="1"/>
  <c r="E594" i="1"/>
  <c r="A595" i="1"/>
  <c r="B595" i="1"/>
  <c r="C595" i="1"/>
  <c r="D595" i="1"/>
  <c r="E595" i="1"/>
  <c r="A596" i="1"/>
  <c r="B596" i="1"/>
  <c r="C596" i="1"/>
  <c r="D596" i="1"/>
  <c r="E596" i="1"/>
  <c r="A597" i="1"/>
  <c r="B597" i="1"/>
  <c r="C597" i="1"/>
  <c r="D597" i="1"/>
  <c r="E597" i="1"/>
  <c r="A598" i="1"/>
  <c r="B598" i="1"/>
  <c r="C598" i="1"/>
  <c r="D598" i="1"/>
  <c r="E598" i="1"/>
  <c r="A599" i="1"/>
  <c r="B599" i="1"/>
  <c r="C599" i="1"/>
  <c r="D599" i="1"/>
  <c r="E599" i="1"/>
  <c r="A600" i="1"/>
  <c r="B600" i="1"/>
  <c r="C600" i="1"/>
  <c r="D600" i="1"/>
  <c r="E600" i="1"/>
  <c r="A601" i="1"/>
  <c r="B601" i="1"/>
  <c r="C601" i="1"/>
  <c r="D601" i="1"/>
  <c r="E601" i="1"/>
  <c r="A602" i="1"/>
  <c r="B602" i="1"/>
  <c r="C602" i="1"/>
  <c r="D602" i="1"/>
  <c r="E602" i="1"/>
  <c r="A603" i="1"/>
  <c r="B603" i="1"/>
  <c r="C603" i="1"/>
  <c r="D603" i="1"/>
  <c r="E603" i="1"/>
  <c r="A604" i="1"/>
  <c r="B604" i="1"/>
  <c r="C604" i="1"/>
  <c r="D604" i="1"/>
  <c r="E604" i="1"/>
  <c r="A605" i="1"/>
  <c r="B605" i="1"/>
  <c r="C605" i="1"/>
  <c r="D605" i="1"/>
  <c r="E605" i="1"/>
  <c r="A606" i="1"/>
  <c r="B606" i="1"/>
  <c r="C606" i="1"/>
  <c r="D606" i="1"/>
  <c r="E606" i="1"/>
  <c r="A607" i="1"/>
  <c r="B607" i="1"/>
  <c r="C607" i="1"/>
  <c r="D607" i="1"/>
  <c r="E607" i="1"/>
  <c r="A608" i="1"/>
  <c r="B608" i="1"/>
  <c r="C608" i="1"/>
  <c r="D608" i="1"/>
  <c r="E608" i="1"/>
  <c r="A609" i="1"/>
  <c r="B609" i="1"/>
  <c r="C609" i="1"/>
  <c r="D609" i="1"/>
  <c r="E609" i="1"/>
  <c r="A610" i="1"/>
  <c r="B610" i="1"/>
  <c r="C610" i="1"/>
  <c r="D610" i="1"/>
  <c r="E610" i="1"/>
  <c r="A611" i="1"/>
  <c r="B611" i="1"/>
  <c r="C611" i="1"/>
  <c r="D611" i="1"/>
  <c r="E611" i="1"/>
  <c r="A612" i="1"/>
  <c r="B612" i="1"/>
  <c r="C612" i="1"/>
  <c r="D612" i="1"/>
  <c r="E612" i="1"/>
  <c r="A613" i="1"/>
  <c r="B613" i="1"/>
  <c r="C613" i="1"/>
  <c r="D613" i="1"/>
  <c r="E613" i="1"/>
  <c r="A614" i="1"/>
  <c r="B614" i="1"/>
  <c r="C614" i="1"/>
  <c r="D614" i="1"/>
  <c r="E614" i="1"/>
  <c r="A615" i="1"/>
  <c r="B615" i="1"/>
  <c r="C615" i="1"/>
  <c r="D615" i="1"/>
  <c r="E615" i="1"/>
  <c r="A616" i="1"/>
  <c r="B616" i="1"/>
  <c r="C616" i="1"/>
  <c r="D616" i="1"/>
  <c r="E616" i="1"/>
  <c r="A617" i="1"/>
  <c r="B617" i="1"/>
  <c r="C617" i="1"/>
  <c r="D617" i="1"/>
  <c r="E617" i="1"/>
  <c r="A618" i="1"/>
  <c r="B618" i="1"/>
  <c r="C618" i="1"/>
  <c r="D618" i="1"/>
  <c r="E618" i="1"/>
  <c r="A619" i="1"/>
  <c r="B619" i="1"/>
  <c r="C619" i="1"/>
  <c r="D619" i="1"/>
  <c r="E619" i="1"/>
  <c r="A620" i="1"/>
  <c r="B620" i="1"/>
  <c r="C620" i="1"/>
  <c r="D620" i="1"/>
  <c r="E620" i="1"/>
  <c r="A621" i="1"/>
  <c r="B621" i="1"/>
  <c r="C621" i="1"/>
  <c r="D621" i="1"/>
  <c r="E621" i="1"/>
  <c r="A622" i="1"/>
  <c r="B622" i="1"/>
  <c r="C622" i="1"/>
  <c r="D622" i="1"/>
  <c r="E622" i="1"/>
  <c r="A623" i="1"/>
  <c r="B623" i="1"/>
  <c r="C623" i="1"/>
  <c r="D623" i="1"/>
  <c r="E623" i="1"/>
  <c r="A624" i="1"/>
  <c r="B624" i="1"/>
  <c r="C624" i="1"/>
  <c r="D624" i="1"/>
  <c r="E624" i="1"/>
  <c r="A625" i="1"/>
  <c r="B625" i="1"/>
  <c r="C625" i="1"/>
  <c r="D625" i="1"/>
  <c r="E625" i="1"/>
  <c r="A626" i="1"/>
  <c r="B626" i="1"/>
  <c r="C626" i="1"/>
  <c r="D626" i="1"/>
  <c r="E626" i="1"/>
  <c r="A627" i="1"/>
  <c r="B627" i="1"/>
  <c r="C627" i="1"/>
  <c r="D627" i="1"/>
  <c r="E627" i="1"/>
  <c r="A628" i="1"/>
  <c r="B628" i="1"/>
  <c r="C628" i="1"/>
  <c r="D628" i="1"/>
  <c r="E628" i="1"/>
  <c r="A629" i="1"/>
  <c r="B629" i="1"/>
  <c r="C629" i="1"/>
  <c r="D629" i="1"/>
  <c r="E629" i="1"/>
  <c r="A630" i="1"/>
  <c r="B630" i="1"/>
  <c r="C630" i="1"/>
  <c r="D630" i="1"/>
  <c r="E630" i="1"/>
  <c r="A631" i="1"/>
  <c r="B631" i="1"/>
  <c r="C631" i="1"/>
  <c r="D631" i="1"/>
  <c r="E631" i="1"/>
  <c r="A632" i="1"/>
  <c r="B632" i="1"/>
  <c r="C632" i="1"/>
  <c r="D632" i="1"/>
  <c r="E632" i="1"/>
  <c r="A633" i="1"/>
  <c r="B633" i="1"/>
  <c r="C633" i="1"/>
  <c r="D633" i="1"/>
  <c r="E633" i="1"/>
  <c r="A634" i="1"/>
  <c r="B634" i="1"/>
  <c r="C634" i="1"/>
  <c r="D634" i="1"/>
  <c r="E634" i="1"/>
  <c r="A635" i="1"/>
  <c r="B635" i="1"/>
  <c r="C635" i="1"/>
  <c r="D635" i="1"/>
  <c r="E635" i="1"/>
  <c r="A636" i="1"/>
  <c r="B636" i="1"/>
  <c r="C636" i="1"/>
  <c r="D636" i="1"/>
  <c r="E636" i="1"/>
  <c r="A637" i="1"/>
  <c r="B637" i="1"/>
  <c r="C637" i="1"/>
  <c r="D637" i="1"/>
  <c r="E637" i="1"/>
  <c r="A638" i="1"/>
  <c r="B638" i="1"/>
  <c r="C638" i="1"/>
  <c r="D638" i="1"/>
  <c r="E638" i="1"/>
  <c r="A639" i="1"/>
  <c r="B639" i="1"/>
  <c r="C639" i="1"/>
  <c r="D639" i="1"/>
  <c r="E639" i="1"/>
  <c r="A640" i="1"/>
  <c r="B640" i="1"/>
  <c r="C640" i="1"/>
  <c r="D640" i="1"/>
  <c r="E640" i="1"/>
  <c r="A641" i="1"/>
  <c r="B641" i="1"/>
  <c r="C641" i="1"/>
  <c r="D641" i="1"/>
  <c r="E641" i="1"/>
  <c r="A642" i="1"/>
  <c r="B642" i="1"/>
  <c r="C642" i="1"/>
  <c r="D642" i="1"/>
  <c r="E642" i="1"/>
  <c r="A643" i="1"/>
  <c r="B643" i="1"/>
  <c r="C643" i="1"/>
  <c r="D643" i="1"/>
  <c r="E643" i="1"/>
  <c r="A644" i="1"/>
  <c r="B644" i="1"/>
  <c r="C644" i="1"/>
  <c r="D644" i="1"/>
  <c r="E644" i="1"/>
  <c r="A645" i="1"/>
  <c r="B645" i="1"/>
  <c r="C645" i="1"/>
  <c r="D645" i="1"/>
  <c r="E645" i="1"/>
  <c r="A646" i="1"/>
  <c r="B646" i="1"/>
  <c r="C646" i="1"/>
  <c r="D646" i="1"/>
  <c r="E646" i="1"/>
  <c r="A647" i="1"/>
  <c r="B647" i="1"/>
  <c r="C647" i="1"/>
  <c r="D647" i="1"/>
  <c r="E647" i="1"/>
  <c r="A648" i="1"/>
  <c r="B648" i="1"/>
  <c r="C648" i="1"/>
  <c r="D648" i="1"/>
  <c r="E648" i="1"/>
  <c r="A649" i="1"/>
  <c r="B649" i="1"/>
  <c r="C649" i="1"/>
  <c r="D649" i="1"/>
  <c r="E649" i="1"/>
  <c r="A650" i="1"/>
  <c r="B650" i="1"/>
  <c r="C650" i="1"/>
  <c r="D650" i="1"/>
  <c r="E650" i="1"/>
  <c r="A651" i="1"/>
  <c r="B651" i="1"/>
  <c r="C651" i="1"/>
  <c r="D651" i="1"/>
  <c r="E651" i="1"/>
  <c r="A652" i="1"/>
  <c r="B652" i="1"/>
  <c r="C652" i="1"/>
  <c r="D652" i="1"/>
  <c r="E652" i="1"/>
  <c r="A653" i="1"/>
  <c r="B653" i="1"/>
  <c r="C653" i="1"/>
  <c r="D653" i="1"/>
  <c r="E653" i="1"/>
  <c r="A654" i="1"/>
  <c r="B654" i="1"/>
  <c r="C654" i="1"/>
  <c r="D654" i="1"/>
  <c r="E654" i="1"/>
  <c r="A655" i="1"/>
  <c r="B655" i="1"/>
  <c r="C655" i="1"/>
  <c r="D655" i="1"/>
  <c r="E655" i="1"/>
  <c r="A656" i="1"/>
  <c r="B656" i="1"/>
  <c r="C656" i="1"/>
  <c r="D656" i="1"/>
  <c r="E656" i="1"/>
  <c r="A657" i="1"/>
  <c r="B657" i="1"/>
  <c r="C657" i="1"/>
  <c r="D657" i="1"/>
  <c r="E657" i="1"/>
  <c r="A658" i="1"/>
  <c r="B658" i="1"/>
  <c r="C658" i="1"/>
  <c r="D658" i="1"/>
  <c r="E658" i="1"/>
  <c r="A659" i="1"/>
  <c r="B659" i="1"/>
  <c r="C659" i="1"/>
  <c r="D659" i="1"/>
  <c r="E659" i="1"/>
  <c r="A660" i="1"/>
  <c r="B660" i="1"/>
  <c r="C660" i="1"/>
  <c r="D660" i="1"/>
  <c r="E660" i="1"/>
  <c r="A661" i="1"/>
  <c r="B661" i="1"/>
  <c r="C661" i="1"/>
  <c r="D661" i="1"/>
  <c r="E661" i="1"/>
  <c r="A662" i="1"/>
  <c r="B662" i="1"/>
  <c r="C662" i="1"/>
  <c r="D662" i="1"/>
  <c r="E662" i="1"/>
  <c r="A663" i="1"/>
  <c r="B663" i="1"/>
  <c r="C663" i="1"/>
  <c r="D663" i="1"/>
  <c r="E663" i="1"/>
  <c r="A664" i="1"/>
  <c r="B664" i="1"/>
  <c r="C664" i="1"/>
  <c r="D664" i="1"/>
  <c r="E664" i="1"/>
  <c r="A665" i="1"/>
  <c r="B665" i="1"/>
  <c r="C665" i="1"/>
  <c r="D665" i="1"/>
  <c r="E665" i="1"/>
  <c r="A666" i="1"/>
  <c r="B666" i="1"/>
  <c r="C666" i="1"/>
  <c r="D666" i="1"/>
  <c r="E666" i="1"/>
  <c r="A667" i="1"/>
  <c r="B667" i="1"/>
  <c r="C667" i="1"/>
  <c r="D667" i="1"/>
  <c r="E667" i="1"/>
  <c r="A668" i="1"/>
  <c r="B668" i="1"/>
  <c r="C668" i="1"/>
  <c r="D668" i="1"/>
  <c r="E668" i="1"/>
  <c r="A669" i="1"/>
  <c r="B669" i="1"/>
  <c r="C669" i="1"/>
  <c r="D669" i="1"/>
  <c r="E669" i="1"/>
  <c r="A670" i="1"/>
  <c r="B670" i="1"/>
  <c r="C670" i="1"/>
  <c r="D670" i="1"/>
  <c r="E670" i="1"/>
  <c r="A671" i="1"/>
  <c r="B671" i="1"/>
  <c r="C671" i="1"/>
  <c r="D671" i="1"/>
  <c r="E671" i="1"/>
  <c r="A672" i="1"/>
  <c r="B672" i="1"/>
  <c r="C672" i="1"/>
  <c r="D672" i="1"/>
  <c r="E672" i="1"/>
  <c r="A673" i="1"/>
  <c r="B673" i="1"/>
  <c r="C673" i="1"/>
  <c r="D673" i="1"/>
  <c r="E673" i="1"/>
  <c r="A674" i="1"/>
  <c r="B674" i="1"/>
  <c r="C674" i="1"/>
  <c r="D674" i="1"/>
  <c r="E674" i="1"/>
  <c r="A675" i="1"/>
  <c r="B675" i="1"/>
  <c r="C675" i="1"/>
  <c r="D675" i="1"/>
  <c r="E675" i="1"/>
  <c r="A676" i="1"/>
  <c r="B676" i="1"/>
  <c r="C676" i="1"/>
  <c r="D676" i="1"/>
  <c r="E676" i="1"/>
  <c r="A677" i="1"/>
  <c r="B677" i="1"/>
  <c r="C677" i="1"/>
  <c r="D677" i="1"/>
  <c r="E677" i="1"/>
  <c r="A678" i="1"/>
  <c r="B678" i="1"/>
  <c r="C678" i="1"/>
  <c r="D678" i="1"/>
  <c r="E678" i="1"/>
  <c r="A679" i="1"/>
  <c r="B679" i="1"/>
  <c r="C679" i="1"/>
  <c r="D679" i="1"/>
  <c r="E679" i="1"/>
  <c r="A680" i="1"/>
  <c r="B680" i="1"/>
  <c r="C680" i="1"/>
  <c r="D680" i="1"/>
  <c r="E680" i="1"/>
  <c r="A681" i="1"/>
  <c r="B681" i="1"/>
  <c r="C681" i="1"/>
  <c r="D681" i="1"/>
  <c r="E681" i="1"/>
  <c r="A682" i="1"/>
  <c r="B682" i="1"/>
  <c r="C682" i="1"/>
  <c r="D682" i="1"/>
  <c r="E682" i="1"/>
  <c r="A683" i="1"/>
  <c r="B683" i="1"/>
  <c r="C683" i="1"/>
  <c r="D683" i="1"/>
  <c r="E683" i="1"/>
  <c r="A684" i="1"/>
  <c r="B684" i="1"/>
  <c r="C684" i="1"/>
  <c r="D684" i="1"/>
  <c r="E684" i="1"/>
  <c r="A685" i="1"/>
  <c r="B685" i="1"/>
  <c r="C685" i="1"/>
  <c r="D685" i="1"/>
  <c r="E685" i="1"/>
  <c r="A686" i="1"/>
  <c r="B686" i="1"/>
  <c r="C686" i="1"/>
  <c r="D686" i="1"/>
  <c r="E686" i="1"/>
  <c r="A687" i="1"/>
  <c r="B687" i="1"/>
  <c r="C687" i="1"/>
  <c r="D687" i="1"/>
  <c r="E687" i="1"/>
  <c r="A688" i="1"/>
  <c r="B688" i="1"/>
  <c r="C688" i="1"/>
  <c r="D688" i="1"/>
  <c r="E688" i="1"/>
  <c r="A689" i="1"/>
  <c r="B689" i="1"/>
  <c r="C689" i="1"/>
  <c r="D689" i="1"/>
  <c r="E689" i="1"/>
  <c r="A690" i="1"/>
  <c r="B690" i="1"/>
  <c r="C690" i="1"/>
  <c r="D690" i="1"/>
  <c r="E690" i="1"/>
  <c r="A691" i="1"/>
  <c r="B691" i="1"/>
  <c r="C691" i="1"/>
  <c r="D691" i="1"/>
  <c r="E691" i="1"/>
  <c r="A692" i="1"/>
  <c r="B692" i="1"/>
  <c r="C692" i="1"/>
  <c r="D692" i="1"/>
  <c r="E692" i="1"/>
  <c r="A693" i="1"/>
  <c r="B693" i="1"/>
  <c r="C693" i="1"/>
  <c r="D693" i="1"/>
  <c r="E693" i="1"/>
  <c r="A694" i="1"/>
  <c r="B694" i="1"/>
  <c r="C694" i="1"/>
  <c r="D694" i="1"/>
  <c r="E694" i="1"/>
  <c r="A695" i="1"/>
  <c r="B695" i="1"/>
  <c r="C695" i="1"/>
  <c r="D695" i="1"/>
  <c r="E695" i="1"/>
  <c r="A696" i="1"/>
  <c r="B696" i="1"/>
  <c r="C696" i="1"/>
  <c r="D696" i="1"/>
  <c r="E696" i="1"/>
  <c r="A697" i="1"/>
  <c r="B697" i="1"/>
  <c r="C697" i="1"/>
  <c r="D697" i="1"/>
  <c r="E697" i="1"/>
  <c r="A698" i="1"/>
  <c r="B698" i="1"/>
  <c r="C698" i="1"/>
  <c r="D698" i="1"/>
  <c r="E698" i="1"/>
  <c r="A699" i="1"/>
  <c r="B699" i="1"/>
  <c r="C699" i="1"/>
  <c r="D699" i="1"/>
  <c r="E699" i="1"/>
  <c r="A700" i="1"/>
  <c r="B700" i="1"/>
  <c r="C700" i="1"/>
  <c r="D700" i="1"/>
  <c r="E700" i="1"/>
  <c r="A701" i="1"/>
  <c r="B701" i="1"/>
  <c r="C701" i="1"/>
  <c r="D701" i="1"/>
  <c r="E701" i="1"/>
  <c r="A702" i="1"/>
  <c r="B702" i="1"/>
  <c r="C702" i="1"/>
  <c r="D702" i="1"/>
  <c r="E702" i="1"/>
  <c r="A703" i="1"/>
  <c r="B703" i="1"/>
  <c r="C703" i="1"/>
  <c r="D703" i="1"/>
  <c r="E703" i="1"/>
  <c r="A704" i="1"/>
  <c r="B704" i="1"/>
  <c r="C704" i="1"/>
  <c r="D704" i="1"/>
  <c r="E704" i="1"/>
  <c r="A705" i="1"/>
  <c r="B705" i="1"/>
  <c r="C705" i="1"/>
  <c r="D705" i="1"/>
  <c r="E705" i="1"/>
  <c r="A706" i="1"/>
  <c r="B706" i="1"/>
  <c r="C706" i="1"/>
  <c r="D706" i="1"/>
  <c r="E706" i="1"/>
  <c r="A707" i="1"/>
  <c r="B707" i="1"/>
  <c r="C707" i="1"/>
  <c r="D707" i="1"/>
  <c r="E707" i="1"/>
  <c r="A708" i="1"/>
  <c r="B708" i="1"/>
  <c r="C708" i="1"/>
  <c r="D708" i="1"/>
  <c r="E708" i="1"/>
  <c r="A709" i="1"/>
  <c r="B709" i="1"/>
  <c r="C709" i="1"/>
  <c r="D709" i="1"/>
  <c r="E709" i="1"/>
  <c r="A710" i="1"/>
  <c r="B710" i="1"/>
  <c r="C710" i="1"/>
  <c r="D710" i="1"/>
  <c r="E710" i="1"/>
  <c r="A711" i="1"/>
  <c r="B711" i="1"/>
  <c r="C711" i="1"/>
  <c r="D711" i="1"/>
  <c r="E711" i="1"/>
  <c r="A712" i="1"/>
  <c r="B712" i="1"/>
  <c r="C712" i="1"/>
  <c r="D712" i="1"/>
  <c r="E712" i="1"/>
  <c r="A713" i="1"/>
  <c r="B713" i="1"/>
  <c r="C713" i="1"/>
  <c r="D713" i="1"/>
  <c r="E713" i="1"/>
  <c r="A714" i="1"/>
  <c r="B714" i="1"/>
  <c r="C714" i="1"/>
  <c r="D714" i="1"/>
  <c r="E714" i="1"/>
  <c r="A715" i="1"/>
  <c r="B715" i="1"/>
  <c r="C715" i="1"/>
  <c r="D715" i="1"/>
  <c r="E715" i="1"/>
  <c r="A716" i="1"/>
  <c r="B716" i="1"/>
  <c r="C716" i="1"/>
  <c r="D716" i="1"/>
  <c r="E716" i="1"/>
  <c r="A717" i="1"/>
  <c r="B717" i="1"/>
  <c r="C717" i="1"/>
  <c r="D717" i="1"/>
  <c r="E717" i="1"/>
  <c r="A718" i="1"/>
  <c r="B718" i="1"/>
  <c r="C718" i="1"/>
  <c r="D718" i="1"/>
  <c r="E718" i="1"/>
  <c r="A719" i="1"/>
  <c r="B719" i="1"/>
  <c r="C719" i="1"/>
  <c r="D719" i="1"/>
  <c r="E719" i="1"/>
  <c r="A720" i="1"/>
  <c r="B720" i="1"/>
  <c r="C720" i="1"/>
  <c r="D720" i="1"/>
  <c r="E720" i="1"/>
  <c r="A721" i="1"/>
  <c r="B721" i="1"/>
  <c r="C721" i="1"/>
  <c r="D721" i="1"/>
  <c r="E721" i="1"/>
  <c r="A722" i="1"/>
  <c r="B722" i="1"/>
  <c r="C722" i="1"/>
  <c r="D722" i="1"/>
  <c r="E722" i="1"/>
  <c r="A723" i="1"/>
  <c r="B723" i="1"/>
  <c r="C723" i="1"/>
  <c r="D723" i="1"/>
  <c r="E723" i="1"/>
  <c r="A724" i="1"/>
  <c r="B724" i="1"/>
  <c r="C724" i="1"/>
  <c r="D724" i="1"/>
  <c r="E724" i="1"/>
  <c r="A725" i="1"/>
  <c r="B725" i="1"/>
  <c r="C725" i="1"/>
  <c r="D725" i="1"/>
  <c r="E725" i="1"/>
  <c r="A726" i="1"/>
  <c r="B726" i="1"/>
  <c r="C726" i="1"/>
  <c r="D726" i="1"/>
  <c r="E726" i="1"/>
  <c r="A727" i="1"/>
  <c r="B727" i="1"/>
  <c r="C727" i="1"/>
  <c r="D727" i="1"/>
  <c r="E727" i="1"/>
  <c r="A728" i="1"/>
  <c r="B728" i="1"/>
  <c r="C728" i="1"/>
  <c r="D728" i="1"/>
  <c r="E728" i="1"/>
  <c r="A729" i="1"/>
  <c r="B729" i="1"/>
  <c r="C729" i="1"/>
  <c r="D729" i="1"/>
  <c r="E729" i="1"/>
  <c r="A730" i="1"/>
  <c r="B730" i="1"/>
  <c r="C730" i="1"/>
  <c r="D730" i="1"/>
  <c r="E730" i="1"/>
  <c r="A731" i="1"/>
  <c r="B731" i="1"/>
  <c r="C731" i="1"/>
  <c r="D731" i="1"/>
  <c r="E731" i="1"/>
  <c r="A732" i="1"/>
  <c r="B732" i="1"/>
  <c r="C732" i="1"/>
  <c r="D732" i="1"/>
  <c r="E732" i="1"/>
  <c r="A733" i="1"/>
  <c r="B733" i="1"/>
  <c r="C733" i="1"/>
  <c r="D733" i="1"/>
  <c r="E733" i="1"/>
  <c r="A734" i="1"/>
  <c r="B734" i="1"/>
  <c r="C734" i="1"/>
  <c r="D734" i="1"/>
  <c r="E734" i="1"/>
  <c r="A735" i="1"/>
  <c r="B735" i="1"/>
  <c r="C735" i="1"/>
  <c r="D735" i="1"/>
  <c r="E735" i="1"/>
  <c r="A736" i="1"/>
  <c r="B736" i="1"/>
  <c r="C736" i="1"/>
  <c r="D736" i="1"/>
  <c r="E736" i="1"/>
  <c r="A737" i="1"/>
  <c r="B737" i="1"/>
  <c r="C737" i="1"/>
  <c r="D737" i="1"/>
  <c r="E737" i="1"/>
  <c r="A738" i="1"/>
  <c r="B738" i="1"/>
  <c r="C738" i="1"/>
  <c r="D738" i="1"/>
  <c r="E738" i="1"/>
  <c r="A739" i="1"/>
  <c r="B739" i="1"/>
  <c r="C739" i="1"/>
  <c r="D739" i="1"/>
  <c r="E739" i="1"/>
  <c r="A740" i="1"/>
  <c r="B740" i="1"/>
  <c r="C740" i="1"/>
  <c r="D740" i="1"/>
  <c r="E740" i="1"/>
  <c r="A741" i="1"/>
  <c r="B741" i="1"/>
  <c r="C741" i="1"/>
  <c r="D741" i="1"/>
  <c r="E741" i="1"/>
  <c r="A742" i="1"/>
  <c r="B742" i="1"/>
  <c r="C742" i="1"/>
  <c r="D742" i="1"/>
  <c r="E742" i="1"/>
  <c r="A743" i="1"/>
  <c r="B743" i="1"/>
  <c r="C743" i="1"/>
  <c r="D743" i="1"/>
  <c r="E743" i="1"/>
  <c r="A744" i="1"/>
  <c r="B744" i="1"/>
  <c r="C744" i="1"/>
  <c r="D744" i="1"/>
  <c r="E744" i="1"/>
  <c r="A745" i="1"/>
  <c r="B745" i="1"/>
  <c r="C745" i="1"/>
  <c r="D745" i="1"/>
  <c r="E745" i="1"/>
  <c r="A746" i="1"/>
  <c r="B746" i="1"/>
  <c r="C746" i="1"/>
  <c r="D746" i="1"/>
  <c r="E746" i="1"/>
  <c r="A747" i="1"/>
  <c r="B747" i="1"/>
  <c r="C747" i="1"/>
  <c r="D747" i="1"/>
  <c r="E747" i="1"/>
  <c r="A748" i="1"/>
  <c r="B748" i="1"/>
  <c r="C748" i="1"/>
  <c r="D748" i="1"/>
  <c r="E748" i="1"/>
  <c r="A749" i="1"/>
  <c r="B749" i="1"/>
  <c r="C749" i="1"/>
  <c r="D749" i="1"/>
  <c r="E749" i="1"/>
  <c r="A750" i="1"/>
  <c r="B750" i="1"/>
  <c r="C750" i="1"/>
  <c r="D750" i="1"/>
  <c r="E750" i="1"/>
  <c r="A751" i="1"/>
  <c r="B751" i="1"/>
  <c r="C751" i="1"/>
  <c r="D751" i="1"/>
  <c r="E751" i="1"/>
  <c r="A752" i="1"/>
  <c r="B752" i="1"/>
  <c r="C752" i="1"/>
  <c r="D752" i="1"/>
  <c r="E752" i="1"/>
  <c r="A753" i="1"/>
  <c r="B753" i="1"/>
  <c r="C753" i="1"/>
  <c r="D753" i="1"/>
  <c r="E753" i="1"/>
  <c r="A754" i="1"/>
  <c r="B754" i="1"/>
  <c r="C754" i="1"/>
  <c r="D754" i="1"/>
  <c r="E754" i="1"/>
  <c r="A755" i="1"/>
  <c r="B755" i="1"/>
  <c r="C755" i="1"/>
  <c r="D755" i="1"/>
  <c r="E755" i="1"/>
  <c r="A756" i="1"/>
  <c r="B756" i="1"/>
  <c r="C756" i="1"/>
  <c r="D756" i="1"/>
  <c r="E756" i="1"/>
  <c r="A757" i="1"/>
  <c r="B757" i="1"/>
  <c r="C757" i="1"/>
  <c r="D757" i="1"/>
  <c r="E757" i="1"/>
  <c r="A758" i="1"/>
  <c r="B758" i="1"/>
  <c r="C758" i="1"/>
  <c r="D758" i="1"/>
  <c r="E758" i="1"/>
  <c r="A759" i="1"/>
  <c r="B759" i="1"/>
  <c r="C759" i="1"/>
  <c r="D759" i="1"/>
  <c r="E759" i="1"/>
  <c r="A760" i="1"/>
  <c r="B760" i="1"/>
  <c r="C760" i="1"/>
  <c r="D760" i="1"/>
  <c r="E760" i="1"/>
  <c r="A761" i="1"/>
  <c r="B761" i="1"/>
  <c r="C761" i="1"/>
  <c r="D761" i="1"/>
  <c r="E761" i="1"/>
  <c r="A762" i="1"/>
  <c r="B762" i="1"/>
  <c r="C762" i="1"/>
  <c r="D762" i="1"/>
  <c r="E762" i="1"/>
  <c r="A763" i="1"/>
  <c r="B763" i="1"/>
  <c r="C763" i="1"/>
  <c r="D763" i="1"/>
  <c r="E763" i="1"/>
  <c r="A764" i="1"/>
  <c r="B764" i="1"/>
  <c r="C764" i="1"/>
  <c r="D764" i="1"/>
  <c r="E764" i="1"/>
  <c r="A765" i="1"/>
  <c r="B765" i="1"/>
  <c r="C765" i="1"/>
  <c r="D765" i="1"/>
  <c r="E765" i="1"/>
  <c r="A766" i="1"/>
  <c r="B766" i="1"/>
  <c r="C766" i="1"/>
  <c r="D766" i="1"/>
  <c r="E766" i="1"/>
  <c r="A767" i="1"/>
  <c r="B767" i="1"/>
  <c r="C767" i="1"/>
  <c r="D767" i="1"/>
  <c r="E767" i="1"/>
  <c r="A768" i="1"/>
  <c r="B768" i="1"/>
  <c r="C768" i="1"/>
  <c r="D768" i="1"/>
  <c r="E768" i="1"/>
  <c r="A769" i="1"/>
  <c r="B769" i="1"/>
  <c r="C769" i="1"/>
  <c r="D769" i="1"/>
  <c r="E769" i="1"/>
  <c r="A770" i="1"/>
  <c r="B770" i="1"/>
  <c r="C770" i="1"/>
  <c r="D770" i="1"/>
  <c r="E770" i="1"/>
  <c r="A771" i="1"/>
  <c r="B771" i="1"/>
  <c r="C771" i="1"/>
  <c r="D771" i="1"/>
  <c r="E771" i="1"/>
  <c r="A772" i="1"/>
  <c r="B772" i="1"/>
  <c r="C772" i="1"/>
  <c r="D772" i="1"/>
  <c r="E772" i="1"/>
  <c r="A773" i="1"/>
  <c r="B773" i="1"/>
  <c r="C773" i="1"/>
  <c r="D773" i="1"/>
  <c r="E773" i="1"/>
  <c r="A774" i="1"/>
  <c r="B774" i="1"/>
  <c r="C774" i="1"/>
  <c r="D774" i="1"/>
  <c r="E774" i="1"/>
  <c r="A775" i="1"/>
  <c r="B775" i="1"/>
  <c r="C775" i="1"/>
  <c r="D775" i="1"/>
  <c r="E775" i="1"/>
  <c r="A776" i="1"/>
  <c r="B776" i="1"/>
  <c r="C776" i="1"/>
  <c r="D776" i="1"/>
  <c r="E776" i="1"/>
  <c r="A777" i="1"/>
  <c r="B777" i="1"/>
  <c r="C777" i="1"/>
  <c r="D777" i="1"/>
  <c r="E777" i="1"/>
  <c r="A778" i="1"/>
  <c r="B778" i="1"/>
  <c r="C778" i="1"/>
  <c r="D778" i="1"/>
  <c r="E778" i="1"/>
  <c r="A779" i="1"/>
  <c r="B779" i="1"/>
  <c r="C779" i="1"/>
  <c r="D779" i="1"/>
  <c r="E779" i="1"/>
  <c r="A780" i="1"/>
  <c r="B780" i="1"/>
  <c r="C780" i="1"/>
  <c r="D780" i="1"/>
  <c r="E780" i="1"/>
  <c r="A781" i="1"/>
  <c r="B781" i="1"/>
  <c r="C781" i="1"/>
  <c r="D781" i="1"/>
  <c r="E781" i="1"/>
  <c r="A782" i="1"/>
  <c r="B782" i="1"/>
  <c r="C782" i="1"/>
  <c r="D782" i="1"/>
  <c r="E782" i="1"/>
  <c r="A783" i="1"/>
  <c r="B783" i="1"/>
  <c r="C783" i="1"/>
  <c r="D783" i="1"/>
  <c r="E783" i="1"/>
  <c r="A784" i="1"/>
  <c r="B784" i="1"/>
  <c r="C784" i="1"/>
  <c r="D784" i="1"/>
  <c r="E784" i="1"/>
  <c r="A785" i="1"/>
  <c r="B785" i="1"/>
  <c r="C785" i="1"/>
  <c r="D785" i="1"/>
  <c r="E785" i="1"/>
  <c r="A786" i="1"/>
  <c r="B786" i="1"/>
  <c r="C786" i="1"/>
  <c r="D786" i="1"/>
  <c r="E786" i="1"/>
  <c r="A787" i="1"/>
  <c r="B787" i="1"/>
  <c r="C787" i="1"/>
  <c r="D787" i="1"/>
  <c r="E787" i="1"/>
  <c r="A788" i="1"/>
  <c r="B788" i="1"/>
  <c r="C788" i="1"/>
  <c r="D788" i="1"/>
  <c r="E788" i="1"/>
  <c r="A789" i="1"/>
  <c r="B789" i="1"/>
  <c r="C789" i="1"/>
  <c r="D789" i="1"/>
  <c r="E789" i="1"/>
  <c r="A790" i="1"/>
  <c r="B790" i="1"/>
  <c r="C790" i="1"/>
  <c r="D790" i="1"/>
  <c r="E790" i="1"/>
  <c r="A791" i="1"/>
  <c r="B791" i="1"/>
  <c r="C791" i="1"/>
  <c r="D791" i="1"/>
  <c r="E791" i="1"/>
  <c r="A792" i="1"/>
  <c r="B792" i="1"/>
  <c r="C792" i="1"/>
  <c r="D792" i="1"/>
  <c r="E792" i="1"/>
  <c r="A793" i="1"/>
  <c r="B793" i="1"/>
  <c r="C793" i="1"/>
  <c r="D793" i="1"/>
  <c r="E793" i="1"/>
  <c r="A794" i="1"/>
  <c r="B794" i="1"/>
  <c r="C794" i="1"/>
  <c r="D794" i="1"/>
  <c r="E794" i="1"/>
  <c r="A795" i="1"/>
  <c r="B795" i="1"/>
  <c r="C795" i="1"/>
  <c r="D795" i="1"/>
  <c r="E795" i="1"/>
  <c r="A796" i="1"/>
  <c r="B796" i="1"/>
  <c r="C796" i="1"/>
  <c r="D796" i="1"/>
  <c r="E796" i="1"/>
  <c r="A797" i="1"/>
  <c r="B797" i="1"/>
  <c r="C797" i="1"/>
  <c r="D797" i="1"/>
  <c r="E797" i="1"/>
  <c r="A798" i="1"/>
  <c r="B798" i="1"/>
  <c r="C798" i="1"/>
  <c r="D798" i="1"/>
  <c r="E798" i="1"/>
  <c r="A799" i="1"/>
  <c r="B799" i="1"/>
  <c r="C799" i="1"/>
  <c r="D799" i="1"/>
  <c r="E799" i="1"/>
  <c r="A800" i="1"/>
  <c r="B800" i="1"/>
  <c r="C800" i="1"/>
  <c r="D800" i="1"/>
  <c r="E800" i="1"/>
  <c r="A801" i="1"/>
  <c r="B801" i="1"/>
  <c r="C801" i="1"/>
  <c r="D801" i="1"/>
  <c r="E801" i="1"/>
  <c r="A802" i="1"/>
  <c r="B802" i="1"/>
  <c r="C802" i="1"/>
  <c r="D802" i="1"/>
  <c r="E802" i="1"/>
  <c r="A803" i="1"/>
  <c r="B803" i="1"/>
  <c r="C803" i="1"/>
  <c r="D803" i="1"/>
  <c r="E803" i="1"/>
  <c r="A804" i="1"/>
  <c r="B804" i="1"/>
  <c r="C804" i="1"/>
  <c r="D804" i="1"/>
  <c r="E804" i="1"/>
  <c r="A805" i="1"/>
  <c r="B805" i="1"/>
  <c r="C805" i="1"/>
  <c r="D805" i="1"/>
  <c r="E805" i="1"/>
  <c r="A806" i="1"/>
  <c r="B806" i="1"/>
  <c r="C806" i="1"/>
  <c r="D806" i="1"/>
  <c r="E806" i="1"/>
  <c r="A807" i="1"/>
  <c r="B807" i="1"/>
  <c r="C807" i="1"/>
  <c r="D807" i="1"/>
  <c r="E807" i="1"/>
  <c r="A808" i="1"/>
  <c r="B808" i="1"/>
  <c r="C808" i="1"/>
  <c r="D808" i="1"/>
  <c r="E808" i="1"/>
  <c r="A809" i="1"/>
  <c r="B809" i="1"/>
  <c r="C809" i="1"/>
  <c r="D809" i="1"/>
  <c r="E809" i="1"/>
  <c r="A810" i="1"/>
  <c r="B810" i="1"/>
  <c r="C810" i="1"/>
  <c r="D810" i="1"/>
  <c r="E810" i="1"/>
  <c r="A811" i="1"/>
  <c r="B811" i="1"/>
  <c r="C811" i="1"/>
  <c r="D811" i="1"/>
  <c r="E811" i="1"/>
  <c r="A812" i="1"/>
  <c r="B812" i="1"/>
  <c r="C812" i="1"/>
  <c r="D812" i="1"/>
  <c r="E812" i="1"/>
  <c r="A813" i="1"/>
  <c r="B813" i="1"/>
  <c r="C813" i="1"/>
  <c r="D813" i="1"/>
  <c r="E813" i="1"/>
  <c r="A814" i="1"/>
  <c r="B814" i="1"/>
  <c r="C814" i="1"/>
  <c r="D814" i="1"/>
  <c r="E814" i="1"/>
  <c r="A815" i="1"/>
  <c r="B815" i="1"/>
  <c r="C815" i="1"/>
  <c r="D815" i="1"/>
  <c r="E815" i="1"/>
  <c r="A816" i="1"/>
  <c r="B816" i="1"/>
  <c r="C816" i="1"/>
  <c r="D816" i="1"/>
  <c r="E816" i="1"/>
  <c r="A817" i="1"/>
  <c r="B817" i="1"/>
  <c r="C817" i="1"/>
  <c r="D817" i="1"/>
  <c r="E817" i="1"/>
  <c r="A818" i="1"/>
  <c r="B818" i="1"/>
  <c r="C818" i="1"/>
  <c r="D818" i="1"/>
  <c r="E818" i="1"/>
  <c r="A819" i="1"/>
  <c r="B819" i="1"/>
  <c r="C819" i="1"/>
  <c r="D819" i="1"/>
  <c r="E819" i="1"/>
  <c r="A820" i="1"/>
  <c r="B820" i="1"/>
  <c r="C820" i="1"/>
  <c r="D820" i="1"/>
  <c r="E820" i="1"/>
  <c r="A821" i="1"/>
  <c r="B821" i="1"/>
  <c r="C821" i="1"/>
  <c r="D821" i="1"/>
  <c r="E821" i="1"/>
  <c r="A822" i="1"/>
  <c r="B822" i="1"/>
  <c r="C822" i="1"/>
  <c r="D822" i="1"/>
  <c r="E822" i="1"/>
  <c r="A823" i="1"/>
  <c r="B823" i="1"/>
  <c r="C823" i="1"/>
  <c r="D823" i="1"/>
  <c r="E823" i="1"/>
  <c r="A824" i="1"/>
  <c r="B824" i="1"/>
  <c r="C824" i="1"/>
  <c r="D824" i="1"/>
  <c r="E824" i="1"/>
  <c r="A825" i="1"/>
  <c r="B825" i="1"/>
  <c r="C825" i="1"/>
  <c r="D825" i="1"/>
  <c r="E825" i="1"/>
  <c r="A826" i="1"/>
  <c r="B826" i="1"/>
  <c r="C826" i="1"/>
  <c r="D826" i="1"/>
  <c r="E826" i="1"/>
  <c r="A827" i="1"/>
  <c r="B827" i="1"/>
  <c r="C827" i="1"/>
  <c r="D827" i="1"/>
  <c r="E827" i="1"/>
  <c r="A828" i="1"/>
  <c r="B828" i="1"/>
  <c r="C828" i="1"/>
  <c r="D828" i="1"/>
  <c r="E828" i="1"/>
  <c r="A829" i="1"/>
  <c r="B829" i="1"/>
  <c r="C829" i="1"/>
  <c r="D829" i="1"/>
  <c r="E829" i="1"/>
  <c r="A830" i="1"/>
  <c r="B830" i="1"/>
  <c r="C830" i="1"/>
  <c r="D830" i="1"/>
  <c r="E830" i="1"/>
  <c r="A831" i="1"/>
  <c r="B831" i="1"/>
  <c r="C831" i="1"/>
  <c r="D831" i="1"/>
  <c r="E831" i="1"/>
  <c r="A832" i="1"/>
  <c r="B832" i="1"/>
  <c r="C832" i="1"/>
  <c r="D832" i="1"/>
  <c r="E832" i="1"/>
  <c r="A833" i="1"/>
  <c r="B833" i="1"/>
  <c r="C833" i="1"/>
  <c r="D833" i="1"/>
  <c r="E833" i="1"/>
  <c r="A834" i="1"/>
  <c r="B834" i="1"/>
  <c r="C834" i="1"/>
  <c r="D834" i="1"/>
  <c r="E834" i="1"/>
  <c r="A835" i="1"/>
  <c r="B835" i="1"/>
  <c r="C835" i="1"/>
  <c r="D835" i="1"/>
  <c r="E835" i="1"/>
  <c r="A836" i="1"/>
  <c r="B836" i="1"/>
  <c r="C836" i="1"/>
  <c r="D836" i="1"/>
  <c r="E836" i="1"/>
  <c r="A837" i="1"/>
  <c r="B837" i="1"/>
  <c r="C837" i="1"/>
  <c r="D837" i="1"/>
  <c r="E837" i="1"/>
  <c r="A838" i="1"/>
  <c r="B838" i="1"/>
  <c r="C838" i="1"/>
  <c r="D838" i="1"/>
  <c r="E838" i="1"/>
  <c r="A839" i="1"/>
  <c r="B839" i="1"/>
  <c r="C839" i="1"/>
  <c r="D839" i="1"/>
  <c r="E839" i="1"/>
  <c r="A840" i="1"/>
  <c r="B840" i="1"/>
  <c r="C840" i="1"/>
  <c r="D840" i="1"/>
  <c r="E840" i="1"/>
  <c r="A841" i="1"/>
  <c r="B841" i="1"/>
  <c r="C841" i="1"/>
  <c r="D841" i="1"/>
  <c r="E841" i="1"/>
  <c r="A842" i="1"/>
  <c r="B842" i="1"/>
  <c r="C842" i="1"/>
  <c r="D842" i="1"/>
  <c r="E842" i="1"/>
  <c r="A843" i="1"/>
  <c r="B843" i="1"/>
  <c r="C843" i="1"/>
  <c r="D843" i="1"/>
  <c r="E843" i="1"/>
  <c r="A844" i="1"/>
  <c r="B844" i="1"/>
  <c r="C844" i="1"/>
  <c r="D844" i="1"/>
  <c r="E844" i="1"/>
  <c r="A845" i="1"/>
  <c r="B845" i="1"/>
  <c r="C845" i="1"/>
  <c r="D845" i="1"/>
  <c r="E845" i="1"/>
  <c r="A846" i="1"/>
  <c r="B846" i="1"/>
  <c r="C846" i="1"/>
  <c r="D846" i="1"/>
  <c r="E846" i="1"/>
  <c r="A847" i="1"/>
  <c r="B847" i="1"/>
  <c r="C847" i="1"/>
  <c r="D847" i="1"/>
  <c r="E847" i="1"/>
  <c r="A848" i="1"/>
  <c r="B848" i="1"/>
  <c r="C848" i="1"/>
  <c r="D848" i="1"/>
  <c r="E848" i="1"/>
  <c r="A849" i="1"/>
  <c r="B849" i="1"/>
  <c r="C849" i="1"/>
  <c r="D849" i="1"/>
  <c r="E849" i="1"/>
  <c r="A850" i="1"/>
  <c r="B850" i="1"/>
  <c r="C850" i="1"/>
  <c r="D850" i="1"/>
  <c r="E850" i="1"/>
  <c r="A851" i="1"/>
  <c r="B851" i="1"/>
  <c r="C851" i="1"/>
  <c r="D851" i="1"/>
  <c r="E851" i="1"/>
  <c r="A852" i="1"/>
  <c r="B852" i="1"/>
  <c r="C852" i="1"/>
  <c r="D852" i="1"/>
  <c r="E852" i="1"/>
  <c r="A853" i="1"/>
  <c r="B853" i="1"/>
  <c r="C853" i="1"/>
  <c r="D853" i="1"/>
  <c r="E853" i="1"/>
  <c r="A854" i="1"/>
  <c r="B854" i="1"/>
  <c r="C854" i="1"/>
  <c r="D854" i="1"/>
  <c r="E854" i="1"/>
  <c r="A855" i="1"/>
  <c r="B855" i="1"/>
  <c r="C855" i="1"/>
  <c r="D855" i="1"/>
  <c r="E855" i="1"/>
  <c r="A856" i="1"/>
  <c r="B856" i="1"/>
  <c r="C856" i="1"/>
  <c r="D856" i="1"/>
  <c r="E856" i="1"/>
  <c r="A857" i="1"/>
  <c r="B857" i="1"/>
  <c r="C857" i="1"/>
  <c r="D857" i="1"/>
  <c r="E857" i="1"/>
  <c r="A858" i="1"/>
  <c r="B858" i="1"/>
  <c r="C858" i="1"/>
  <c r="D858" i="1"/>
  <c r="E858" i="1"/>
  <c r="A859" i="1"/>
  <c r="B859" i="1"/>
  <c r="C859" i="1"/>
  <c r="D859" i="1"/>
  <c r="E859" i="1"/>
  <c r="A860" i="1"/>
  <c r="B860" i="1"/>
  <c r="C860" i="1"/>
  <c r="D860" i="1"/>
  <c r="E860" i="1"/>
  <c r="A861" i="1"/>
  <c r="B861" i="1"/>
  <c r="C861" i="1"/>
  <c r="D861" i="1"/>
  <c r="E861" i="1"/>
  <c r="A862" i="1"/>
  <c r="B862" i="1"/>
  <c r="C862" i="1"/>
  <c r="D862" i="1"/>
  <c r="E862" i="1"/>
  <c r="A863" i="1"/>
  <c r="B863" i="1"/>
  <c r="C863" i="1"/>
  <c r="D863" i="1"/>
  <c r="E863" i="1"/>
  <c r="A864" i="1"/>
  <c r="B864" i="1"/>
  <c r="C864" i="1"/>
  <c r="D864" i="1"/>
  <c r="E864" i="1"/>
  <c r="A865" i="1"/>
  <c r="B865" i="1"/>
  <c r="C865" i="1"/>
  <c r="D865" i="1"/>
  <c r="E865" i="1"/>
  <c r="A866" i="1"/>
  <c r="B866" i="1"/>
  <c r="C866" i="1"/>
  <c r="D866" i="1"/>
  <c r="E866" i="1"/>
  <c r="A867" i="1"/>
  <c r="B867" i="1"/>
  <c r="C867" i="1"/>
  <c r="D867" i="1"/>
  <c r="E867" i="1"/>
  <c r="A868" i="1"/>
  <c r="B868" i="1"/>
  <c r="C868" i="1"/>
  <c r="D868" i="1"/>
  <c r="E868" i="1"/>
  <c r="A869" i="1"/>
  <c r="B869" i="1"/>
  <c r="C869" i="1"/>
  <c r="D869" i="1"/>
  <c r="E869" i="1"/>
  <c r="A870" i="1"/>
  <c r="B870" i="1"/>
  <c r="C870" i="1"/>
  <c r="D870" i="1"/>
  <c r="E870" i="1"/>
  <c r="A871" i="1"/>
  <c r="B871" i="1"/>
  <c r="C871" i="1"/>
  <c r="D871" i="1"/>
  <c r="E871" i="1"/>
  <c r="A872" i="1"/>
  <c r="B872" i="1"/>
  <c r="C872" i="1"/>
  <c r="D872" i="1"/>
  <c r="E872" i="1"/>
  <c r="A873" i="1"/>
  <c r="B873" i="1"/>
  <c r="C873" i="1"/>
  <c r="D873" i="1"/>
  <c r="E873" i="1"/>
  <c r="A874" i="1"/>
  <c r="B874" i="1"/>
  <c r="C874" i="1"/>
  <c r="D874" i="1"/>
  <c r="E874" i="1"/>
  <c r="A875" i="1"/>
  <c r="B875" i="1"/>
  <c r="C875" i="1"/>
  <c r="D875" i="1"/>
  <c r="E875" i="1"/>
  <c r="A876" i="1"/>
  <c r="B876" i="1"/>
  <c r="C876" i="1"/>
  <c r="D876" i="1"/>
  <c r="E876" i="1"/>
  <c r="A877" i="1"/>
  <c r="B877" i="1"/>
  <c r="C877" i="1"/>
  <c r="D877" i="1"/>
  <c r="E877" i="1"/>
  <c r="A878" i="1"/>
  <c r="B878" i="1"/>
  <c r="C878" i="1"/>
  <c r="D878" i="1"/>
  <c r="E878" i="1"/>
  <c r="A879" i="1"/>
  <c r="B879" i="1"/>
  <c r="C879" i="1"/>
  <c r="D879" i="1"/>
  <c r="E879" i="1"/>
  <c r="A880" i="1"/>
  <c r="B880" i="1"/>
  <c r="C880" i="1"/>
  <c r="D880" i="1"/>
  <c r="E880" i="1"/>
  <c r="A881" i="1"/>
  <c r="B881" i="1"/>
  <c r="C881" i="1"/>
  <c r="D881" i="1"/>
  <c r="E881" i="1"/>
  <c r="A882" i="1"/>
  <c r="B882" i="1"/>
  <c r="C882" i="1"/>
  <c r="D882" i="1"/>
  <c r="E882" i="1"/>
  <c r="A883" i="1"/>
  <c r="B883" i="1"/>
  <c r="C883" i="1"/>
  <c r="D883" i="1"/>
  <c r="E883" i="1"/>
  <c r="A884" i="1"/>
  <c r="B884" i="1"/>
  <c r="C884" i="1"/>
  <c r="D884" i="1"/>
  <c r="E884" i="1"/>
  <c r="A885" i="1"/>
  <c r="B885" i="1"/>
  <c r="C885" i="1"/>
  <c r="D885" i="1"/>
  <c r="E885" i="1"/>
  <c r="A886" i="1"/>
  <c r="B886" i="1"/>
  <c r="C886" i="1"/>
  <c r="D886" i="1"/>
  <c r="E886" i="1"/>
  <c r="A887" i="1"/>
  <c r="B887" i="1"/>
  <c r="C887" i="1"/>
  <c r="D887" i="1"/>
  <c r="E887" i="1"/>
  <c r="A888" i="1"/>
  <c r="B888" i="1"/>
  <c r="C888" i="1"/>
  <c r="D888" i="1"/>
  <c r="E888" i="1"/>
  <c r="A889" i="1"/>
  <c r="B889" i="1"/>
  <c r="C889" i="1"/>
  <c r="D889" i="1"/>
  <c r="E889" i="1"/>
  <c r="A890" i="1"/>
  <c r="B890" i="1"/>
  <c r="C890" i="1"/>
  <c r="D890" i="1"/>
  <c r="E890" i="1"/>
  <c r="A891" i="1"/>
  <c r="B891" i="1"/>
  <c r="C891" i="1"/>
  <c r="D891" i="1"/>
  <c r="E891" i="1"/>
  <c r="A892" i="1"/>
  <c r="B892" i="1"/>
  <c r="C892" i="1"/>
  <c r="D892" i="1"/>
  <c r="E892" i="1"/>
  <c r="A893" i="1"/>
  <c r="B893" i="1"/>
  <c r="C893" i="1"/>
  <c r="D893" i="1"/>
  <c r="E893" i="1"/>
  <c r="A894" i="1"/>
  <c r="B894" i="1"/>
  <c r="C894" i="1"/>
  <c r="D894" i="1"/>
  <c r="E894" i="1"/>
  <c r="A895" i="1"/>
  <c r="B895" i="1"/>
  <c r="C895" i="1"/>
  <c r="D895" i="1"/>
  <c r="E895" i="1"/>
  <c r="A896" i="1"/>
  <c r="B896" i="1"/>
  <c r="C896" i="1"/>
  <c r="D896" i="1"/>
  <c r="E896" i="1"/>
  <c r="A897" i="1"/>
  <c r="B897" i="1"/>
  <c r="C897" i="1"/>
  <c r="D897" i="1"/>
  <c r="E897" i="1"/>
  <c r="A898" i="1"/>
  <c r="B898" i="1"/>
  <c r="C898" i="1"/>
  <c r="D898" i="1"/>
  <c r="E898" i="1"/>
  <c r="A899" i="1"/>
  <c r="B899" i="1"/>
  <c r="C899" i="1"/>
  <c r="D899" i="1"/>
  <c r="E899" i="1"/>
  <c r="A900" i="1"/>
  <c r="B900" i="1"/>
  <c r="C900" i="1"/>
  <c r="D900" i="1"/>
  <c r="E900" i="1"/>
  <c r="A901" i="1"/>
  <c r="B901" i="1"/>
  <c r="C901" i="1"/>
  <c r="D901" i="1"/>
  <c r="E901" i="1"/>
  <c r="A902" i="1"/>
  <c r="B902" i="1"/>
  <c r="C902" i="1"/>
  <c r="D902" i="1"/>
  <c r="E902" i="1"/>
  <c r="A903" i="1"/>
  <c r="B903" i="1"/>
  <c r="C903" i="1"/>
  <c r="D903" i="1"/>
  <c r="E903" i="1"/>
  <c r="A904" i="1"/>
  <c r="B904" i="1"/>
  <c r="C904" i="1"/>
  <c r="D904" i="1"/>
  <c r="E904" i="1"/>
  <c r="A905" i="1"/>
  <c r="B905" i="1"/>
  <c r="C905" i="1"/>
  <c r="D905" i="1"/>
  <c r="E905" i="1"/>
  <c r="A906" i="1"/>
  <c r="B906" i="1"/>
  <c r="C906" i="1"/>
  <c r="D906" i="1"/>
  <c r="E906" i="1"/>
  <c r="A907" i="1"/>
  <c r="B907" i="1"/>
  <c r="C907" i="1"/>
  <c r="D907" i="1"/>
  <c r="E907" i="1"/>
  <c r="A908" i="1"/>
  <c r="B908" i="1"/>
  <c r="C908" i="1"/>
  <c r="D908" i="1"/>
  <c r="E908" i="1"/>
  <c r="A909" i="1"/>
  <c r="B909" i="1"/>
  <c r="C909" i="1"/>
  <c r="D909" i="1"/>
  <c r="E909" i="1"/>
  <c r="A910" i="1"/>
  <c r="B910" i="1"/>
  <c r="C910" i="1"/>
  <c r="D910" i="1"/>
  <c r="E910" i="1"/>
  <c r="A911" i="1"/>
  <c r="B911" i="1"/>
  <c r="C911" i="1"/>
  <c r="D911" i="1"/>
  <c r="E911" i="1"/>
  <c r="A912" i="1"/>
  <c r="B912" i="1"/>
  <c r="C912" i="1"/>
  <c r="D912" i="1"/>
  <c r="E912" i="1"/>
  <c r="A913" i="1"/>
  <c r="B913" i="1"/>
  <c r="C913" i="1"/>
  <c r="D913" i="1"/>
  <c r="E913" i="1"/>
  <c r="A914" i="1"/>
  <c r="B914" i="1"/>
  <c r="C914" i="1"/>
  <c r="D914" i="1"/>
  <c r="E914" i="1"/>
  <c r="A915" i="1"/>
  <c r="B915" i="1"/>
  <c r="C915" i="1"/>
  <c r="D915" i="1"/>
  <c r="E915" i="1"/>
  <c r="A916" i="1"/>
  <c r="B916" i="1"/>
  <c r="C916" i="1"/>
  <c r="D916" i="1"/>
  <c r="E916" i="1"/>
  <c r="A917" i="1"/>
  <c r="B917" i="1"/>
  <c r="C917" i="1"/>
  <c r="D917" i="1"/>
  <c r="E917" i="1"/>
  <c r="A918" i="1"/>
  <c r="B918" i="1"/>
  <c r="C918" i="1"/>
  <c r="D918" i="1"/>
  <c r="E918" i="1"/>
  <c r="A919" i="1"/>
  <c r="B919" i="1"/>
  <c r="C919" i="1"/>
  <c r="D919" i="1"/>
  <c r="E919" i="1"/>
  <c r="A920" i="1"/>
  <c r="B920" i="1"/>
  <c r="C920" i="1"/>
  <c r="D920" i="1"/>
  <c r="E920" i="1"/>
  <c r="A921" i="1"/>
  <c r="B921" i="1"/>
  <c r="C921" i="1"/>
  <c r="D921" i="1"/>
  <c r="E921" i="1"/>
  <c r="A922" i="1"/>
  <c r="B922" i="1"/>
  <c r="C922" i="1"/>
  <c r="D922" i="1"/>
  <c r="E922" i="1"/>
  <c r="A923" i="1"/>
  <c r="B923" i="1"/>
  <c r="C923" i="1"/>
  <c r="D923" i="1"/>
  <c r="E923" i="1"/>
  <c r="A924" i="1"/>
  <c r="B924" i="1"/>
  <c r="C924" i="1"/>
  <c r="D924" i="1"/>
  <c r="E924" i="1"/>
  <c r="A925" i="1"/>
  <c r="B925" i="1"/>
  <c r="C925" i="1"/>
  <c r="D925" i="1"/>
  <c r="E925" i="1"/>
  <c r="A926" i="1"/>
  <c r="B926" i="1"/>
  <c r="C926" i="1"/>
  <c r="D926" i="1"/>
  <c r="E926" i="1"/>
  <c r="A927" i="1"/>
  <c r="B927" i="1"/>
  <c r="C927" i="1"/>
  <c r="D927" i="1"/>
  <c r="E927" i="1"/>
  <c r="A928" i="1"/>
  <c r="B928" i="1"/>
  <c r="C928" i="1"/>
  <c r="D928" i="1"/>
  <c r="E928" i="1"/>
  <c r="A929" i="1"/>
  <c r="B929" i="1"/>
  <c r="C929" i="1"/>
  <c r="D929" i="1"/>
  <c r="E929" i="1"/>
  <c r="A930" i="1"/>
  <c r="B930" i="1"/>
  <c r="C930" i="1"/>
  <c r="D930" i="1"/>
  <c r="E930" i="1"/>
  <c r="A931" i="1"/>
  <c r="B931" i="1"/>
  <c r="C931" i="1"/>
  <c r="D931" i="1"/>
  <c r="E931" i="1"/>
  <c r="A932" i="1"/>
  <c r="B932" i="1"/>
  <c r="C932" i="1"/>
  <c r="D932" i="1"/>
  <c r="E932" i="1"/>
  <c r="A933" i="1"/>
  <c r="B933" i="1"/>
  <c r="C933" i="1"/>
  <c r="D933" i="1"/>
  <c r="E933" i="1"/>
  <c r="A934" i="1"/>
  <c r="B934" i="1"/>
  <c r="C934" i="1"/>
  <c r="D934" i="1"/>
  <c r="E934" i="1"/>
  <c r="A935" i="1"/>
  <c r="B935" i="1"/>
  <c r="C935" i="1"/>
  <c r="D935" i="1"/>
  <c r="E935" i="1"/>
  <c r="A936" i="1"/>
  <c r="B936" i="1"/>
  <c r="C936" i="1"/>
  <c r="D936" i="1"/>
  <c r="E936" i="1"/>
  <c r="A937" i="1"/>
  <c r="B937" i="1"/>
  <c r="C937" i="1"/>
  <c r="D937" i="1"/>
  <c r="E937" i="1"/>
  <c r="A938" i="1"/>
  <c r="B938" i="1"/>
  <c r="C938" i="1"/>
  <c r="D938" i="1"/>
  <c r="E938" i="1"/>
  <c r="A939" i="1"/>
  <c r="B939" i="1"/>
  <c r="C939" i="1"/>
  <c r="D939" i="1"/>
  <c r="E939" i="1"/>
  <c r="A940" i="1"/>
  <c r="B940" i="1"/>
  <c r="C940" i="1"/>
  <c r="D940" i="1"/>
  <c r="E940" i="1"/>
  <c r="A941" i="1"/>
  <c r="B941" i="1"/>
  <c r="C941" i="1"/>
  <c r="D941" i="1"/>
  <c r="E941" i="1"/>
  <c r="A942" i="1"/>
  <c r="B942" i="1"/>
  <c r="C942" i="1"/>
  <c r="D942" i="1"/>
  <c r="E942" i="1"/>
  <c r="A943" i="1"/>
  <c r="B943" i="1"/>
  <c r="C943" i="1"/>
  <c r="D943" i="1"/>
  <c r="E943" i="1"/>
  <c r="A944" i="1"/>
  <c r="B944" i="1"/>
  <c r="C944" i="1"/>
  <c r="D944" i="1"/>
  <c r="E944" i="1"/>
  <c r="A945" i="1"/>
  <c r="B945" i="1"/>
  <c r="C945" i="1"/>
  <c r="D945" i="1"/>
  <c r="E945" i="1"/>
  <c r="A946" i="1"/>
  <c r="B946" i="1"/>
  <c r="C946" i="1"/>
  <c r="D946" i="1"/>
  <c r="E946" i="1"/>
  <c r="A947" i="1"/>
  <c r="B947" i="1"/>
  <c r="C947" i="1"/>
  <c r="D947" i="1"/>
  <c r="E947" i="1"/>
  <c r="A948" i="1"/>
  <c r="B948" i="1"/>
  <c r="C948" i="1"/>
  <c r="D948" i="1"/>
  <c r="E948" i="1"/>
  <c r="A949" i="1"/>
  <c r="B949" i="1"/>
  <c r="C949" i="1"/>
  <c r="D949" i="1"/>
  <c r="E949" i="1"/>
  <c r="A950" i="1"/>
  <c r="B950" i="1"/>
  <c r="C950" i="1"/>
  <c r="D950" i="1"/>
  <c r="E950" i="1"/>
  <c r="A951" i="1"/>
  <c r="B951" i="1"/>
  <c r="C951" i="1"/>
  <c r="D951" i="1"/>
  <c r="E951" i="1"/>
  <c r="A952" i="1"/>
  <c r="B952" i="1"/>
  <c r="C952" i="1"/>
  <c r="D952" i="1"/>
  <c r="E952" i="1"/>
  <c r="A953" i="1"/>
  <c r="B953" i="1"/>
  <c r="C953" i="1"/>
  <c r="D953" i="1"/>
  <c r="E953" i="1"/>
  <c r="A954" i="1"/>
  <c r="B954" i="1"/>
  <c r="C954" i="1"/>
  <c r="D954" i="1"/>
  <c r="E954" i="1"/>
  <c r="A955" i="1"/>
  <c r="B955" i="1"/>
  <c r="C955" i="1"/>
  <c r="D955" i="1"/>
  <c r="E955" i="1"/>
  <c r="A956" i="1"/>
  <c r="B956" i="1"/>
  <c r="C956" i="1"/>
  <c r="D956" i="1"/>
  <c r="E956" i="1"/>
  <c r="A957" i="1"/>
  <c r="B957" i="1"/>
  <c r="C957" i="1"/>
  <c r="D957" i="1"/>
  <c r="E957" i="1"/>
  <c r="A958" i="1"/>
  <c r="B958" i="1"/>
  <c r="C958" i="1"/>
  <c r="D958" i="1"/>
  <c r="E958" i="1"/>
  <c r="A959" i="1"/>
  <c r="B959" i="1"/>
  <c r="C959" i="1"/>
  <c r="D959" i="1"/>
  <c r="E959" i="1"/>
  <c r="A960" i="1"/>
  <c r="B960" i="1"/>
  <c r="C960" i="1"/>
  <c r="D960" i="1"/>
  <c r="E960" i="1"/>
  <c r="A961" i="1"/>
  <c r="B961" i="1"/>
  <c r="C961" i="1"/>
  <c r="D961" i="1"/>
  <c r="E961" i="1"/>
  <c r="A962" i="1"/>
  <c r="B962" i="1"/>
  <c r="C962" i="1"/>
  <c r="D962" i="1"/>
  <c r="E962" i="1"/>
  <c r="A963" i="1"/>
  <c r="B963" i="1"/>
  <c r="C963" i="1"/>
  <c r="D963" i="1"/>
  <c r="E963" i="1"/>
  <c r="A964" i="1"/>
  <c r="B964" i="1"/>
  <c r="C964" i="1"/>
  <c r="D964" i="1"/>
  <c r="E964" i="1"/>
  <c r="A965" i="1"/>
  <c r="B965" i="1"/>
  <c r="C965" i="1"/>
  <c r="D965" i="1"/>
  <c r="E965" i="1"/>
  <c r="A966" i="1"/>
  <c r="B966" i="1"/>
  <c r="C966" i="1"/>
  <c r="D966" i="1"/>
  <c r="E966" i="1"/>
  <c r="A967" i="1"/>
  <c r="B967" i="1"/>
  <c r="C967" i="1"/>
  <c r="D967" i="1"/>
  <c r="E967" i="1"/>
  <c r="A968" i="1"/>
  <c r="B968" i="1"/>
  <c r="C968" i="1"/>
  <c r="D968" i="1"/>
  <c r="E968" i="1"/>
  <c r="A969" i="1"/>
  <c r="B969" i="1"/>
  <c r="C969" i="1"/>
  <c r="D969" i="1"/>
  <c r="E969" i="1"/>
  <c r="A970" i="1"/>
  <c r="B970" i="1"/>
  <c r="C970" i="1"/>
  <c r="D970" i="1"/>
  <c r="E970" i="1"/>
  <c r="A971" i="1"/>
  <c r="B971" i="1"/>
  <c r="C971" i="1"/>
  <c r="D971" i="1"/>
  <c r="E971" i="1"/>
  <c r="A972" i="1"/>
  <c r="B972" i="1"/>
  <c r="C972" i="1"/>
  <c r="D972" i="1"/>
  <c r="E972" i="1"/>
  <c r="A973" i="1"/>
  <c r="B973" i="1"/>
  <c r="C973" i="1"/>
  <c r="D973" i="1"/>
  <c r="E973" i="1"/>
  <c r="A974" i="1"/>
  <c r="B974" i="1"/>
  <c r="C974" i="1"/>
  <c r="D974" i="1"/>
  <c r="E974" i="1"/>
  <c r="A975" i="1"/>
  <c r="B975" i="1"/>
  <c r="C975" i="1"/>
  <c r="D975" i="1"/>
  <c r="E975" i="1"/>
  <c r="A976" i="1"/>
  <c r="B976" i="1"/>
  <c r="C976" i="1"/>
  <c r="D976" i="1"/>
  <c r="E976" i="1"/>
  <c r="A977" i="1"/>
  <c r="B977" i="1"/>
  <c r="C977" i="1"/>
  <c r="D977" i="1"/>
  <c r="E977" i="1"/>
  <c r="A978" i="1"/>
  <c r="B978" i="1"/>
  <c r="C978" i="1"/>
  <c r="D978" i="1"/>
  <c r="E978" i="1"/>
  <c r="A979" i="1"/>
  <c r="B979" i="1"/>
  <c r="C979" i="1"/>
  <c r="D979" i="1"/>
  <c r="E979" i="1"/>
  <c r="A980" i="1"/>
  <c r="B980" i="1"/>
  <c r="C980" i="1"/>
  <c r="D980" i="1"/>
  <c r="E980" i="1"/>
  <c r="A981" i="1"/>
  <c r="B981" i="1"/>
  <c r="C981" i="1"/>
  <c r="D981" i="1"/>
  <c r="E981" i="1"/>
  <c r="A982" i="1"/>
  <c r="B982" i="1"/>
  <c r="C982" i="1"/>
  <c r="D982" i="1"/>
  <c r="E982" i="1"/>
  <c r="A983" i="1"/>
  <c r="B983" i="1"/>
  <c r="C983" i="1"/>
  <c r="D983" i="1"/>
  <c r="E983" i="1"/>
  <c r="A984" i="1"/>
  <c r="B984" i="1"/>
  <c r="C984" i="1"/>
  <c r="D984" i="1"/>
  <c r="E984" i="1"/>
  <c r="A985" i="1"/>
  <c r="B985" i="1"/>
  <c r="C985" i="1"/>
  <c r="D985" i="1"/>
  <c r="E985" i="1"/>
  <c r="A986" i="1"/>
  <c r="B986" i="1"/>
  <c r="C986" i="1"/>
  <c r="D986" i="1"/>
  <c r="E986" i="1"/>
  <c r="A987" i="1"/>
  <c r="B987" i="1"/>
  <c r="C987" i="1"/>
  <c r="D987" i="1"/>
  <c r="E987" i="1"/>
  <c r="A988" i="1"/>
  <c r="B988" i="1"/>
  <c r="C988" i="1"/>
  <c r="D988" i="1"/>
  <c r="E988" i="1"/>
  <c r="A989" i="1"/>
  <c r="B989" i="1"/>
  <c r="C989" i="1"/>
  <c r="D989" i="1"/>
  <c r="E989" i="1"/>
  <c r="A990" i="1"/>
  <c r="B990" i="1"/>
  <c r="C990" i="1"/>
  <c r="D990" i="1"/>
  <c r="E990" i="1"/>
  <c r="A991" i="1"/>
  <c r="B991" i="1"/>
  <c r="C991" i="1"/>
  <c r="D991" i="1"/>
  <c r="E991" i="1"/>
  <c r="A992" i="1"/>
  <c r="B992" i="1"/>
  <c r="C992" i="1"/>
  <c r="D992" i="1"/>
  <c r="E992" i="1"/>
  <c r="A993" i="1"/>
  <c r="B993" i="1"/>
  <c r="C993" i="1"/>
  <c r="D993" i="1"/>
  <c r="E993" i="1"/>
  <c r="A994" i="1"/>
  <c r="B994" i="1"/>
  <c r="C994" i="1"/>
  <c r="D994" i="1"/>
  <c r="E994" i="1"/>
  <c r="A995" i="1"/>
  <c r="B995" i="1"/>
  <c r="C995" i="1"/>
  <c r="D995" i="1"/>
  <c r="E995" i="1"/>
  <c r="A996" i="1"/>
  <c r="B996" i="1"/>
  <c r="C996" i="1"/>
  <c r="D996" i="1"/>
  <c r="E996" i="1"/>
  <c r="A997" i="1"/>
  <c r="B997" i="1"/>
  <c r="C997" i="1"/>
  <c r="D997" i="1"/>
  <c r="E997" i="1"/>
  <c r="A998" i="1"/>
  <c r="B998" i="1"/>
  <c r="C998" i="1"/>
  <c r="D998" i="1"/>
  <c r="E998" i="1"/>
  <c r="A999" i="1"/>
  <c r="B999" i="1"/>
  <c r="C999" i="1"/>
  <c r="D999" i="1"/>
  <c r="E999" i="1"/>
  <c r="A1000" i="1"/>
  <c r="B1000" i="1"/>
  <c r="C1000" i="1"/>
  <c r="D1000" i="1"/>
  <c r="E1000" i="1"/>
  <c r="A1001" i="1"/>
  <c r="B1001" i="1"/>
  <c r="C1001" i="1"/>
  <c r="D1001" i="1"/>
  <c r="E1001" i="1"/>
  <c r="A1002" i="1"/>
  <c r="B1002" i="1"/>
  <c r="C1002" i="1"/>
  <c r="D1002" i="1"/>
  <c r="E1002" i="1"/>
  <c r="A1003" i="1"/>
  <c r="B1003" i="1"/>
  <c r="C1003" i="1"/>
  <c r="D1003" i="1"/>
  <c r="E1003" i="1"/>
  <c r="A1004" i="1"/>
  <c r="B1004" i="1"/>
  <c r="C1004" i="1"/>
  <c r="D1004" i="1"/>
  <c r="E1004" i="1"/>
  <c r="A1005" i="1"/>
  <c r="B1005" i="1"/>
  <c r="C1005" i="1"/>
  <c r="D1005" i="1"/>
  <c r="E1005" i="1"/>
  <c r="A1006" i="1"/>
  <c r="B1006" i="1"/>
  <c r="C1006" i="1"/>
  <c r="D1006" i="1"/>
  <c r="E1006" i="1"/>
  <c r="A1007" i="1"/>
  <c r="B1007" i="1"/>
  <c r="C1007" i="1"/>
  <c r="D1007" i="1"/>
  <c r="E1007" i="1"/>
  <c r="A1008" i="1"/>
  <c r="B1008" i="1"/>
  <c r="C1008" i="1"/>
  <c r="D1008" i="1"/>
  <c r="E1008" i="1"/>
  <c r="A1009" i="1"/>
  <c r="B1009" i="1"/>
  <c r="C1009" i="1"/>
  <c r="D1009" i="1"/>
  <c r="E1009" i="1"/>
  <c r="A1010" i="1"/>
  <c r="B1010" i="1"/>
  <c r="C1010" i="1"/>
  <c r="D1010" i="1"/>
  <c r="E1010" i="1"/>
  <c r="A1011" i="1"/>
  <c r="B1011" i="1"/>
  <c r="C1011" i="1"/>
  <c r="D1011" i="1"/>
  <c r="E1011" i="1"/>
  <c r="A1012" i="1"/>
  <c r="B1012" i="1"/>
  <c r="C1012" i="1"/>
  <c r="D1012" i="1"/>
  <c r="E1012" i="1"/>
  <c r="A1013" i="1"/>
  <c r="B1013" i="1"/>
  <c r="C1013" i="1"/>
  <c r="D1013" i="1"/>
  <c r="E1013" i="1"/>
  <c r="A1014" i="1"/>
  <c r="B1014" i="1"/>
  <c r="C1014" i="1"/>
  <c r="D1014" i="1"/>
  <c r="E1014" i="1"/>
  <c r="A1015" i="1"/>
  <c r="B1015" i="1"/>
  <c r="C1015" i="1"/>
  <c r="D1015" i="1"/>
  <c r="E1015" i="1"/>
  <c r="A1016" i="1"/>
  <c r="B1016" i="1"/>
  <c r="C1016" i="1"/>
  <c r="D1016" i="1"/>
  <c r="E1016" i="1"/>
  <c r="A1017" i="1"/>
  <c r="B1017" i="1"/>
  <c r="C1017" i="1"/>
  <c r="D1017" i="1"/>
  <c r="E1017" i="1"/>
  <c r="A1018" i="1"/>
  <c r="B1018" i="1"/>
  <c r="C1018" i="1"/>
  <c r="D1018" i="1"/>
  <c r="E1018" i="1"/>
  <c r="A1019" i="1"/>
  <c r="B1019" i="1"/>
  <c r="C1019" i="1"/>
  <c r="D1019" i="1"/>
  <c r="E1019" i="1"/>
  <c r="A1020" i="1"/>
  <c r="B1020" i="1"/>
  <c r="C1020" i="1"/>
  <c r="D1020" i="1"/>
  <c r="E1020" i="1"/>
  <c r="A1021" i="1"/>
  <c r="B1021" i="1"/>
  <c r="C1021" i="1"/>
  <c r="D1021" i="1"/>
  <c r="E1021" i="1"/>
  <c r="A1022" i="1"/>
  <c r="B1022" i="1"/>
  <c r="C1022" i="1"/>
  <c r="D1022" i="1"/>
  <c r="E1022" i="1"/>
  <c r="A1023" i="1"/>
  <c r="B1023" i="1"/>
  <c r="C1023" i="1"/>
  <c r="D1023" i="1"/>
  <c r="E1023" i="1"/>
  <c r="A1024" i="1"/>
  <c r="B1024" i="1"/>
  <c r="C1024" i="1"/>
  <c r="D1024" i="1"/>
  <c r="E1024" i="1"/>
  <c r="A1025" i="1"/>
  <c r="B1025" i="1"/>
  <c r="C1025" i="1"/>
  <c r="D1025" i="1"/>
  <c r="E1025" i="1"/>
  <c r="A1026" i="1"/>
  <c r="B1026" i="1"/>
  <c r="C1026" i="1"/>
  <c r="D1026" i="1"/>
  <c r="E1026" i="1"/>
  <c r="A1027" i="1"/>
  <c r="B1027" i="1"/>
  <c r="C1027" i="1"/>
  <c r="D1027" i="1"/>
  <c r="E1027" i="1"/>
  <c r="A1028" i="1"/>
  <c r="B1028" i="1"/>
  <c r="C1028" i="1"/>
  <c r="D1028" i="1"/>
  <c r="E1028" i="1"/>
  <c r="A1029" i="1"/>
  <c r="B1029" i="1"/>
  <c r="C1029" i="1"/>
  <c r="D1029" i="1"/>
  <c r="E1029" i="1"/>
  <c r="A1030" i="1"/>
  <c r="B1030" i="1"/>
  <c r="C1030" i="1"/>
  <c r="D1030" i="1"/>
  <c r="E1030" i="1"/>
  <c r="A1031" i="1"/>
  <c r="B1031" i="1"/>
  <c r="C1031" i="1"/>
  <c r="D1031" i="1"/>
  <c r="E1031" i="1"/>
  <c r="A1032" i="1"/>
  <c r="B1032" i="1"/>
  <c r="C1032" i="1"/>
  <c r="D1032" i="1"/>
  <c r="E1032" i="1"/>
  <c r="A1033" i="1"/>
  <c r="B1033" i="1"/>
  <c r="C1033" i="1"/>
  <c r="D1033" i="1"/>
  <c r="E1033" i="1"/>
  <c r="A1034" i="1"/>
  <c r="B1034" i="1"/>
  <c r="C1034" i="1"/>
  <c r="D1034" i="1"/>
  <c r="E1034" i="1"/>
  <c r="A1035" i="1"/>
  <c r="B1035" i="1"/>
  <c r="C1035" i="1"/>
  <c r="D1035" i="1"/>
  <c r="E1035" i="1"/>
  <c r="A1036" i="1"/>
  <c r="B1036" i="1"/>
  <c r="C1036" i="1"/>
  <c r="D1036" i="1"/>
  <c r="E1036" i="1"/>
  <c r="A1037" i="1"/>
  <c r="B1037" i="1"/>
  <c r="C1037" i="1"/>
  <c r="D1037" i="1"/>
  <c r="E1037" i="1"/>
  <c r="A1038" i="1"/>
  <c r="B1038" i="1"/>
  <c r="C1038" i="1"/>
  <c r="D1038" i="1"/>
  <c r="E1038" i="1"/>
  <c r="A1039" i="1"/>
  <c r="B1039" i="1"/>
  <c r="C1039" i="1"/>
  <c r="D1039" i="1"/>
  <c r="E1039" i="1"/>
  <c r="A1040" i="1"/>
  <c r="B1040" i="1"/>
  <c r="C1040" i="1"/>
  <c r="D1040" i="1"/>
  <c r="E1040" i="1"/>
  <c r="A1041" i="1"/>
  <c r="B1041" i="1"/>
  <c r="C1041" i="1"/>
  <c r="D1041" i="1"/>
  <c r="E1041" i="1"/>
  <c r="A1042" i="1"/>
  <c r="B1042" i="1"/>
  <c r="C1042" i="1"/>
  <c r="D1042" i="1"/>
  <c r="E1042" i="1"/>
  <c r="A1043" i="1"/>
  <c r="B1043" i="1"/>
  <c r="C1043" i="1"/>
  <c r="D1043" i="1"/>
  <c r="E1043" i="1"/>
  <c r="A1044" i="1"/>
  <c r="B1044" i="1"/>
  <c r="C1044" i="1"/>
  <c r="D1044" i="1"/>
  <c r="E1044" i="1"/>
  <c r="A1045" i="1"/>
  <c r="B1045" i="1"/>
  <c r="C1045" i="1"/>
  <c r="D1045" i="1"/>
  <c r="E1045" i="1"/>
  <c r="A1046" i="1"/>
  <c r="B1046" i="1"/>
  <c r="C1046" i="1"/>
  <c r="D1046" i="1"/>
  <c r="E1046" i="1"/>
  <c r="A1047" i="1"/>
  <c r="B1047" i="1"/>
  <c r="C1047" i="1"/>
  <c r="D1047" i="1"/>
  <c r="E1047" i="1"/>
  <c r="A1048" i="1"/>
  <c r="B1048" i="1"/>
  <c r="C1048" i="1"/>
  <c r="D1048" i="1"/>
  <c r="E1048" i="1"/>
  <c r="A1049" i="1"/>
  <c r="B1049" i="1"/>
  <c r="C1049" i="1"/>
  <c r="D1049" i="1"/>
  <c r="E1049" i="1"/>
  <c r="A1050" i="1"/>
  <c r="B1050" i="1"/>
  <c r="C1050" i="1"/>
  <c r="D1050" i="1"/>
  <c r="E1050" i="1"/>
  <c r="A1051" i="1"/>
  <c r="B1051" i="1"/>
  <c r="C1051" i="1"/>
  <c r="D1051" i="1"/>
  <c r="E1051" i="1"/>
  <c r="A1052" i="1"/>
  <c r="B1052" i="1"/>
  <c r="C1052" i="1"/>
  <c r="D1052" i="1"/>
  <c r="E1052" i="1"/>
  <c r="A1053" i="1"/>
  <c r="B1053" i="1"/>
  <c r="C1053" i="1"/>
  <c r="D1053" i="1"/>
  <c r="E1053" i="1"/>
  <c r="A1054" i="1"/>
  <c r="B1054" i="1"/>
  <c r="C1054" i="1"/>
  <c r="D1054" i="1"/>
  <c r="E1054" i="1"/>
  <c r="A1055" i="1"/>
  <c r="B1055" i="1"/>
  <c r="C1055" i="1"/>
  <c r="D1055" i="1"/>
  <c r="E1055" i="1"/>
  <c r="A1056" i="1"/>
  <c r="B1056" i="1"/>
  <c r="C1056" i="1"/>
  <c r="D1056" i="1"/>
  <c r="E1056" i="1"/>
  <c r="A1057" i="1"/>
  <c r="B1057" i="1"/>
  <c r="C1057" i="1"/>
  <c r="D1057" i="1"/>
  <c r="E1057" i="1"/>
  <c r="A1058" i="1"/>
  <c r="B1058" i="1"/>
  <c r="C1058" i="1"/>
  <c r="D1058" i="1"/>
  <c r="E1058" i="1"/>
  <c r="A1059" i="1"/>
  <c r="B1059" i="1"/>
  <c r="C1059" i="1"/>
  <c r="D1059" i="1"/>
  <c r="E1059" i="1"/>
  <c r="A1060" i="1"/>
  <c r="B1060" i="1"/>
  <c r="C1060" i="1"/>
  <c r="D1060" i="1"/>
  <c r="E1060" i="1"/>
  <c r="A1061" i="1"/>
  <c r="B1061" i="1"/>
  <c r="C1061" i="1"/>
  <c r="D1061" i="1"/>
  <c r="E1061" i="1"/>
  <c r="A1062" i="1"/>
  <c r="B1062" i="1"/>
  <c r="C1062" i="1"/>
  <c r="D1062" i="1"/>
  <c r="E1062" i="1"/>
  <c r="A1063" i="1"/>
  <c r="B1063" i="1"/>
  <c r="C1063" i="1"/>
  <c r="D1063" i="1"/>
  <c r="E1063" i="1"/>
  <c r="A1064" i="1"/>
  <c r="B1064" i="1"/>
  <c r="C1064" i="1"/>
  <c r="D1064" i="1"/>
  <c r="E1064" i="1"/>
  <c r="A1065" i="1"/>
  <c r="B1065" i="1"/>
  <c r="C1065" i="1"/>
  <c r="D1065" i="1"/>
  <c r="E1065" i="1"/>
  <c r="A1066" i="1"/>
  <c r="B1066" i="1"/>
  <c r="C1066" i="1"/>
  <c r="D1066" i="1"/>
  <c r="E1066" i="1"/>
  <c r="A1067" i="1"/>
  <c r="B1067" i="1"/>
  <c r="C1067" i="1"/>
  <c r="D1067" i="1"/>
  <c r="E1067" i="1"/>
  <c r="A1068" i="1"/>
  <c r="B1068" i="1"/>
  <c r="C1068" i="1"/>
  <c r="D1068" i="1"/>
  <c r="E1068" i="1"/>
  <c r="A1069" i="1"/>
  <c r="B1069" i="1"/>
  <c r="C1069" i="1"/>
  <c r="D1069" i="1"/>
  <c r="E1069" i="1"/>
  <c r="A1070" i="1"/>
  <c r="B1070" i="1"/>
  <c r="C1070" i="1"/>
  <c r="D1070" i="1"/>
  <c r="E1070" i="1"/>
  <c r="A1071" i="1"/>
  <c r="B1071" i="1"/>
  <c r="C1071" i="1"/>
  <c r="D1071" i="1"/>
  <c r="E1071" i="1"/>
  <c r="A1072" i="1"/>
  <c r="B1072" i="1"/>
  <c r="C1072" i="1"/>
  <c r="D1072" i="1"/>
  <c r="E1072" i="1"/>
  <c r="A1073" i="1"/>
  <c r="B1073" i="1"/>
  <c r="C1073" i="1"/>
  <c r="D1073" i="1"/>
  <c r="E1073" i="1"/>
  <c r="A1074" i="1"/>
  <c r="B1074" i="1"/>
  <c r="C1074" i="1"/>
  <c r="D1074" i="1"/>
  <c r="E1074" i="1"/>
  <c r="A1075" i="1"/>
  <c r="B1075" i="1"/>
  <c r="C1075" i="1"/>
  <c r="D1075" i="1"/>
  <c r="E1075" i="1"/>
  <c r="A1076" i="1"/>
  <c r="B1076" i="1"/>
  <c r="C1076" i="1"/>
  <c r="D1076" i="1"/>
  <c r="E1076" i="1"/>
  <c r="A1077" i="1"/>
  <c r="B1077" i="1"/>
  <c r="C1077" i="1"/>
  <c r="D1077" i="1"/>
  <c r="E1077" i="1"/>
  <c r="A1078" i="1"/>
  <c r="B1078" i="1"/>
  <c r="C1078" i="1"/>
  <c r="D1078" i="1"/>
  <c r="E1078" i="1"/>
  <c r="A1079" i="1"/>
  <c r="B1079" i="1"/>
  <c r="C1079" i="1"/>
  <c r="D1079" i="1"/>
  <c r="E1079" i="1"/>
  <c r="A1080" i="1"/>
  <c r="B1080" i="1"/>
  <c r="C1080" i="1"/>
  <c r="D1080" i="1"/>
  <c r="E1080" i="1"/>
  <c r="A1081" i="1"/>
  <c r="B1081" i="1"/>
  <c r="C1081" i="1"/>
  <c r="D1081" i="1"/>
  <c r="E1081" i="1"/>
  <c r="A1082" i="1"/>
  <c r="B1082" i="1"/>
  <c r="C1082" i="1"/>
  <c r="D1082" i="1"/>
  <c r="E1082" i="1"/>
  <c r="A1083" i="1"/>
  <c r="B1083" i="1"/>
  <c r="C1083" i="1"/>
  <c r="D1083" i="1"/>
  <c r="E1083" i="1"/>
  <c r="A1084" i="1"/>
  <c r="B1084" i="1"/>
  <c r="C1084" i="1"/>
  <c r="D1084" i="1"/>
  <c r="E1084" i="1"/>
  <c r="A1085" i="1"/>
  <c r="B1085" i="1"/>
  <c r="C1085" i="1"/>
  <c r="D1085" i="1"/>
  <c r="E1085" i="1"/>
  <c r="A1086" i="1"/>
  <c r="B1086" i="1"/>
  <c r="C1086" i="1"/>
  <c r="D1086" i="1"/>
  <c r="E1086" i="1"/>
  <c r="A1087" i="1"/>
  <c r="B1087" i="1"/>
  <c r="C1087" i="1"/>
  <c r="D1087" i="1"/>
  <c r="E1087" i="1"/>
  <c r="A1088" i="1"/>
  <c r="B1088" i="1"/>
  <c r="C1088" i="1"/>
  <c r="D1088" i="1"/>
  <c r="E1088" i="1"/>
  <c r="A1089" i="1"/>
  <c r="B1089" i="1"/>
  <c r="C1089" i="1"/>
  <c r="D1089" i="1"/>
  <c r="E1089" i="1"/>
  <c r="A1090" i="1"/>
  <c r="B1090" i="1"/>
  <c r="C1090" i="1"/>
  <c r="D1090" i="1"/>
  <c r="E1090" i="1"/>
  <c r="A1091" i="1"/>
  <c r="B1091" i="1"/>
  <c r="C1091" i="1"/>
  <c r="D1091" i="1"/>
  <c r="E1091" i="1"/>
  <c r="A1092" i="1"/>
  <c r="B1092" i="1"/>
  <c r="C1092" i="1"/>
  <c r="D1092" i="1"/>
  <c r="E1092" i="1"/>
  <c r="A1093" i="1"/>
  <c r="B1093" i="1"/>
  <c r="C1093" i="1"/>
  <c r="D1093" i="1"/>
  <c r="E1093" i="1"/>
  <c r="A1094" i="1"/>
  <c r="B1094" i="1"/>
  <c r="C1094" i="1"/>
  <c r="D1094" i="1"/>
  <c r="E1094" i="1"/>
  <c r="A1095" i="1"/>
  <c r="B1095" i="1"/>
  <c r="C1095" i="1"/>
  <c r="D1095" i="1"/>
  <c r="E1095" i="1"/>
  <c r="A1096" i="1"/>
  <c r="B1096" i="1"/>
  <c r="C1096" i="1"/>
  <c r="D1096" i="1"/>
  <c r="E1096" i="1"/>
  <c r="A1097" i="1"/>
  <c r="B1097" i="1"/>
  <c r="C1097" i="1"/>
  <c r="D1097" i="1"/>
  <c r="E1097" i="1"/>
  <c r="A1098" i="1"/>
  <c r="B1098" i="1"/>
  <c r="C1098" i="1"/>
  <c r="D1098" i="1"/>
  <c r="E1098" i="1"/>
  <c r="A1099" i="1"/>
  <c r="B1099" i="1"/>
  <c r="C1099" i="1"/>
  <c r="D1099" i="1"/>
  <c r="E1099" i="1"/>
  <c r="A1100" i="1"/>
  <c r="B1100" i="1"/>
  <c r="C1100" i="1"/>
  <c r="D1100" i="1"/>
  <c r="E1100" i="1"/>
  <c r="A1101" i="1"/>
  <c r="B1101" i="1"/>
  <c r="C1101" i="1"/>
  <c r="D1101" i="1"/>
  <c r="E1101" i="1"/>
  <c r="A1102" i="1"/>
  <c r="B1102" i="1"/>
  <c r="C1102" i="1"/>
  <c r="D1102" i="1"/>
  <c r="E1102" i="1"/>
  <c r="A1103" i="1"/>
  <c r="B1103" i="1"/>
  <c r="C1103" i="1"/>
  <c r="D1103" i="1"/>
  <c r="E1103" i="1"/>
  <c r="A1104" i="1"/>
  <c r="B1104" i="1"/>
  <c r="C1104" i="1"/>
  <c r="D1104" i="1"/>
  <c r="E1104" i="1"/>
  <c r="A1105" i="1"/>
  <c r="B1105" i="1"/>
  <c r="C1105" i="1"/>
  <c r="D1105" i="1"/>
  <c r="E1105" i="1"/>
  <c r="A1106" i="1"/>
  <c r="B1106" i="1"/>
  <c r="C1106" i="1"/>
  <c r="D1106" i="1"/>
  <c r="E1106" i="1"/>
  <c r="A1107" i="1"/>
  <c r="B1107" i="1"/>
  <c r="C1107" i="1"/>
  <c r="D1107" i="1"/>
  <c r="E1107" i="1"/>
  <c r="A1108" i="1"/>
  <c r="B1108" i="1"/>
  <c r="C1108" i="1"/>
  <c r="D1108" i="1"/>
  <c r="E1108" i="1"/>
  <c r="A1109" i="1"/>
  <c r="B1109" i="1"/>
  <c r="C1109" i="1"/>
  <c r="D1109" i="1"/>
  <c r="E1109" i="1"/>
  <c r="A1110" i="1"/>
  <c r="B1110" i="1"/>
  <c r="C1110" i="1"/>
  <c r="D1110" i="1"/>
  <c r="E1110" i="1"/>
  <c r="A1111" i="1"/>
  <c r="B1111" i="1"/>
  <c r="C1111" i="1"/>
  <c r="D1111" i="1"/>
  <c r="E1111" i="1"/>
  <c r="A1112" i="1"/>
  <c r="B1112" i="1"/>
  <c r="C1112" i="1"/>
  <c r="D1112" i="1"/>
  <c r="E1112" i="1"/>
  <c r="A1113" i="1"/>
  <c r="B1113" i="1"/>
  <c r="C1113" i="1"/>
  <c r="D1113" i="1"/>
  <c r="E1113" i="1"/>
  <c r="A1114" i="1"/>
  <c r="B1114" i="1"/>
  <c r="C1114" i="1"/>
  <c r="D1114" i="1"/>
  <c r="E1114" i="1"/>
  <c r="A1115" i="1"/>
  <c r="B1115" i="1"/>
  <c r="C1115" i="1"/>
  <c r="D1115" i="1"/>
  <c r="E1115" i="1"/>
  <c r="A1116" i="1"/>
  <c r="B1116" i="1"/>
  <c r="C1116" i="1"/>
  <c r="D1116" i="1"/>
  <c r="E1116" i="1"/>
  <c r="A1117" i="1"/>
  <c r="B1117" i="1"/>
  <c r="C1117" i="1"/>
  <c r="D1117" i="1"/>
  <c r="E1117" i="1"/>
  <c r="A1118" i="1"/>
  <c r="B1118" i="1"/>
  <c r="C1118" i="1"/>
  <c r="D1118" i="1"/>
  <c r="E1118" i="1"/>
  <c r="A1119" i="1"/>
  <c r="B1119" i="1"/>
  <c r="C1119" i="1"/>
  <c r="D1119" i="1"/>
  <c r="E1119" i="1"/>
  <c r="A1120" i="1"/>
  <c r="B1120" i="1"/>
  <c r="C1120" i="1"/>
  <c r="D1120" i="1"/>
  <c r="E1120" i="1"/>
  <c r="A1121" i="1"/>
  <c r="B1121" i="1"/>
  <c r="C1121" i="1"/>
  <c r="D1121" i="1"/>
  <c r="E1121" i="1"/>
  <c r="A1122" i="1"/>
  <c r="B1122" i="1"/>
  <c r="C1122" i="1"/>
  <c r="D1122" i="1"/>
  <c r="E1122" i="1"/>
  <c r="A1123" i="1"/>
  <c r="B1123" i="1"/>
  <c r="C1123" i="1"/>
  <c r="D1123" i="1"/>
  <c r="E1123" i="1"/>
  <c r="A1124" i="1"/>
  <c r="B1124" i="1"/>
  <c r="C1124" i="1"/>
  <c r="D1124" i="1"/>
  <c r="E1124" i="1"/>
  <c r="A1125" i="1"/>
  <c r="B1125" i="1"/>
  <c r="C1125" i="1"/>
  <c r="D1125" i="1"/>
  <c r="E1125" i="1"/>
  <c r="A1126" i="1"/>
  <c r="B1126" i="1"/>
  <c r="C1126" i="1"/>
  <c r="D1126" i="1"/>
  <c r="E1126" i="1"/>
  <c r="A1127" i="1"/>
  <c r="B1127" i="1"/>
  <c r="C1127" i="1"/>
  <c r="D1127" i="1"/>
  <c r="E1127" i="1"/>
  <c r="A1128" i="1"/>
  <c r="B1128" i="1"/>
  <c r="C1128" i="1"/>
  <c r="D1128" i="1"/>
  <c r="E1128" i="1"/>
  <c r="A1129" i="1"/>
  <c r="B1129" i="1"/>
  <c r="C1129" i="1"/>
  <c r="D1129" i="1"/>
  <c r="E1129" i="1"/>
  <c r="A1130" i="1"/>
  <c r="B1130" i="1"/>
  <c r="C1130" i="1"/>
  <c r="D1130" i="1"/>
  <c r="E1130" i="1"/>
  <c r="A1131" i="1"/>
  <c r="B1131" i="1"/>
  <c r="C1131" i="1"/>
  <c r="D1131" i="1"/>
  <c r="E1131" i="1"/>
  <c r="A1132" i="1"/>
  <c r="B1132" i="1"/>
  <c r="C1132" i="1"/>
  <c r="D1132" i="1"/>
  <c r="E1132" i="1"/>
  <c r="A1133" i="1"/>
  <c r="B1133" i="1"/>
  <c r="C1133" i="1"/>
  <c r="D1133" i="1"/>
  <c r="E1133" i="1"/>
  <c r="A1134" i="1"/>
  <c r="B1134" i="1"/>
  <c r="C1134" i="1"/>
  <c r="D1134" i="1"/>
  <c r="E1134" i="1"/>
  <c r="A1135" i="1"/>
  <c r="B1135" i="1"/>
  <c r="C1135" i="1"/>
  <c r="D1135" i="1"/>
  <c r="E1135" i="1"/>
  <c r="A1136" i="1"/>
  <c r="B1136" i="1"/>
  <c r="C1136" i="1"/>
  <c r="D1136" i="1"/>
  <c r="E1136" i="1"/>
  <c r="A1137" i="1"/>
  <c r="B1137" i="1"/>
  <c r="C1137" i="1"/>
  <c r="D1137" i="1"/>
  <c r="E1137" i="1"/>
  <c r="A1138" i="1"/>
  <c r="B1138" i="1"/>
  <c r="C1138" i="1"/>
  <c r="D1138" i="1"/>
  <c r="E1138" i="1"/>
  <c r="A1139" i="1"/>
  <c r="B1139" i="1"/>
  <c r="C1139" i="1"/>
  <c r="D1139" i="1"/>
  <c r="E1139" i="1"/>
  <c r="A1140" i="1"/>
  <c r="B1140" i="1"/>
  <c r="C1140" i="1"/>
  <c r="D1140" i="1"/>
  <c r="E1140" i="1"/>
  <c r="A1141" i="1"/>
  <c r="B1141" i="1"/>
  <c r="C1141" i="1"/>
  <c r="D1141" i="1"/>
  <c r="E1141" i="1"/>
  <c r="A1142" i="1"/>
  <c r="B1142" i="1"/>
  <c r="C1142" i="1"/>
  <c r="D1142" i="1"/>
  <c r="E1142" i="1"/>
  <c r="A1143" i="1"/>
  <c r="B1143" i="1"/>
  <c r="C1143" i="1"/>
  <c r="D1143" i="1"/>
  <c r="E1143" i="1"/>
  <c r="A1144" i="1"/>
  <c r="B1144" i="1"/>
  <c r="C1144" i="1"/>
  <c r="D1144" i="1"/>
  <c r="E1144" i="1"/>
  <c r="A1145" i="1"/>
  <c r="B1145" i="1"/>
  <c r="C1145" i="1"/>
  <c r="D1145" i="1"/>
  <c r="E1145" i="1"/>
  <c r="A1146" i="1"/>
  <c r="B1146" i="1"/>
  <c r="C1146" i="1"/>
  <c r="D1146" i="1"/>
  <c r="E1146" i="1"/>
  <c r="A1147" i="1"/>
  <c r="B1147" i="1"/>
  <c r="C1147" i="1"/>
  <c r="D1147" i="1"/>
  <c r="E1147" i="1"/>
  <c r="A1148" i="1"/>
  <c r="B1148" i="1"/>
  <c r="C1148" i="1"/>
  <c r="D1148" i="1"/>
  <c r="E1148" i="1"/>
  <c r="A1149" i="1"/>
  <c r="B1149" i="1"/>
  <c r="C1149" i="1"/>
  <c r="D1149" i="1"/>
  <c r="E1149" i="1"/>
  <c r="A1150" i="1"/>
  <c r="B1150" i="1"/>
  <c r="C1150" i="1"/>
  <c r="D1150" i="1"/>
  <c r="E1150" i="1"/>
  <c r="A1151" i="1"/>
  <c r="B1151" i="1"/>
  <c r="C1151" i="1"/>
  <c r="D1151" i="1"/>
  <c r="E1151" i="1"/>
  <c r="A1152" i="1"/>
  <c r="B1152" i="1"/>
  <c r="C1152" i="1"/>
  <c r="D1152" i="1"/>
  <c r="E1152" i="1"/>
  <c r="A1153" i="1"/>
  <c r="B1153" i="1"/>
  <c r="C1153" i="1"/>
  <c r="D1153" i="1"/>
  <c r="E1153" i="1"/>
  <c r="A1154" i="1"/>
  <c r="B1154" i="1"/>
  <c r="C1154" i="1"/>
  <c r="D1154" i="1"/>
  <c r="E1154" i="1"/>
  <c r="A1155" i="1"/>
  <c r="B1155" i="1"/>
  <c r="C1155" i="1"/>
  <c r="D1155" i="1"/>
  <c r="E1155" i="1"/>
  <c r="A1156" i="1"/>
  <c r="B1156" i="1"/>
  <c r="C1156" i="1"/>
  <c r="D1156" i="1"/>
  <c r="E1156" i="1"/>
  <c r="A1157" i="1"/>
  <c r="B1157" i="1"/>
  <c r="C1157" i="1"/>
  <c r="D1157" i="1"/>
  <c r="E1157" i="1"/>
  <c r="A1158" i="1"/>
  <c r="B1158" i="1"/>
  <c r="C1158" i="1"/>
  <c r="D1158" i="1"/>
  <c r="E1158" i="1"/>
  <c r="A1159" i="1"/>
  <c r="B1159" i="1"/>
  <c r="C1159" i="1"/>
  <c r="D1159" i="1"/>
  <c r="E1159" i="1"/>
  <c r="A1160" i="1"/>
  <c r="B1160" i="1"/>
  <c r="C1160" i="1"/>
  <c r="D1160" i="1"/>
  <c r="E1160" i="1"/>
  <c r="A1161" i="1"/>
  <c r="B1161" i="1"/>
  <c r="C1161" i="1"/>
  <c r="D1161" i="1"/>
  <c r="E1161" i="1"/>
  <c r="A1162" i="1"/>
  <c r="B1162" i="1"/>
  <c r="C1162" i="1"/>
  <c r="D1162" i="1"/>
  <c r="E1162" i="1"/>
  <c r="A1163" i="1"/>
  <c r="B1163" i="1"/>
  <c r="C1163" i="1"/>
  <c r="D1163" i="1"/>
  <c r="E1163" i="1"/>
  <c r="A1164" i="1"/>
  <c r="B1164" i="1"/>
  <c r="C1164" i="1"/>
  <c r="D1164" i="1"/>
  <c r="E1164" i="1"/>
  <c r="A1165" i="1"/>
  <c r="B1165" i="1"/>
  <c r="C1165" i="1"/>
  <c r="D1165" i="1"/>
  <c r="E1165" i="1"/>
  <c r="A1166" i="1"/>
  <c r="B1166" i="1"/>
  <c r="C1166" i="1"/>
  <c r="D1166" i="1"/>
  <c r="E1166" i="1"/>
  <c r="A1167" i="1"/>
  <c r="B1167" i="1"/>
  <c r="C1167" i="1"/>
  <c r="D1167" i="1"/>
  <c r="E1167" i="1"/>
  <c r="A1168" i="1"/>
  <c r="B1168" i="1"/>
  <c r="C1168" i="1"/>
  <c r="D1168" i="1"/>
  <c r="E1168" i="1"/>
  <c r="A1169" i="1"/>
  <c r="B1169" i="1"/>
  <c r="C1169" i="1"/>
  <c r="D1169" i="1"/>
  <c r="E1169" i="1"/>
  <c r="A1170" i="1"/>
  <c r="B1170" i="1"/>
  <c r="C1170" i="1"/>
  <c r="D1170" i="1"/>
  <c r="E1170" i="1"/>
  <c r="A1171" i="1"/>
  <c r="B1171" i="1"/>
  <c r="C1171" i="1"/>
  <c r="D1171" i="1"/>
  <c r="E1171" i="1"/>
  <c r="A1172" i="1"/>
  <c r="B1172" i="1"/>
  <c r="C1172" i="1"/>
  <c r="D1172" i="1"/>
  <c r="E1172" i="1"/>
  <c r="A1173" i="1"/>
  <c r="B1173" i="1"/>
  <c r="C1173" i="1"/>
  <c r="D1173" i="1"/>
  <c r="E1173" i="1"/>
  <c r="A1174" i="1"/>
  <c r="B1174" i="1"/>
  <c r="C1174" i="1"/>
  <c r="D1174" i="1"/>
  <c r="E1174" i="1"/>
  <c r="A1175" i="1"/>
  <c r="B1175" i="1"/>
  <c r="C1175" i="1"/>
  <c r="D1175" i="1"/>
  <c r="E1175" i="1"/>
  <c r="A1176" i="1"/>
  <c r="B1176" i="1"/>
  <c r="C1176" i="1"/>
  <c r="D1176" i="1"/>
  <c r="E1176" i="1"/>
  <c r="A1177" i="1"/>
  <c r="B1177" i="1"/>
  <c r="C1177" i="1"/>
  <c r="D1177" i="1"/>
  <c r="E1177" i="1"/>
  <c r="A1178" i="1"/>
  <c r="B1178" i="1"/>
  <c r="C1178" i="1"/>
  <c r="D1178" i="1"/>
  <c r="E1178" i="1"/>
  <c r="A1179" i="1"/>
  <c r="B1179" i="1"/>
  <c r="C1179" i="1"/>
  <c r="D1179" i="1"/>
  <c r="E1179" i="1"/>
  <c r="A1180" i="1"/>
  <c r="B1180" i="1"/>
  <c r="C1180" i="1"/>
  <c r="D1180" i="1"/>
  <c r="E1180" i="1"/>
  <c r="A1181" i="1"/>
  <c r="B1181" i="1"/>
  <c r="C1181" i="1"/>
  <c r="D1181" i="1"/>
  <c r="E1181" i="1"/>
  <c r="A1182" i="1"/>
  <c r="B1182" i="1"/>
  <c r="C1182" i="1"/>
  <c r="D1182" i="1"/>
  <c r="E1182" i="1"/>
  <c r="A1183" i="1"/>
  <c r="B1183" i="1"/>
  <c r="C1183" i="1"/>
  <c r="D1183" i="1"/>
  <c r="E1183" i="1"/>
  <c r="A1184" i="1"/>
  <c r="B1184" i="1"/>
  <c r="C1184" i="1"/>
  <c r="D1184" i="1"/>
  <c r="E1184" i="1"/>
  <c r="A1185" i="1"/>
  <c r="B1185" i="1"/>
  <c r="C1185" i="1"/>
  <c r="D1185" i="1"/>
  <c r="E1185" i="1"/>
  <c r="A1186" i="1"/>
  <c r="B1186" i="1"/>
  <c r="C1186" i="1"/>
  <c r="D1186" i="1"/>
  <c r="E1186" i="1"/>
  <c r="A1187" i="1"/>
  <c r="B1187" i="1"/>
  <c r="C1187" i="1"/>
  <c r="D1187" i="1"/>
  <c r="E1187" i="1"/>
  <c r="A1188" i="1"/>
  <c r="B1188" i="1"/>
  <c r="C1188" i="1"/>
  <c r="D1188" i="1"/>
  <c r="E1188" i="1"/>
  <c r="A1189" i="1"/>
  <c r="B1189" i="1"/>
  <c r="C1189" i="1"/>
  <c r="D1189" i="1"/>
  <c r="E1189" i="1"/>
  <c r="A1190" i="1"/>
  <c r="B1190" i="1"/>
  <c r="C1190" i="1"/>
  <c r="D1190" i="1"/>
  <c r="E1190" i="1"/>
  <c r="A1191" i="1"/>
  <c r="B1191" i="1"/>
  <c r="C1191" i="1"/>
  <c r="D1191" i="1"/>
  <c r="E1191" i="1"/>
  <c r="A1192" i="1"/>
  <c r="B1192" i="1"/>
  <c r="C1192" i="1"/>
  <c r="D1192" i="1"/>
  <c r="E1192" i="1"/>
  <c r="A1193" i="1"/>
  <c r="B1193" i="1"/>
  <c r="C1193" i="1"/>
  <c r="D1193" i="1"/>
  <c r="E1193" i="1"/>
  <c r="A1194" i="1"/>
  <c r="B1194" i="1"/>
  <c r="C1194" i="1"/>
  <c r="D1194" i="1"/>
  <c r="E1194" i="1"/>
  <c r="A1195" i="1"/>
  <c r="B1195" i="1"/>
  <c r="C1195" i="1"/>
  <c r="D1195" i="1"/>
  <c r="E1195" i="1"/>
  <c r="A1196" i="1"/>
  <c r="B1196" i="1"/>
  <c r="C1196" i="1"/>
  <c r="D1196" i="1"/>
  <c r="E1196" i="1"/>
  <c r="A1197" i="1"/>
  <c r="B1197" i="1"/>
  <c r="C1197" i="1"/>
  <c r="D1197" i="1"/>
  <c r="E1197" i="1"/>
  <c r="A1198" i="1"/>
  <c r="B1198" i="1"/>
  <c r="C1198" i="1"/>
  <c r="D1198" i="1"/>
  <c r="E1198" i="1"/>
  <c r="A1199" i="1"/>
  <c r="B1199" i="1"/>
  <c r="C1199" i="1"/>
  <c r="D1199" i="1"/>
  <c r="E1199" i="1"/>
  <c r="A1200" i="1"/>
  <c r="B1200" i="1"/>
  <c r="C1200" i="1"/>
  <c r="D1200" i="1"/>
  <c r="E1200" i="1"/>
  <c r="A1201" i="1"/>
  <c r="B1201" i="1"/>
  <c r="C1201" i="1"/>
  <c r="D1201" i="1"/>
  <c r="E1201" i="1"/>
  <c r="A1202" i="1"/>
  <c r="B1202" i="1"/>
  <c r="C1202" i="1"/>
  <c r="D1202" i="1"/>
  <c r="E1202" i="1"/>
  <c r="A1203" i="1"/>
  <c r="B1203" i="1"/>
  <c r="C1203" i="1"/>
  <c r="D1203" i="1"/>
  <c r="E1203" i="1"/>
  <c r="A1204" i="1"/>
  <c r="B1204" i="1"/>
  <c r="C1204" i="1"/>
  <c r="D1204" i="1"/>
  <c r="E1204" i="1"/>
  <c r="A1205" i="1"/>
  <c r="B1205" i="1"/>
  <c r="C1205" i="1"/>
  <c r="D1205" i="1"/>
  <c r="E1205" i="1"/>
  <c r="A1206" i="1"/>
  <c r="B1206" i="1"/>
  <c r="C1206" i="1"/>
  <c r="D1206" i="1"/>
  <c r="E1206" i="1"/>
  <c r="A1207" i="1"/>
  <c r="B1207" i="1"/>
  <c r="C1207" i="1"/>
  <c r="D1207" i="1"/>
  <c r="E1207" i="1"/>
  <c r="A1208" i="1"/>
  <c r="B1208" i="1"/>
  <c r="C1208" i="1"/>
  <c r="D1208" i="1"/>
  <c r="E1208" i="1"/>
  <c r="A1209" i="1"/>
  <c r="B1209" i="1"/>
  <c r="C1209" i="1"/>
  <c r="D1209" i="1"/>
  <c r="E1209" i="1"/>
  <c r="A1210" i="1"/>
  <c r="B1210" i="1"/>
  <c r="C1210" i="1"/>
  <c r="D1210" i="1"/>
  <c r="E1210" i="1"/>
  <c r="A1211" i="1"/>
  <c r="B1211" i="1"/>
  <c r="C1211" i="1"/>
  <c r="D1211" i="1"/>
  <c r="E1211" i="1"/>
  <c r="A1212" i="1"/>
  <c r="B1212" i="1"/>
  <c r="C1212" i="1"/>
  <c r="D1212" i="1"/>
  <c r="E1212" i="1"/>
  <c r="A1213" i="1"/>
  <c r="B1213" i="1"/>
  <c r="C1213" i="1"/>
  <c r="D1213" i="1"/>
  <c r="E1213" i="1"/>
  <c r="A1214" i="1"/>
  <c r="B1214" i="1"/>
  <c r="C1214" i="1"/>
  <c r="D1214" i="1"/>
  <c r="E1214" i="1"/>
  <c r="A1215" i="1"/>
  <c r="B1215" i="1"/>
  <c r="C1215" i="1"/>
  <c r="D1215" i="1"/>
  <c r="E1215" i="1"/>
  <c r="A1216" i="1"/>
  <c r="B1216" i="1"/>
  <c r="C1216" i="1"/>
  <c r="D1216" i="1"/>
  <c r="E1216" i="1"/>
  <c r="A1217" i="1"/>
  <c r="B1217" i="1"/>
  <c r="C1217" i="1"/>
  <c r="D1217" i="1"/>
  <c r="E1217" i="1"/>
  <c r="A1218" i="1"/>
  <c r="B1218" i="1"/>
  <c r="C1218" i="1"/>
  <c r="D1218" i="1"/>
  <c r="E1218" i="1"/>
  <c r="A1219" i="1"/>
  <c r="B1219" i="1"/>
  <c r="C1219" i="1"/>
  <c r="D1219" i="1"/>
  <c r="E1219" i="1"/>
  <c r="A1220" i="1"/>
  <c r="B1220" i="1"/>
  <c r="C1220" i="1"/>
  <c r="D1220" i="1"/>
  <c r="E1220" i="1"/>
  <c r="A1221" i="1"/>
  <c r="B1221" i="1"/>
  <c r="C1221" i="1"/>
  <c r="D1221" i="1"/>
  <c r="E1221" i="1"/>
  <c r="A1222" i="1"/>
  <c r="B1222" i="1"/>
  <c r="C1222" i="1"/>
  <c r="D1222" i="1"/>
  <c r="E1222" i="1"/>
  <c r="A1223" i="1"/>
  <c r="B1223" i="1"/>
  <c r="C1223" i="1"/>
  <c r="D1223" i="1"/>
  <c r="E1223" i="1"/>
  <c r="A1224" i="1"/>
  <c r="B1224" i="1"/>
  <c r="C1224" i="1"/>
  <c r="D1224" i="1"/>
  <c r="E1224" i="1"/>
  <c r="A1225" i="1"/>
  <c r="B1225" i="1"/>
  <c r="C1225" i="1"/>
  <c r="D1225" i="1"/>
  <c r="E1225" i="1"/>
  <c r="A1226" i="1"/>
  <c r="B1226" i="1"/>
  <c r="C1226" i="1"/>
  <c r="D1226" i="1"/>
  <c r="E1226" i="1"/>
  <c r="A1227" i="1"/>
  <c r="B1227" i="1"/>
  <c r="C1227" i="1"/>
  <c r="D1227" i="1"/>
  <c r="E1227" i="1"/>
  <c r="A1228" i="1"/>
  <c r="B1228" i="1"/>
  <c r="C1228" i="1"/>
  <c r="D1228" i="1"/>
  <c r="E1228" i="1"/>
  <c r="A1229" i="1"/>
  <c r="B1229" i="1"/>
  <c r="C1229" i="1"/>
  <c r="D1229" i="1"/>
  <c r="E1229" i="1"/>
  <c r="A1230" i="1"/>
  <c r="B1230" i="1"/>
  <c r="C1230" i="1"/>
  <c r="D1230" i="1"/>
  <c r="E1230" i="1"/>
  <c r="A1231" i="1"/>
  <c r="B1231" i="1"/>
  <c r="C1231" i="1"/>
  <c r="D1231" i="1"/>
  <c r="E1231" i="1"/>
  <c r="A1232" i="1"/>
  <c r="B1232" i="1"/>
  <c r="C1232" i="1"/>
  <c r="D1232" i="1"/>
  <c r="E1232" i="1"/>
  <c r="A1233" i="1"/>
  <c r="B1233" i="1"/>
  <c r="C1233" i="1"/>
  <c r="D1233" i="1"/>
  <c r="E1233" i="1"/>
  <c r="A1234" i="1"/>
  <c r="B1234" i="1"/>
  <c r="C1234" i="1"/>
  <c r="D1234" i="1"/>
  <c r="E1234" i="1"/>
  <c r="A1235" i="1"/>
  <c r="B1235" i="1"/>
  <c r="C1235" i="1"/>
  <c r="D1235" i="1"/>
  <c r="E1235" i="1"/>
  <c r="A1236" i="1"/>
  <c r="B1236" i="1"/>
  <c r="C1236" i="1"/>
  <c r="D1236" i="1"/>
  <c r="E1236" i="1"/>
  <c r="A1237" i="1"/>
  <c r="B1237" i="1"/>
  <c r="C1237" i="1"/>
  <c r="D1237" i="1"/>
  <c r="E1237" i="1"/>
  <c r="A1238" i="1"/>
  <c r="B1238" i="1"/>
  <c r="C1238" i="1"/>
  <c r="D1238" i="1"/>
  <c r="E1238" i="1"/>
  <c r="A1239" i="1"/>
  <c r="B1239" i="1"/>
  <c r="C1239" i="1"/>
  <c r="D1239" i="1"/>
  <c r="E1239" i="1"/>
  <c r="A1240" i="1"/>
  <c r="B1240" i="1"/>
  <c r="C1240" i="1"/>
  <c r="D1240" i="1"/>
  <c r="E1240" i="1"/>
  <c r="A1241" i="1"/>
  <c r="B1241" i="1"/>
  <c r="C1241" i="1"/>
  <c r="D1241" i="1"/>
  <c r="E1241" i="1"/>
  <c r="A1242" i="1"/>
  <c r="B1242" i="1"/>
  <c r="C1242" i="1"/>
  <c r="D1242" i="1"/>
  <c r="E1242" i="1"/>
  <c r="A1243" i="1"/>
  <c r="B1243" i="1"/>
  <c r="C1243" i="1"/>
  <c r="D1243" i="1"/>
  <c r="E1243" i="1"/>
  <c r="A1244" i="1"/>
  <c r="B1244" i="1"/>
  <c r="C1244" i="1"/>
  <c r="D1244" i="1"/>
  <c r="E1244" i="1"/>
  <c r="A1245" i="1"/>
  <c r="B1245" i="1"/>
  <c r="C1245" i="1"/>
  <c r="D1245" i="1"/>
  <c r="E1245" i="1"/>
  <c r="A1246" i="1"/>
  <c r="B1246" i="1"/>
  <c r="C1246" i="1"/>
  <c r="D1246" i="1"/>
  <c r="E1246" i="1"/>
  <c r="A1247" i="1"/>
  <c r="B1247" i="1"/>
  <c r="C1247" i="1"/>
  <c r="D1247" i="1"/>
  <c r="E1247" i="1"/>
  <c r="A1248" i="1"/>
  <c r="B1248" i="1"/>
  <c r="C1248" i="1"/>
  <c r="D1248" i="1"/>
  <c r="E1248" i="1"/>
  <c r="A1249" i="1"/>
  <c r="B1249" i="1"/>
  <c r="C1249" i="1"/>
  <c r="D1249" i="1"/>
  <c r="E1249" i="1"/>
  <c r="A1250" i="1"/>
  <c r="B1250" i="1"/>
  <c r="C1250" i="1"/>
  <c r="D1250" i="1"/>
  <c r="E1250" i="1"/>
  <c r="A1251" i="1"/>
  <c r="B1251" i="1"/>
  <c r="C1251" i="1"/>
  <c r="D1251" i="1"/>
  <c r="E1251" i="1"/>
  <c r="A1252" i="1"/>
  <c r="B1252" i="1"/>
  <c r="C1252" i="1"/>
  <c r="D1252" i="1"/>
  <c r="E1252" i="1"/>
  <c r="A1253" i="1"/>
  <c r="B1253" i="1"/>
  <c r="C1253" i="1"/>
  <c r="D1253" i="1"/>
  <c r="E1253" i="1"/>
  <c r="A1254" i="1"/>
  <c r="B1254" i="1"/>
  <c r="C1254" i="1"/>
  <c r="D1254" i="1"/>
  <c r="E1254" i="1"/>
  <c r="A1255" i="1"/>
  <c r="B1255" i="1"/>
  <c r="C1255" i="1"/>
  <c r="D1255" i="1"/>
  <c r="E1255" i="1"/>
  <c r="A1256" i="1"/>
  <c r="B1256" i="1"/>
  <c r="C1256" i="1"/>
  <c r="D1256" i="1"/>
  <c r="E1256" i="1"/>
  <c r="A1257" i="1"/>
  <c r="B1257" i="1"/>
  <c r="C1257" i="1"/>
  <c r="D1257" i="1"/>
  <c r="E1257" i="1"/>
  <c r="A1258" i="1"/>
  <c r="B1258" i="1"/>
  <c r="C1258" i="1"/>
  <c r="D1258" i="1"/>
  <c r="E1258" i="1"/>
  <c r="A1259" i="1"/>
  <c r="B1259" i="1"/>
  <c r="C1259" i="1"/>
  <c r="D1259" i="1"/>
  <c r="E1259" i="1"/>
  <c r="A1260" i="1"/>
  <c r="B1260" i="1"/>
  <c r="C1260" i="1"/>
  <c r="D1260" i="1"/>
  <c r="E1260" i="1"/>
  <c r="A1261" i="1"/>
  <c r="B1261" i="1"/>
  <c r="C1261" i="1"/>
  <c r="D1261" i="1"/>
  <c r="E1261" i="1"/>
  <c r="A1262" i="1"/>
  <c r="B1262" i="1"/>
  <c r="C1262" i="1"/>
  <c r="D1262" i="1"/>
  <c r="E1262" i="1"/>
  <c r="A1263" i="1"/>
  <c r="B1263" i="1"/>
  <c r="C1263" i="1"/>
  <c r="D1263" i="1"/>
  <c r="E1263" i="1"/>
  <c r="A1264" i="1"/>
  <c r="B1264" i="1"/>
  <c r="C1264" i="1"/>
  <c r="D1264" i="1"/>
  <c r="E1264" i="1"/>
  <c r="A1265" i="1"/>
  <c r="B1265" i="1"/>
  <c r="C1265" i="1"/>
  <c r="D1265" i="1"/>
  <c r="E1265" i="1"/>
  <c r="A1266" i="1"/>
  <c r="B1266" i="1"/>
  <c r="C1266" i="1"/>
  <c r="D1266" i="1"/>
  <c r="E1266" i="1"/>
  <c r="A1267" i="1"/>
  <c r="B1267" i="1"/>
  <c r="C1267" i="1"/>
  <c r="D1267" i="1"/>
  <c r="E1267" i="1"/>
  <c r="A1268" i="1"/>
  <c r="B1268" i="1"/>
  <c r="C1268" i="1"/>
  <c r="D1268" i="1"/>
  <c r="E1268" i="1"/>
  <c r="A1269" i="1"/>
  <c r="B1269" i="1"/>
  <c r="C1269" i="1"/>
  <c r="D1269" i="1"/>
  <c r="E1269" i="1"/>
  <c r="A1270" i="1"/>
  <c r="B1270" i="1"/>
  <c r="C1270" i="1"/>
  <c r="D1270" i="1"/>
  <c r="E1270" i="1"/>
  <c r="A1271" i="1"/>
  <c r="B1271" i="1"/>
  <c r="C1271" i="1"/>
  <c r="D1271" i="1"/>
  <c r="E1271" i="1"/>
  <c r="A1272" i="1"/>
  <c r="B1272" i="1"/>
  <c r="C1272" i="1"/>
  <c r="D1272" i="1"/>
  <c r="E1272" i="1"/>
  <c r="A1273" i="1"/>
  <c r="B1273" i="1"/>
  <c r="C1273" i="1"/>
  <c r="D1273" i="1"/>
  <c r="E1273" i="1"/>
  <c r="A1274" i="1"/>
  <c r="B1274" i="1"/>
  <c r="C1274" i="1"/>
  <c r="D1274" i="1"/>
  <c r="E1274" i="1"/>
  <c r="A1275" i="1"/>
  <c r="B1275" i="1"/>
  <c r="C1275" i="1"/>
  <c r="D1275" i="1"/>
  <c r="E1275" i="1"/>
  <c r="A1276" i="1"/>
  <c r="B1276" i="1"/>
  <c r="C1276" i="1"/>
  <c r="D1276" i="1"/>
  <c r="E1276" i="1"/>
  <c r="A1277" i="1"/>
  <c r="B1277" i="1"/>
  <c r="C1277" i="1"/>
  <c r="D1277" i="1"/>
  <c r="E1277" i="1"/>
  <c r="A1278" i="1"/>
  <c r="B1278" i="1"/>
  <c r="C1278" i="1"/>
  <c r="D1278" i="1"/>
  <c r="E1278" i="1"/>
  <c r="A1279" i="1"/>
  <c r="B1279" i="1"/>
  <c r="C1279" i="1"/>
  <c r="D1279" i="1"/>
  <c r="E1279" i="1"/>
  <c r="A1280" i="1"/>
  <c r="B1280" i="1"/>
  <c r="C1280" i="1"/>
  <c r="D1280" i="1"/>
  <c r="E1280" i="1"/>
  <c r="A1281" i="1"/>
  <c r="B1281" i="1"/>
  <c r="C1281" i="1"/>
  <c r="D1281" i="1"/>
  <c r="E1281" i="1"/>
  <c r="A1282" i="1"/>
  <c r="B1282" i="1"/>
  <c r="C1282" i="1"/>
  <c r="D1282" i="1"/>
  <c r="E1282" i="1"/>
  <c r="A1283" i="1"/>
  <c r="B1283" i="1"/>
  <c r="C1283" i="1"/>
  <c r="D1283" i="1"/>
  <c r="E1283" i="1"/>
  <c r="A1284" i="1"/>
  <c r="B1284" i="1"/>
  <c r="C1284" i="1"/>
  <c r="D1284" i="1"/>
  <c r="E1284" i="1"/>
  <c r="A1285" i="1"/>
  <c r="B1285" i="1"/>
  <c r="C1285" i="1"/>
  <c r="D1285" i="1"/>
  <c r="E1285" i="1"/>
  <c r="A1286" i="1"/>
  <c r="B1286" i="1"/>
  <c r="C1286" i="1"/>
  <c r="D1286" i="1"/>
  <c r="E1286" i="1"/>
  <c r="A1287" i="1"/>
  <c r="B1287" i="1"/>
  <c r="C1287" i="1"/>
  <c r="D1287" i="1"/>
  <c r="E1287" i="1"/>
  <c r="A1288" i="1"/>
  <c r="B1288" i="1"/>
  <c r="C1288" i="1"/>
  <c r="D1288" i="1"/>
  <c r="E1288" i="1"/>
  <c r="A1289" i="1"/>
  <c r="B1289" i="1"/>
  <c r="C1289" i="1"/>
  <c r="D1289" i="1"/>
  <c r="E1289" i="1"/>
  <c r="A3" i="10"/>
  <c r="A4" i="10" s="1"/>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B2" i="10" a="1"/>
  <c r="G27" i="9"/>
  <c r="G28" i="9"/>
  <c r="G26" i="9"/>
  <c r="C29" i="9"/>
  <c r="D29" i="9"/>
  <c r="E29" i="9"/>
  <c r="F29" i="9"/>
  <c r="B29" i="9"/>
  <c r="F28" i="9"/>
  <c r="E28" i="9"/>
  <c r="D28" i="9"/>
  <c r="C28" i="9"/>
  <c r="B28" i="9"/>
  <c r="F27" i="9"/>
  <c r="E27" i="9"/>
  <c r="D27" i="9"/>
  <c r="C27" i="9"/>
  <c r="B27" i="9"/>
  <c r="C2" i="10" a="1"/>
  <c r="PZ24" i="9" a="1"/>
  <c r="PR24" i="9" a="1"/>
  <c r="PJ24" i="9" a="1"/>
  <c r="QD20" i="9"/>
  <c r="QC20" i="9"/>
  <c r="QB20" i="9"/>
  <c r="QA20" i="9"/>
  <c r="PZ20" i="9"/>
  <c r="PV20" i="9"/>
  <c r="PU20" i="9"/>
  <c r="PT20" i="9"/>
  <c r="PS20" i="9"/>
  <c r="PR20" i="9"/>
  <c r="PN20" i="9"/>
  <c r="PM20" i="9"/>
  <c r="PL20" i="9"/>
  <c r="PK20" i="9"/>
  <c r="PJ20" i="9"/>
  <c r="QD19" i="9"/>
  <c r="QD21" i="9" s="1"/>
  <c r="QC19" i="9"/>
  <c r="QC21" i="9" s="1"/>
  <c r="QB19" i="9"/>
  <c r="QB21" i="9" s="1"/>
  <c r="QA19" i="9"/>
  <c r="QA21" i="9" s="1"/>
  <c r="PZ19" i="9"/>
  <c r="PZ21" i="9" s="1"/>
  <c r="PV19" i="9"/>
  <c r="PV21" i="9" s="1"/>
  <c r="PU19" i="9"/>
  <c r="PU21" i="9" s="1"/>
  <c r="PT19" i="9"/>
  <c r="PT21" i="9" s="1"/>
  <c r="PS19" i="9"/>
  <c r="PS21" i="9" s="1"/>
  <c r="PR19" i="9"/>
  <c r="PR21" i="9" s="1"/>
  <c r="PN19" i="9"/>
  <c r="PN21" i="9" s="1"/>
  <c r="PM19" i="9"/>
  <c r="PM21" i="9" s="1"/>
  <c r="PL19" i="9"/>
  <c r="PL21" i="9" s="1"/>
  <c r="PK19" i="9"/>
  <c r="PK21" i="9" s="1"/>
  <c r="PJ19" i="9"/>
  <c r="PJ21" i="9" s="1"/>
  <c r="QE18" i="9"/>
  <c r="PZ22" i="9" s="1"/>
  <c r="QD18" i="9"/>
  <c r="QC18" i="9"/>
  <c r="QB18" i="9"/>
  <c r="QA18" i="9"/>
  <c r="PZ18" i="9"/>
  <c r="PW18" i="9"/>
  <c r="PR22" i="9" s="1"/>
  <c r="PV18" i="9"/>
  <c r="PU18" i="9"/>
  <c r="PT18" i="9"/>
  <c r="PS18" i="9"/>
  <c r="PR18" i="9"/>
  <c r="PO18" i="9"/>
  <c r="PJ22" i="9" s="1"/>
  <c r="PN18" i="9"/>
  <c r="PM18" i="9"/>
  <c r="PL18" i="9"/>
  <c r="PK18" i="9"/>
  <c r="PJ18" i="9"/>
  <c r="PB24" i="9" a="1"/>
  <c r="OT24" i="9" a="1"/>
  <c r="OL24" i="9" a="1"/>
  <c r="OD24" i="9" a="1"/>
  <c r="NV24" i="9" a="1"/>
  <c r="PF20" i="9"/>
  <c r="PE20" i="9"/>
  <c r="PD20" i="9"/>
  <c r="PC20" i="9"/>
  <c r="PB20" i="9"/>
  <c r="OX20" i="9"/>
  <c r="OW20" i="9"/>
  <c r="OV20" i="9"/>
  <c r="OU20" i="9"/>
  <c r="OT20" i="9"/>
  <c r="OP20" i="9"/>
  <c r="OO20" i="9"/>
  <c r="ON20" i="9"/>
  <c r="OM20" i="9"/>
  <c r="OL20" i="9"/>
  <c r="OH20" i="9"/>
  <c r="OG20" i="9"/>
  <c r="OF20" i="9"/>
  <c r="OE20" i="9"/>
  <c r="OD20" i="9"/>
  <c r="NZ20" i="9"/>
  <c r="NY20" i="9"/>
  <c r="NX20" i="9"/>
  <c r="NW20" i="9"/>
  <c r="NV20" i="9"/>
  <c r="PF19" i="9"/>
  <c r="PF21" i="9" s="1"/>
  <c r="PE19" i="9"/>
  <c r="PE21" i="9" s="1"/>
  <c r="PD19" i="9"/>
  <c r="PD21" i="9" s="1"/>
  <c r="PC19" i="9"/>
  <c r="PC21" i="9" s="1"/>
  <c r="PB19" i="9"/>
  <c r="PB21" i="9" s="1"/>
  <c r="OX19" i="9"/>
  <c r="OX21" i="9" s="1"/>
  <c r="OW19" i="9"/>
  <c r="OW21" i="9" s="1"/>
  <c r="OV19" i="9"/>
  <c r="OV21" i="9" s="1"/>
  <c r="OU19" i="9"/>
  <c r="OU21" i="9" s="1"/>
  <c r="OT19" i="9"/>
  <c r="OT21" i="9" s="1"/>
  <c r="OP19" i="9"/>
  <c r="OP21" i="9" s="1"/>
  <c r="OO19" i="9"/>
  <c r="OO21" i="9" s="1"/>
  <c r="ON19" i="9"/>
  <c r="ON21" i="9" s="1"/>
  <c r="OM19" i="9"/>
  <c r="OM21" i="9" s="1"/>
  <c r="OL19" i="9"/>
  <c r="OL21" i="9" s="1"/>
  <c r="OH19" i="9"/>
  <c r="OH21" i="9" s="1"/>
  <c r="OG19" i="9"/>
  <c r="OG21" i="9" s="1"/>
  <c r="OF19" i="9"/>
  <c r="OF21" i="9" s="1"/>
  <c r="OE19" i="9"/>
  <c r="OE21" i="9" s="1"/>
  <c r="OD19" i="9"/>
  <c r="OD21" i="9" s="1"/>
  <c r="NZ19" i="9"/>
  <c r="NZ21" i="9" s="1"/>
  <c r="NY19" i="9"/>
  <c r="NY21" i="9" s="1"/>
  <c r="NX19" i="9"/>
  <c r="NX21" i="9" s="1"/>
  <c r="NW19" i="9"/>
  <c r="NW21" i="9" s="1"/>
  <c r="NV19" i="9"/>
  <c r="NV21" i="9" s="1"/>
  <c r="PG18" i="9"/>
  <c r="PB22" i="9" s="1"/>
  <c r="PF18" i="9"/>
  <c r="PE18" i="9"/>
  <c r="PD18" i="9"/>
  <c r="PC18" i="9"/>
  <c r="PB18" i="9"/>
  <c r="OY18" i="9"/>
  <c r="OT22" i="9" s="1"/>
  <c r="OX18" i="9"/>
  <c r="OW18" i="9"/>
  <c r="OV18" i="9"/>
  <c r="OU18" i="9"/>
  <c r="OT18" i="9"/>
  <c r="OQ18" i="9"/>
  <c r="OL22" i="9" s="1"/>
  <c r="OP18" i="9"/>
  <c r="OO18" i="9"/>
  <c r="ON18" i="9"/>
  <c r="OM18" i="9"/>
  <c r="OL18" i="9"/>
  <c r="OI18" i="9"/>
  <c r="OD22" i="9" s="1"/>
  <c r="OH18" i="9"/>
  <c r="OG18" i="9"/>
  <c r="OF18" i="9"/>
  <c r="OE18" i="9"/>
  <c r="OD18" i="9"/>
  <c r="OA18" i="9"/>
  <c r="NV22" i="9" s="1"/>
  <c r="NZ18" i="9"/>
  <c r="NY18" i="9"/>
  <c r="NX18" i="9"/>
  <c r="NW18" i="9"/>
  <c r="NV18" i="9"/>
  <c r="NN24" i="9" a="1"/>
  <c r="NF24" i="9" a="1"/>
  <c r="MX24" i="9" a="1"/>
  <c r="MP24" i="9" a="1"/>
  <c r="MH24" i="9" a="1"/>
  <c r="LZ24" i="9" a="1"/>
  <c r="NR20" i="9"/>
  <c r="NQ20" i="9"/>
  <c r="NP20" i="9"/>
  <c r="NO20" i="9"/>
  <c r="NN20" i="9"/>
  <c r="NJ20" i="9"/>
  <c r="NI20" i="9"/>
  <c r="NH20" i="9"/>
  <c r="NG20" i="9"/>
  <c r="NF20" i="9"/>
  <c r="NB20" i="9"/>
  <c r="NA20" i="9"/>
  <c r="MZ20" i="9"/>
  <c r="MY20" i="9"/>
  <c r="MX20" i="9"/>
  <c r="MT20" i="9"/>
  <c r="MS20" i="9"/>
  <c r="MR20" i="9"/>
  <c r="MQ20" i="9"/>
  <c r="MP20" i="9"/>
  <c r="ML20" i="9"/>
  <c r="MK20" i="9"/>
  <c r="MJ20" i="9"/>
  <c r="MI20" i="9"/>
  <c r="MH20" i="9"/>
  <c r="MD20" i="9"/>
  <c r="MC20" i="9"/>
  <c r="MB20" i="9"/>
  <c r="MA20" i="9"/>
  <c r="LZ20" i="9"/>
  <c r="NR19" i="9"/>
  <c r="NR21" i="9" s="1"/>
  <c r="NQ19" i="9"/>
  <c r="NQ21" i="9" s="1"/>
  <c r="NP19" i="9"/>
  <c r="NP21" i="9" s="1"/>
  <c r="NO19" i="9"/>
  <c r="NO21" i="9" s="1"/>
  <c r="NN19" i="9"/>
  <c r="NN21" i="9" s="1"/>
  <c r="NJ19" i="9"/>
  <c r="NJ21" i="9" s="1"/>
  <c r="NI19" i="9"/>
  <c r="NI21" i="9" s="1"/>
  <c r="NH19" i="9"/>
  <c r="NH21" i="9" s="1"/>
  <c r="NG19" i="9"/>
  <c r="NG21" i="9" s="1"/>
  <c r="NF19" i="9"/>
  <c r="NF21" i="9" s="1"/>
  <c r="NB19" i="9"/>
  <c r="NB21" i="9" s="1"/>
  <c r="NA19" i="9"/>
  <c r="NA21" i="9" s="1"/>
  <c r="MZ19" i="9"/>
  <c r="MZ21" i="9" s="1"/>
  <c r="MY19" i="9"/>
  <c r="MY21" i="9" s="1"/>
  <c r="MX19" i="9"/>
  <c r="MX21" i="9" s="1"/>
  <c r="MT19" i="9"/>
  <c r="MT21" i="9" s="1"/>
  <c r="MS19" i="9"/>
  <c r="MS21" i="9" s="1"/>
  <c r="MR19" i="9"/>
  <c r="MR21" i="9" s="1"/>
  <c r="MQ19" i="9"/>
  <c r="MQ21" i="9" s="1"/>
  <c r="MP19" i="9"/>
  <c r="MP21" i="9" s="1"/>
  <c r="ML19" i="9"/>
  <c r="ML21" i="9" s="1"/>
  <c r="MK19" i="9"/>
  <c r="MK21" i="9" s="1"/>
  <c r="MJ19" i="9"/>
  <c r="MJ21" i="9" s="1"/>
  <c r="MI19" i="9"/>
  <c r="MI21" i="9" s="1"/>
  <c r="MH19" i="9"/>
  <c r="MH21" i="9" s="1"/>
  <c r="MD19" i="9"/>
  <c r="MD21" i="9" s="1"/>
  <c r="MC19" i="9"/>
  <c r="MC21" i="9" s="1"/>
  <c r="MB19" i="9"/>
  <c r="MB21" i="9" s="1"/>
  <c r="MA19" i="9"/>
  <c r="MA21" i="9" s="1"/>
  <c r="LZ19" i="9"/>
  <c r="LZ21" i="9" s="1"/>
  <c r="NS18" i="9"/>
  <c r="NR18" i="9"/>
  <c r="NQ18" i="9"/>
  <c r="NP18" i="9"/>
  <c r="NO18" i="9"/>
  <c r="NN18" i="9"/>
  <c r="NK18" i="9"/>
  <c r="NJ18" i="9"/>
  <c r="NI18" i="9"/>
  <c r="NH18" i="9"/>
  <c r="NG18" i="9"/>
  <c r="NF18" i="9"/>
  <c r="NC18" i="9"/>
  <c r="NB18" i="9"/>
  <c r="NA18" i="9"/>
  <c r="MZ18" i="9"/>
  <c r="MY18" i="9"/>
  <c r="MX18" i="9"/>
  <c r="MU18" i="9"/>
  <c r="MT18" i="9"/>
  <c r="MS18" i="9"/>
  <c r="MR18" i="9"/>
  <c r="MQ18" i="9"/>
  <c r="MP18" i="9"/>
  <c r="MM18" i="9"/>
  <c r="ML18" i="9"/>
  <c r="MK18" i="9"/>
  <c r="MJ18" i="9"/>
  <c r="MI18" i="9"/>
  <c r="MH18" i="9"/>
  <c r="ME18" i="9"/>
  <c r="MD18" i="9"/>
  <c r="MC18" i="9"/>
  <c r="MB18" i="9"/>
  <c r="MA18" i="9"/>
  <c r="LZ18" i="9"/>
  <c r="LR24" i="9" a="1"/>
  <c r="LJ24" i="9" a="1"/>
  <c r="LB24" i="9" a="1"/>
  <c r="KT24" i="9" a="1"/>
  <c r="KL24" i="9" a="1"/>
  <c r="KD24" i="9" a="1"/>
  <c r="LV20" i="9"/>
  <c r="LU20" i="9"/>
  <c r="LT20" i="9"/>
  <c r="LS20" i="9"/>
  <c r="LR20" i="9"/>
  <c r="LN20" i="9"/>
  <c r="LM20" i="9"/>
  <c r="LL20" i="9"/>
  <c r="LK20" i="9"/>
  <c r="LJ20" i="9"/>
  <c r="LF20" i="9"/>
  <c r="LE20" i="9"/>
  <c r="LD20" i="9"/>
  <c r="LC20" i="9"/>
  <c r="LB20" i="9"/>
  <c r="KX20" i="9"/>
  <c r="KW20" i="9"/>
  <c r="KV20" i="9"/>
  <c r="KU20" i="9"/>
  <c r="KT20" i="9"/>
  <c r="KP20" i="9"/>
  <c r="KO20" i="9"/>
  <c r="KN20" i="9"/>
  <c r="KM20" i="9"/>
  <c r="KL20" i="9"/>
  <c r="KH20" i="9"/>
  <c r="KG20" i="9"/>
  <c r="KF20" i="9"/>
  <c r="KE20" i="9"/>
  <c r="KD20" i="9"/>
  <c r="LV19" i="9"/>
  <c r="LV21" i="9" s="1"/>
  <c r="LU19" i="9"/>
  <c r="LU21" i="9" s="1"/>
  <c r="LT19" i="9"/>
  <c r="LT21" i="9" s="1"/>
  <c r="LS19" i="9"/>
  <c r="LS21" i="9" s="1"/>
  <c r="LR19" i="9"/>
  <c r="LR21" i="9" s="1"/>
  <c r="LN19" i="9"/>
  <c r="LN21" i="9" s="1"/>
  <c r="LM19" i="9"/>
  <c r="LM21" i="9" s="1"/>
  <c r="LL19" i="9"/>
  <c r="LL21" i="9" s="1"/>
  <c r="LK19" i="9"/>
  <c r="LK21" i="9" s="1"/>
  <c r="LJ19" i="9"/>
  <c r="LJ21" i="9" s="1"/>
  <c r="LF19" i="9"/>
  <c r="LF21" i="9" s="1"/>
  <c r="LE19" i="9"/>
  <c r="LE21" i="9" s="1"/>
  <c r="LD19" i="9"/>
  <c r="LD21" i="9" s="1"/>
  <c r="LC19" i="9"/>
  <c r="LC21" i="9" s="1"/>
  <c r="LB19" i="9"/>
  <c r="LB21" i="9" s="1"/>
  <c r="KX19" i="9"/>
  <c r="KX21" i="9" s="1"/>
  <c r="KW19" i="9"/>
  <c r="KW21" i="9" s="1"/>
  <c r="KV19" i="9"/>
  <c r="KV21" i="9" s="1"/>
  <c r="KU19" i="9"/>
  <c r="KU21" i="9" s="1"/>
  <c r="KT19" i="9"/>
  <c r="KT21" i="9" s="1"/>
  <c r="KP19" i="9"/>
  <c r="KP21" i="9" s="1"/>
  <c r="KO19" i="9"/>
  <c r="KO21" i="9" s="1"/>
  <c r="KN19" i="9"/>
  <c r="KN21" i="9" s="1"/>
  <c r="KM19" i="9"/>
  <c r="KM21" i="9" s="1"/>
  <c r="KL19" i="9"/>
  <c r="KL21" i="9" s="1"/>
  <c r="KH19" i="9"/>
  <c r="KH21" i="9" s="1"/>
  <c r="KG19" i="9"/>
  <c r="KG21" i="9" s="1"/>
  <c r="KF19" i="9"/>
  <c r="KF21" i="9" s="1"/>
  <c r="KE19" i="9"/>
  <c r="KE21" i="9" s="1"/>
  <c r="KD19" i="9"/>
  <c r="KD21" i="9" s="1"/>
  <c r="LW18" i="9"/>
  <c r="LV18" i="9"/>
  <c r="LU18" i="9"/>
  <c r="LT18" i="9"/>
  <c r="LS18" i="9"/>
  <c r="LR18" i="9"/>
  <c r="LO18" i="9"/>
  <c r="LN18" i="9"/>
  <c r="LM18" i="9"/>
  <c r="LL18" i="9"/>
  <c r="LK18" i="9"/>
  <c r="LJ18" i="9"/>
  <c r="LG18" i="9"/>
  <c r="LF18" i="9"/>
  <c r="LE18" i="9"/>
  <c r="LD18" i="9"/>
  <c r="LC18" i="9"/>
  <c r="LB18" i="9"/>
  <c r="KY18" i="9"/>
  <c r="KX18" i="9"/>
  <c r="KW18" i="9"/>
  <c r="KV18" i="9"/>
  <c r="KU18" i="9"/>
  <c r="KT18" i="9"/>
  <c r="KQ18" i="9"/>
  <c r="KP18" i="9"/>
  <c r="KO18" i="9"/>
  <c r="KN18" i="9"/>
  <c r="KM18" i="9"/>
  <c r="KL18" i="9"/>
  <c r="KI18" i="9"/>
  <c r="KH18" i="9"/>
  <c r="KG18" i="9"/>
  <c r="KF18" i="9"/>
  <c r="KE18" i="9"/>
  <c r="KD18" i="9"/>
  <c r="JV24" i="9" a="1"/>
  <c r="JN24" i="9" a="1"/>
  <c r="JF24" i="9" a="1"/>
  <c r="IX24" i="9" a="1"/>
  <c r="IP24" i="9" a="1"/>
  <c r="IH24" i="9" a="1"/>
  <c r="JZ20" i="9"/>
  <c r="JY20" i="9"/>
  <c r="JX20" i="9"/>
  <c r="JW20" i="9"/>
  <c r="JV20" i="9"/>
  <c r="JR20" i="9"/>
  <c r="JQ20" i="9"/>
  <c r="JP20" i="9"/>
  <c r="JO20" i="9"/>
  <c r="JN20" i="9"/>
  <c r="JJ20" i="9"/>
  <c r="JI20" i="9"/>
  <c r="JH20" i="9"/>
  <c r="JG20" i="9"/>
  <c r="JF20" i="9"/>
  <c r="JB20" i="9"/>
  <c r="JA20" i="9"/>
  <c r="IZ20" i="9"/>
  <c r="IY20" i="9"/>
  <c r="IX20" i="9"/>
  <c r="IT20" i="9"/>
  <c r="IS20" i="9"/>
  <c r="IR20" i="9"/>
  <c r="IQ20" i="9"/>
  <c r="IP20" i="9"/>
  <c r="IL20" i="9"/>
  <c r="IK20" i="9"/>
  <c r="IJ20" i="9"/>
  <c r="II20" i="9"/>
  <c r="IH20" i="9"/>
  <c r="JZ19" i="9"/>
  <c r="JZ21" i="9" s="1"/>
  <c r="JY19" i="9"/>
  <c r="JY21" i="9" s="1"/>
  <c r="JX19" i="9"/>
  <c r="JX21" i="9" s="1"/>
  <c r="JW19" i="9"/>
  <c r="JW21" i="9" s="1"/>
  <c r="JV19" i="9"/>
  <c r="JV21" i="9" s="1"/>
  <c r="JR19" i="9"/>
  <c r="JR21" i="9" s="1"/>
  <c r="JQ19" i="9"/>
  <c r="JQ21" i="9" s="1"/>
  <c r="JP19" i="9"/>
  <c r="JP21" i="9" s="1"/>
  <c r="JO19" i="9"/>
  <c r="JO21" i="9" s="1"/>
  <c r="JN19" i="9"/>
  <c r="JN21" i="9" s="1"/>
  <c r="JJ19" i="9"/>
  <c r="JJ21" i="9" s="1"/>
  <c r="JI19" i="9"/>
  <c r="JI21" i="9" s="1"/>
  <c r="JH19" i="9"/>
  <c r="JH21" i="9" s="1"/>
  <c r="JG19" i="9"/>
  <c r="JG21" i="9" s="1"/>
  <c r="JF19" i="9"/>
  <c r="JF21" i="9" s="1"/>
  <c r="JB19" i="9"/>
  <c r="JB21" i="9" s="1"/>
  <c r="JA19" i="9"/>
  <c r="JA21" i="9" s="1"/>
  <c r="IZ19" i="9"/>
  <c r="IZ21" i="9" s="1"/>
  <c r="IY19" i="9"/>
  <c r="IY21" i="9" s="1"/>
  <c r="IX19" i="9"/>
  <c r="IX21" i="9" s="1"/>
  <c r="IT19" i="9"/>
  <c r="IT21" i="9" s="1"/>
  <c r="IS19" i="9"/>
  <c r="IS21" i="9" s="1"/>
  <c r="IR19" i="9"/>
  <c r="IR21" i="9" s="1"/>
  <c r="IQ19" i="9"/>
  <c r="IQ21" i="9" s="1"/>
  <c r="IP19" i="9"/>
  <c r="IP21" i="9" s="1"/>
  <c r="IL19" i="9"/>
  <c r="IL21" i="9" s="1"/>
  <c r="IK19" i="9"/>
  <c r="IK21" i="9" s="1"/>
  <c r="IJ19" i="9"/>
  <c r="IJ21" i="9" s="1"/>
  <c r="II19" i="9"/>
  <c r="II21" i="9" s="1"/>
  <c r="IH19" i="9"/>
  <c r="IH21" i="9" s="1"/>
  <c r="KA18" i="9"/>
  <c r="JZ18" i="9"/>
  <c r="JY18" i="9"/>
  <c r="JX18" i="9"/>
  <c r="JW18" i="9"/>
  <c r="JV18" i="9"/>
  <c r="JS18" i="9"/>
  <c r="JR18" i="9"/>
  <c r="JQ18" i="9"/>
  <c r="JP18" i="9"/>
  <c r="JO18" i="9"/>
  <c r="JN18" i="9"/>
  <c r="JK18" i="9"/>
  <c r="JJ18" i="9"/>
  <c r="JI18" i="9"/>
  <c r="JH18" i="9"/>
  <c r="JG18" i="9"/>
  <c r="JF18" i="9"/>
  <c r="JC18" i="9"/>
  <c r="JB18" i="9"/>
  <c r="JA18" i="9"/>
  <c r="IZ18" i="9"/>
  <c r="IY18" i="9"/>
  <c r="IX18" i="9"/>
  <c r="IU18" i="9"/>
  <c r="IT18" i="9"/>
  <c r="IS18" i="9"/>
  <c r="IR18" i="9"/>
  <c r="IQ18" i="9"/>
  <c r="IP18" i="9"/>
  <c r="IM18" i="9"/>
  <c r="IL18" i="9"/>
  <c r="IK18" i="9"/>
  <c r="IJ18" i="9"/>
  <c r="II18" i="9"/>
  <c r="IH18" i="9"/>
  <c r="HZ24" i="9" a="1"/>
  <c r="HR24" i="9" a="1"/>
  <c r="HJ24" i="9" a="1"/>
  <c r="HB24" i="9" a="1"/>
  <c r="GT24" i="9" a="1"/>
  <c r="GL24" i="9" a="1"/>
  <c r="ID20" i="9"/>
  <c r="IC20" i="9"/>
  <c r="IB20" i="9"/>
  <c r="IA20" i="9"/>
  <c r="HZ20" i="9"/>
  <c r="HV20" i="9"/>
  <c r="HU20" i="9"/>
  <c r="HT20" i="9"/>
  <c r="HS20" i="9"/>
  <c r="HR20" i="9"/>
  <c r="HN20" i="9"/>
  <c r="HM20" i="9"/>
  <c r="HL20" i="9"/>
  <c r="HK20" i="9"/>
  <c r="HJ20" i="9"/>
  <c r="HF20" i="9"/>
  <c r="HE20" i="9"/>
  <c r="HD20" i="9"/>
  <c r="HC20" i="9"/>
  <c r="HB20" i="9"/>
  <c r="GX20" i="9"/>
  <c r="GW20" i="9"/>
  <c r="GV20" i="9"/>
  <c r="GU20" i="9"/>
  <c r="GT20" i="9"/>
  <c r="GP20" i="9"/>
  <c r="GO20" i="9"/>
  <c r="GN20" i="9"/>
  <c r="GM20" i="9"/>
  <c r="GL20" i="9"/>
  <c r="ID19" i="9"/>
  <c r="ID21" i="9" s="1"/>
  <c r="IC19" i="9"/>
  <c r="IC21" i="9" s="1"/>
  <c r="IB19" i="9"/>
  <c r="IB21" i="9" s="1"/>
  <c r="IA19" i="9"/>
  <c r="IA21" i="9" s="1"/>
  <c r="HZ19" i="9"/>
  <c r="HZ21" i="9" s="1"/>
  <c r="HV19" i="9"/>
  <c r="HV21" i="9" s="1"/>
  <c r="HU19" i="9"/>
  <c r="HU21" i="9" s="1"/>
  <c r="HT19" i="9"/>
  <c r="HT21" i="9" s="1"/>
  <c r="HS19" i="9"/>
  <c r="HS21" i="9" s="1"/>
  <c r="HR19" i="9"/>
  <c r="HR21" i="9" s="1"/>
  <c r="HN19" i="9"/>
  <c r="HN21" i="9" s="1"/>
  <c r="HM19" i="9"/>
  <c r="HM21" i="9" s="1"/>
  <c r="HL19" i="9"/>
  <c r="HL21" i="9" s="1"/>
  <c r="HK19" i="9"/>
  <c r="HK21" i="9" s="1"/>
  <c r="HJ19" i="9"/>
  <c r="HJ21" i="9" s="1"/>
  <c r="HF19" i="9"/>
  <c r="HF21" i="9" s="1"/>
  <c r="HE19" i="9"/>
  <c r="HE21" i="9" s="1"/>
  <c r="HD19" i="9"/>
  <c r="HD21" i="9" s="1"/>
  <c r="HC19" i="9"/>
  <c r="HC21" i="9" s="1"/>
  <c r="HB19" i="9"/>
  <c r="HB21" i="9" s="1"/>
  <c r="GX19" i="9"/>
  <c r="GX21" i="9" s="1"/>
  <c r="GW19" i="9"/>
  <c r="GW21" i="9" s="1"/>
  <c r="GV19" i="9"/>
  <c r="GV21" i="9" s="1"/>
  <c r="GU19" i="9"/>
  <c r="GU21" i="9" s="1"/>
  <c r="GT19" i="9"/>
  <c r="GT21" i="9" s="1"/>
  <c r="GP19" i="9"/>
  <c r="GP21" i="9" s="1"/>
  <c r="GO19" i="9"/>
  <c r="GO21" i="9" s="1"/>
  <c r="GN19" i="9"/>
  <c r="GN21" i="9" s="1"/>
  <c r="GM19" i="9"/>
  <c r="GM21" i="9" s="1"/>
  <c r="GL19" i="9"/>
  <c r="GL21" i="9" s="1"/>
  <c r="IE18" i="9"/>
  <c r="ID18" i="9"/>
  <c r="IC18" i="9"/>
  <c r="IB18" i="9"/>
  <c r="IA18" i="9"/>
  <c r="HZ18" i="9"/>
  <c r="HW18" i="9"/>
  <c r="HV18" i="9"/>
  <c r="HU18" i="9"/>
  <c r="HT18" i="9"/>
  <c r="HS18" i="9"/>
  <c r="HR18" i="9"/>
  <c r="HO18" i="9"/>
  <c r="HN18" i="9"/>
  <c r="HM18" i="9"/>
  <c r="HL18" i="9"/>
  <c r="HK18" i="9"/>
  <c r="HJ18" i="9"/>
  <c r="HG18" i="9"/>
  <c r="HF18" i="9"/>
  <c r="HE18" i="9"/>
  <c r="HD18" i="9"/>
  <c r="HC18" i="9"/>
  <c r="HB18" i="9"/>
  <c r="GY18" i="9"/>
  <c r="GX18" i="9"/>
  <c r="GW18" i="9"/>
  <c r="GV18" i="9"/>
  <c r="GU18" i="9"/>
  <c r="GT18" i="9"/>
  <c r="GQ18" i="9"/>
  <c r="GP18" i="9"/>
  <c r="GO18" i="9"/>
  <c r="GN18" i="9"/>
  <c r="GM18" i="9"/>
  <c r="GL18" i="9"/>
  <c r="GD24" i="9" a="1"/>
  <c r="FV24" i="9" a="1"/>
  <c r="FN24" i="9" a="1"/>
  <c r="FF24" i="9" a="1"/>
  <c r="EX24" i="9" a="1"/>
  <c r="EP24" i="9" a="1"/>
  <c r="GH20" i="9"/>
  <c r="GG20" i="9"/>
  <c r="GF20" i="9"/>
  <c r="GE20" i="9"/>
  <c r="GD20" i="9"/>
  <c r="FZ20" i="9"/>
  <c r="FY20" i="9"/>
  <c r="FX20" i="9"/>
  <c r="FW20" i="9"/>
  <c r="FV20" i="9"/>
  <c r="FR20" i="9"/>
  <c r="FQ20" i="9"/>
  <c r="FP20" i="9"/>
  <c r="FO20" i="9"/>
  <c r="FN20" i="9"/>
  <c r="FJ20" i="9"/>
  <c r="FI20" i="9"/>
  <c r="FH20" i="9"/>
  <c r="FG20" i="9"/>
  <c r="FF20" i="9"/>
  <c r="FB20" i="9"/>
  <c r="FA20" i="9"/>
  <c r="EZ20" i="9"/>
  <c r="EY20" i="9"/>
  <c r="EX20" i="9"/>
  <c r="ET20" i="9"/>
  <c r="ES20" i="9"/>
  <c r="ER20" i="9"/>
  <c r="EQ20" i="9"/>
  <c r="EP20" i="9"/>
  <c r="GH19" i="9"/>
  <c r="GH21" i="9" s="1"/>
  <c r="GG19" i="9"/>
  <c r="GG21" i="9" s="1"/>
  <c r="GF19" i="9"/>
  <c r="GF21" i="9" s="1"/>
  <c r="GE19" i="9"/>
  <c r="GE21" i="9" s="1"/>
  <c r="GD19" i="9"/>
  <c r="GD21" i="9" s="1"/>
  <c r="FZ19" i="9"/>
  <c r="FZ21" i="9" s="1"/>
  <c r="FY19" i="9"/>
  <c r="FY21" i="9" s="1"/>
  <c r="FX19" i="9"/>
  <c r="FX21" i="9" s="1"/>
  <c r="FW19" i="9"/>
  <c r="FW21" i="9" s="1"/>
  <c r="FV19" i="9"/>
  <c r="FV21" i="9" s="1"/>
  <c r="FR19" i="9"/>
  <c r="FR21" i="9" s="1"/>
  <c r="FQ19" i="9"/>
  <c r="FQ21" i="9" s="1"/>
  <c r="FP19" i="9"/>
  <c r="FP21" i="9" s="1"/>
  <c r="FO19" i="9"/>
  <c r="FO21" i="9" s="1"/>
  <c r="FN19" i="9"/>
  <c r="FN21" i="9" s="1"/>
  <c r="FJ19" i="9"/>
  <c r="FJ21" i="9" s="1"/>
  <c r="FI19" i="9"/>
  <c r="FI21" i="9" s="1"/>
  <c r="FH19" i="9"/>
  <c r="FH21" i="9" s="1"/>
  <c r="FG19" i="9"/>
  <c r="FG21" i="9" s="1"/>
  <c r="FF19" i="9"/>
  <c r="FF21" i="9" s="1"/>
  <c r="FB19" i="9"/>
  <c r="FB21" i="9" s="1"/>
  <c r="FA19" i="9"/>
  <c r="FA21" i="9" s="1"/>
  <c r="EZ19" i="9"/>
  <c r="EZ21" i="9" s="1"/>
  <c r="EY19" i="9"/>
  <c r="EY21" i="9" s="1"/>
  <c r="EX19" i="9"/>
  <c r="EX21" i="9" s="1"/>
  <c r="ET19" i="9"/>
  <c r="ET21" i="9" s="1"/>
  <c r="ES19" i="9"/>
  <c r="ES21" i="9" s="1"/>
  <c r="ER19" i="9"/>
  <c r="ER21" i="9" s="1"/>
  <c r="EQ19" i="9"/>
  <c r="EQ21" i="9" s="1"/>
  <c r="EP19" i="9"/>
  <c r="EP21" i="9" s="1"/>
  <c r="GI18" i="9"/>
  <c r="GH18" i="9"/>
  <c r="GG18" i="9"/>
  <c r="GF18" i="9"/>
  <c r="GE18" i="9"/>
  <c r="GD18" i="9"/>
  <c r="GA18" i="9"/>
  <c r="FZ18" i="9"/>
  <c r="FY18" i="9"/>
  <c r="FX18" i="9"/>
  <c r="FW18" i="9"/>
  <c r="FV18" i="9"/>
  <c r="FS18" i="9"/>
  <c r="FR18" i="9"/>
  <c r="FQ18" i="9"/>
  <c r="FP18" i="9"/>
  <c r="FO18" i="9"/>
  <c r="FN18" i="9"/>
  <c r="FK18" i="9"/>
  <c r="FJ18" i="9"/>
  <c r="FI18" i="9"/>
  <c r="FH18" i="9"/>
  <c r="FG18" i="9"/>
  <c r="FF18" i="9"/>
  <c r="FC18" i="9"/>
  <c r="FB18" i="9"/>
  <c r="FA18" i="9"/>
  <c r="EZ18" i="9"/>
  <c r="EY18" i="9"/>
  <c r="EX18" i="9"/>
  <c r="EU18" i="9"/>
  <c r="ET18" i="9"/>
  <c r="ES18" i="9"/>
  <c r="ER18" i="9"/>
  <c r="EQ18" i="9"/>
  <c r="EP18" i="9"/>
  <c r="EH24" i="9" a="1"/>
  <c r="DZ24" i="9" a="1"/>
  <c r="DR24" i="9" a="1"/>
  <c r="DJ24" i="9" a="1"/>
  <c r="DB24" i="9" a="1"/>
  <c r="CT24" i="9" a="1"/>
  <c r="EL20" i="9"/>
  <c r="EK20" i="9"/>
  <c r="EJ20" i="9"/>
  <c r="EI20" i="9"/>
  <c r="EH20" i="9"/>
  <c r="ED20" i="9"/>
  <c r="EC20" i="9"/>
  <c r="EB20" i="9"/>
  <c r="EA20" i="9"/>
  <c r="DZ20" i="9"/>
  <c r="DV20" i="9"/>
  <c r="DU20" i="9"/>
  <c r="DT20" i="9"/>
  <c r="DS20" i="9"/>
  <c r="DR20" i="9"/>
  <c r="DN20" i="9"/>
  <c r="DM20" i="9"/>
  <c r="DL20" i="9"/>
  <c r="DK20" i="9"/>
  <c r="DJ20" i="9"/>
  <c r="DF20" i="9"/>
  <c r="DE20" i="9"/>
  <c r="DD20" i="9"/>
  <c r="DC20" i="9"/>
  <c r="DB20" i="9"/>
  <c r="CX20" i="9"/>
  <c r="CW20" i="9"/>
  <c r="CV20" i="9"/>
  <c r="CU20" i="9"/>
  <c r="CT20" i="9"/>
  <c r="EL19" i="9"/>
  <c r="EL21" i="9" s="1"/>
  <c r="EK19" i="9"/>
  <c r="EK21" i="9" s="1"/>
  <c r="EJ19" i="9"/>
  <c r="EJ21" i="9" s="1"/>
  <c r="EI19" i="9"/>
  <c r="EI21" i="9" s="1"/>
  <c r="EH19" i="9"/>
  <c r="EH21" i="9" s="1"/>
  <c r="ED19" i="9"/>
  <c r="ED21" i="9" s="1"/>
  <c r="EC19" i="9"/>
  <c r="EC21" i="9" s="1"/>
  <c r="EB19" i="9"/>
  <c r="EB21" i="9" s="1"/>
  <c r="EA19" i="9"/>
  <c r="EA21" i="9" s="1"/>
  <c r="DZ19" i="9"/>
  <c r="DZ21" i="9" s="1"/>
  <c r="DV19" i="9"/>
  <c r="DV21" i="9" s="1"/>
  <c r="DU19" i="9"/>
  <c r="DU21" i="9" s="1"/>
  <c r="DT19" i="9"/>
  <c r="DT21" i="9" s="1"/>
  <c r="DS19" i="9"/>
  <c r="DS21" i="9" s="1"/>
  <c r="DR19" i="9"/>
  <c r="DR21" i="9" s="1"/>
  <c r="DN19" i="9"/>
  <c r="DN21" i="9" s="1"/>
  <c r="DM19" i="9"/>
  <c r="DM21" i="9" s="1"/>
  <c r="DL19" i="9"/>
  <c r="DL21" i="9" s="1"/>
  <c r="DK19" i="9"/>
  <c r="DK21" i="9" s="1"/>
  <c r="DJ19" i="9"/>
  <c r="DJ21" i="9" s="1"/>
  <c r="DF19" i="9"/>
  <c r="DF21" i="9" s="1"/>
  <c r="DE19" i="9"/>
  <c r="DE21" i="9" s="1"/>
  <c r="DD19" i="9"/>
  <c r="DD21" i="9" s="1"/>
  <c r="DC19" i="9"/>
  <c r="DC21" i="9" s="1"/>
  <c r="DB19" i="9"/>
  <c r="DB21" i="9" s="1"/>
  <c r="CX19" i="9"/>
  <c r="CX21" i="9" s="1"/>
  <c r="CW19" i="9"/>
  <c r="CW21" i="9" s="1"/>
  <c r="CV19" i="9"/>
  <c r="CV21" i="9" s="1"/>
  <c r="CU19" i="9"/>
  <c r="CU21" i="9" s="1"/>
  <c r="CT19" i="9"/>
  <c r="CT21" i="9" s="1"/>
  <c r="EM18" i="9"/>
  <c r="EL18" i="9"/>
  <c r="EK18" i="9"/>
  <c r="EJ18" i="9"/>
  <c r="EI18" i="9"/>
  <c r="EH18" i="9"/>
  <c r="EE18" i="9"/>
  <c r="ED18" i="9"/>
  <c r="EC18" i="9"/>
  <c r="EB18" i="9"/>
  <c r="EA18" i="9"/>
  <c r="DZ18" i="9"/>
  <c r="DW18" i="9"/>
  <c r="DV18" i="9"/>
  <c r="DU18" i="9"/>
  <c r="DT18" i="9"/>
  <c r="DS18" i="9"/>
  <c r="DR18" i="9"/>
  <c r="DO18" i="9"/>
  <c r="DN18" i="9"/>
  <c r="DM18" i="9"/>
  <c r="DL18" i="9"/>
  <c r="DK18" i="9"/>
  <c r="DJ18" i="9"/>
  <c r="DG18" i="9"/>
  <c r="DF18" i="9"/>
  <c r="DE18" i="9"/>
  <c r="DD18" i="9"/>
  <c r="DC18" i="9"/>
  <c r="DB18" i="9"/>
  <c r="CY18" i="9"/>
  <c r="CX18" i="9"/>
  <c r="CW18" i="9"/>
  <c r="CV18" i="9"/>
  <c r="CU18" i="9"/>
  <c r="CT18" i="9"/>
  <c r="CL24" i="9" a="1"/>
  <c r="CD24" i="9" a="1"/>
  <c r="BV24" i="9" a="1"/>
  <c r="BN24" i="9" a="1"/>
  <c r="BF24" i="9" a="1"/>
  <c r="AX24" i="9" a="1"/>
  <c r="CP20" i="9"/>
  <c r="CO20" i="9"/>
  <c r="CN20" i="9"/>
  <c r="CM20" i="9"/>
  <c r="CL20" i="9"/>
  <c r="CH20" i="9"/>
  <c r="CG20" i="9"/>
  <c r="CF20" i="9"/>
  <c r="CE20" i="9"/>
  <c r="CD20" i="9"/>
  <c r="BZ20" i="9"/>
  <c r="BY20" i="9"/>
  <c r="BX20" i="9"/>
  <c r="BW20" i="9"/>
  <c r="BV20" i="9"/>
  <c r="BR20" i="9"/>
  <c r="BQ20" i="9"/>
  <c r="BP20" i="9"/>
  <c r="BO20" i="9"/>
  <c r="BN20" i="9"/>
  <c r="BJ20" i="9"/>
  <c r="BI20" i="9"/>
  <c r="BH20" i="9"/>
  <c r="BG20" i="9"/>
  <c r="BF20" i="9"/>
  <c r="BB20" i="9"/>
  <c r="BA20" i="9"/>
  <c r="AZ20" i="9"/>
  <c r="AY20" i="9"/>
  <c r="AX20" i="9"/>
  <c r="CP19" i="9"/>
  <c r="CP21" i="9" s="1"/>
  <c r="CO19" i="9"/>
  <c r="CO21" i="9" s="1"/>
  <c r="CN19" i="9"/>
  <c r="CN21" i="9" s="1"/>
  <c r="CM19" i="9"/>
  <c r="CM21" i="9" s="1"/>
  <c r="CL19" i="9"/>
  <c r="CL21" i="9" s="1"/>
  <c r="CH19" i="9"/>
  <c r="CH21" i="9" s="1"/>
  <c r="CG19" i="9"/>
  <c r="CG21" i="9" s="1"/>
  <c r="CF19" i="9"/>
  <c r="CF21" i="9" s="1"/>
  <c r="CE19" i="9"/>
  <c r="CE21" i="9" s="1"/>
  <c r="CD19" i="9"/>
  <c r="CD21" i="9" s="1"/>
  <c r="BZ19" i="9"/>
  <c r="BZ21" i="9" s="1"/>
  <c r="BY19" i="9"/>
  <c r="BY21" i="9" s="1"/>
  <c r="BX19" i="9"/>
  <c r="BX21" i="9" s="1"/>
  <c r="BW19" i="9"/>
  <c r="BW21" i="9" s="1"/>
  <c r="BV19" i="9"/>
  <c r="BV21" i="9" s="1"/>
  <c r="BR19" i="9"/>
  <c r="BR21" i="9" s="1"/>
  <c r="BQ19" i="9"/>
  <c r="BQ21" i="9" s="1"/>
  <c r="BP19" i="9"/>
  <c r="BP21" i="9" s="1"/>
  <c r="BO19" i="9"/>
  <c r="BO21" i="9" s="1"/>
  <c r="BN19" i="9"/>
  <c r="BN21" i="9" s="1"/>
  <c r="BJ19" i="9"/>
  <c r="BJ21" i="9" s="1"/>
  <c r="BI19" i="9"/>
  <c r="BI21" i="9" s="1"/>
  <c r="BH19" i="9"/>
  <c r="BH21" i="9" s="1"/>
  <c r="BG19" i="9"/>
  <c r="BG21" i="9" s="1"/>
  <c r="BF19" i="9"/>
  <c r="BF21" i="9" s="1"/>
  <c r="BB19" i="9"/>
  <c r="BB21" i="9" s="1"/>
  <c r="BA19" i="9"/>
  <c r="BA21" i="9" s="1"/>
  <c r="AZ19" i="9"/>
  <c r="AZ21" i="9" s="1"/>
  <c r="AY19" i="9"/>
  <c r="AY21" i="9" s="1"/>
  <c r="AX19" i="9"/>
  <c r="AX21" i="9" s="1"/>
  <c r="CQ18" i="9"/>
  <c r="CP18" i="9"/>
  <c r="CO18" i="9"/>
  <c r="CN18" i="9"/>
  <c r="CM18" i="9"/>
  <c r="CL18" i="9"/>
  <c r="CI18" i="9"/>
  <c r="CH18" i="9"/>
  <c r="CG18" i="9"/>
  <c r="CF18" i="9"/>
  <c r="CE18" i="9"/>
  <c r="CD18" i="9"/>
  <c r="CA18" i="9"/>
  <c r="BZ18" i="9"/>
  <c r="BY18" i="9"/>
  <c r="BX18" i="9"/>
  <c r="BW18" i="9"/>
  <c r="BV18" i="9"/>
  <c r="BS18" i="9"/>
  <c r="BR18" i="9"/>
  <c r="BQ18" i="9"/>
  <c r="BP18" i="9"/>
  <c r="BO18" i="9"/>
  <c r="BN18" i="9"/>
  <c r="BK18" i="9"/>
  <c r="BJ18" i="9"/>
  <c r="BI18" i="9"/>
  <c r="BH18" i="9"/>
  <c r="BG18" i="9"/>
  <c r="BF18" i="9"/>
  <c r="BC18" i="9"/>
  <c r="BB18" i="9"/>
  <c r="BA18" i="9"/>
  <c r="AZ18" i="9"/>
  <c r="AY18" i="9"/>
  <c r="AX18" i="9"/>
  <c r="AP24" i="9" a="1"/>
  <c r="AT20" i="9"/>
  <c r="AS20" i="9"/>
  <c r="AR20" i="9"/>
  <c r="AQ20" i="9"/>
  <c r="AP20" i="9"/>
  <c r="AT19" i="9"/>
  <c r="AT21" i="9" s="1"/>
  <c r="AS19" i="9"/>
  <c r="AS21" i="9" s="1"/>
  <c r="AR19" i="9"/>
  <c r="AR21" i="9" s="1"/>
  <c r="AQ19" i="9"/>
  <c r="AQ21" i="9" s="1"/>
  <c r="AP19" i="9"/>
  <c r="AP21" i="9" s="1"/>
  <c r="AU18" i="9"/>
  <c r="AT18" i="9"/>
  <c r="AS18" i="9"/>
  <c r="AR18" i="9"/>
  <c r="AQ18" i="9"/>
  <c r="AP18" i="9"/>
  <c r="AH24" i="9" a="1"/>
  <c r="AL20" i="9"/>
  <c r="AK20" i="9"/>
  <c r="AJ20" i="9"/>
  <c r="AI20" i="9"/>
  <c r="AH20" i="9"/>
  <c r="AL19" i="9"/>
  <c r="AL21" i="9" s="1"/>
  <c r="AK19" i="9"/>
  <c r="AK21" i="9" s="1"/>
  <c r="AJ19" i="9"/>
  <c r="AJ21" i="9" s="1"/>
  <c r="AI19" i="9"/>
  <c r="AI21" i="9" s="1"/>
  <c r="AH19" i="9"/>
  <c r="AH21" i="9" s="1"/>
  <c r="AM18" i="9"/>
  <c r="AL18" i="9"/>
  <c r="AK18" i="9"/>
  <c r="AJ18" i="9"/>
  <c r="AI18" i="9"/>
  <c r="AH18" i="9"/>
  <c r="Z24" i="9" a="1"/>
  <c r="AD20" i="9"/>
  <c r="AC20" i="9"/>
  <c r="AB20" i="9"/>
  <c r="AA20" i="9"/>
  <c r="Z20" i="9"/>
  <c r="AD19" i="9"/>
  <c r="AD21" i="9" s="1"/>
  <c r="AC19" i="9"/>
  <c r="AC21" i="9" s="1"/>
  <c r="AB19" i="9"/>
  <c r="AB21" i="9" s="1"/>
  <c r="AA19" i="9"/>
  <c r="AA21" i="9" s="1"/>
  <c r="Z19" i="9"/>
  <c r="Z21" i="9" s="1"/>
  <c r="AE18" i="9"/>
  <c r="AD18" i="9"/>
  <c r="AC18" i="9"/>
  <c r="AB18" i="9"/>
  <c r="AA18" i="9"/>
  <c r="Z18" i="9"/>
  <c r="R24" i="9" a="1"/>
  <c r="V20" i="9"/>
  <c r="U20" i="9"/>
  <c r="T20" i="9"/>
  <c r="S20" i="9"/>
  <c r="R20" i="9"/>
  <c r="V19" i="9"/>
  <c r="V21" i="9" s="1"/>
  <c r="U19" i="9"/>
  <c r="U21" i="9" s="1"/>
  <c r="T19" i="9"/>
  <c r="T21" i="9" s="1"/>
  <c r="S19" i="9"/>
  <c r="S21" i="9" s="1"/>
  <c r="R19" i="9"/>
  <c r="R21" i="9" s="1"/>
  <c r="W18" i="9"/>
  <c r="V18" i="9"/>
  <c r="U18" i="9"/>
  <c r="T18" i="9"/>
  <c r="S18" i="9"/>
  <c r="R18" i="9"/>
  <c r="J24" i="9" a="1"/>
  <c r="N20" i="9"/>
  <c r="M20" i="9"/>
  <c r="L20" i="9"/>
  <c r="K20" i="9"/>
  <c r="J20" i="9"/>
  <c r="N19" i="9"/>
  <c r="N21" i="9" s="1"/>
  <c r="M19" i="9"/>
  <c r="M21" i="9" s="1"/>
  <c r="L19" i="9"/>
  <c r="L21" i="9" s="1"/>
  <c r="K19" i="9"/>
  <c r="K21" i="9" s="1"/>
  <c r="J19" i="9"/>
  <c r="J21" i="9" s="1"/>
  <c r="O18" i="9"/>
  <c r="N18" i="9"/>
  <c r="M18" i="9"/>
  <c r="L18" i="9"/>
  <c r="K18" i="9"/>
  <c r="J18" i="9"/>
  <c r="F19" i="9"/>
  <c r="E19" i="9"/>
  <c r="D19" i="9"/>
  <c r="C19" i="9"/>
  <c r="B19" i="9"/>
  <c r="B24" i="9" a="1"/>
  <c r="F20" i="9"/>
  <c r="E20" i="9"/>
  <c r="D20" i="9"/>
  <c r="C20" i="9"/>
  <c r="B20" i="9"/>
  <c r="C21" i="9"/>
  <c r="G18" i="9"/>
  <c r="F18" i="9"/>
  <c r="E18" i="9"/>
  <c r="D18" i="9"/>
  <c r="C18" i="9"/>
  <c r="B18" i="9"/>
  <c r="Y1" i="5"/>
  <c r="G2" i="5" a="1"/>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1231" i="1" l="1"/>
  <c r="G1231" i="1"/>
  <c r="F1232" i="1"/>
  <c r="G1232" i="1"/>
  <c r="F1233" i="1"/>
  <c r="G1233" i="1"/>
  <c r="F1234" i="1"/>
  <c r="G1234" i="1"/>
  <c r="F1235" i="1"/>
  <c r="G1235" i="1"/>
  <c r="K3" i="5"/>
  <c r="L3" i="5"/>
  <c r="M3" i="5"/>
  <c r="N3" i="5"/>
  <c r="O3" i="5"/>
  <c r="G285" i="1"/>
  <c r="F285" i="1"/>
  <c r="G286" i="1"/>
  <c r="F286" i="1"/>
  <c r="G287" i="1"/>
  <c r="F287" i="1"/>
  <c r="G288" i="1"/>
  <c r="F288" i="1"/>
  <c r="G289" i="1"/>
  <c r="F289" i="1"/>
  <c r="G290" i="1"/>
  <c r="F290" i="1"/>
  <c r="G291" i="1"/>
  <c r="F291" i="1"/>
  <c r="G292" i="1"/>
  <c r="F292" i="1"/>
  <c r="G293" i="1"/>
  <c r="F293" i="1"/>
  <c r="G686" i="1"/>
  <c r="F686" i="1"/>
  <c r="G687" i="1"/>
  <c r="F687" i="1"/>
  <c r="G688" i="1"/>
  <c r="F688" i="1"/>
  <c r="G689" i="1"/>
  <c r="F689" i="1"/>
  <c r="G690" i="1"/>
  <c r="F690" i="1"/>
  <c r="G691" i="1"/>
  <c r="F691" i="1"/>
  <c r="G692" i="1"/>
  <c r="F692" i="1"/>
  <c r="G693" i="1"/>
  <c r="F693" i="1"/>
  <c r="G694" i="1"/>
  <c r="F694" i="1"/>
  <c r="G695" i="1"/>
  <c r="F695" i="1"/>
  <c r="G936" i="1"/>
  <c r="F936" i="1"/>
  <c r="G937" i="1"/>
  <c r="F937" i="1"/>
  <c r="G938" i="1"/>
  <c r="F938" i="1"/>
  <c r="G939" i="1"/>
  <c r="F939" i="1"/>
  <c r="G940" i="1"/>
  <c r="F940" i="1"/>
  <c r="G941" i="1"/>
  <c r="F941" i="1"/>
  <c r="G942" i="1"/>
  <c r="F942" i="1"/>
  <c r="G943" i="1"/>
  <c r="F943" i="1"/>
  <c r="G944" i="1"/>
  <c r="F944" i="1"/>
  <c r="G945" i="1"/>
  <c r="F945" i="1"/>
  <c r="G946" i="1"/>
  <c r="F946" i="1"/>
  <c r="F1236" i="1"/>
  <c r="G1236" i="1"/>
  <c r="F1237" i="1"/>
  <c r="G1237" i="1"/>
  <c r="F1238" i="1"/>
  <c r="G1238" i="1"/>
  <c r="F1239" i="1"/>
  <c r="G1239" i="1"/>
  <c r="F1240" i="1"/>
  <c r="G1240" i="1"/>
  <c r="F1241" i="1"/>
  <c r="G1241" i="1"/>
  <c r="F1242" i="1"/>
  <c r="G1242" i="1"/>
  <c r="F1243" i="1"/>
  <c r="G1243" i="1"/>
  <c r="F1244" i="1"/>
  <c r="G1244" i="1"/>
  <c r="F1245" i="1"/>
  <c r="G1245" i="1"/>
  <c r="F1246" i="1"/>
  <c r="G1246" i="1"/>
  <c r="F1247" i="1"/>
  <c r="G1247" i="1"/>
  <c r="F1248" i="1"/>
  <c r="G1248" i="1"/>
  <c r="F1249" i="1"/>
  <c r="G1249" i="1"/>
  <c r="F1250" i="1"/>
  <c r="G1250" i="1"/>
  <c r="F1251" i="1"/>
  <c r="G1251" i="1"/>
  <c r="F1252" i="1"/>
  <c r="G1252" i="1"/>
  <c r="F1253" i="1"/>
  <c r="G1253" i="1"/>
  <c r="F1254" i="1"/>
  <c r="G1254" i="1"/>
  <c r="F1255" i="1"/>
  <c r="G1255" i="1"/>
  <c r="F1256" i="1"/>
  <c r="G1256" i="1"/>
  <c r="F1257" i="1"/>
  <c r="G1257" i="1"/>
  <c r="F1258" i="1"/>
  <c r="G1258" i="1"/>
  <c r="F1259" i="1"/>
  <c r="G1259" i="1"/>
  <c r="F1260" i="1"/>
  <c r="G1260" i="1"/>
  <c r="F1261" i="1"/>
  <c r="G1261" i="1"/>
  <c r="F1262" i="1"/>
  <c r="G1262" i="1"/>
  <c r="F1263" i="1"/>
  <c r="G1263" i="1"/>
  <c r="F1264" i="1"/>
  <c r="G1264" i="1"/>
  <c r="F1265" i="1"/>
  <c r="G1265" i="1"/>
  <c r="F1266" i="1"/>
  <c r="G1266" i="1"/>
  <c r="F1267" i="1"/>
  <c r="G1267" i="1"/>
  <c r="F1268" i="1"/>
  <c r="G1268" i="1"/>
  <c r="F1269" i="1"/>
  <c r="G1269" i="1"/>
  <c r="F1270" i="1"/>
  <c r="G1270" i="1"/>
  <c r="F1271" i="1"/>
  <c r="G1271" i="1"/>
  <c r="F1272" i="1"/>
  <c r="G1272" i="1"/>
  <c r="F1273" i="1"/>
  <c r="G1273" i="1"/>
  <c r="F1274" i="1"/>
  <c r="G1274" i="1"/>
  <c r="F1275" i="1"/>
  <c r="G1275" i="1"/>
  <c r="F1276" i="1"/>
  <c r="G1276" i="1"/>
  <c r="F1277" i="1"/>
  <c r="G1277" i="1"/>
  <c r="F1278" i="1"/>
  <c r="G1278" i="1"/>
  <c r="F1279" i="1"/>
  <c r="G1279" i="1"/>
  <c r="F1280" i="1"/>
  <c r="G1280" i="1"/>
  <c r="F1281" i="1"/>
  <c r="G1281" i="1"/>
  <c r="F1282" i="1"/>
  <c r="G1282" i="1"/>
  <c r="F1283" i="1"/>
  <c r="G1283" i="1"/>
  <c r="F1284" i="1"/>
  <c r="G1284" i="1"/>
  <c r="F1285" i="1"/>
  <c r="G1285" i="1"/>
  <c r="F1286" i="1"/>
  <c r="G1286" i="1"/>
  <c r="F1287" i="1"/>
  <c r="G1287" i="1"/>
  <c r="F1288" i="1"/>
  <c r="G1288" i="1"/>
  <c r="F1289" i="1"/>
  <c r="G1289" i="1"/>
  <c r="D3" i="10" a="1"/>
  <c r="D3" i="10" s="1"/>
  <c r="E3" i="10" a="1"/>
  <c r="E3" i="10" s="1"/>
  <c r="I3" i="10" a="1"/>
  <c r="I3" i="10" s="1"/>
  <c r="D4" i="10" a="1"/>
  <c r="D4" i="10" s="1"/>
  <c r="E4" i="10" a="1"/>
  <c r="E4" i="10" s="1"/>
  <c r="H4" i="10" a="1"/>
  <c r="H4" i="10" s="1"/>
  <c r="I4" i="10" a="1"/>
  <c r="I4" i="10" s="1"/>
  <c r="E5" i="10" a="1"/>
  <c r="E5" i="10" s="1"/>
  <c r="G5" i="10" a="1"/>
  <c r="G5" i="10" s="1"/>
  <c r="I5" i="10" a="1"/>
  <c r="I5" i="10" s="1"/>
  <c r="G6" i="10" a="1"/>
  <c r="G6" i="10" s="1"/>
  <c r="D7" i="10" a="1"/>
  <c r="D7" i="10" s="1"/>
  <c r="H7" i="10" a="1"/>
  <c r="H7" i="10" s="1"/>
  <c r="F8" i="10" a="1"/>
  <c r="F8" i="10" s="1"/>
  <c r="D9" i="10" a="1"/>
  <c r="D9" i="10" s="1"/>
  <c r="I9" i="10" a="1"/>
  <c r="I9" i="10" s="1"/>
  <c r="I10" i="10" a="1"/>
  <c r="I10" i="10" s="1"/>
  <c r="H11" i="10" a="1"/>
  <c r="H11" i="10" s="1"/>
  <c r="F12" i="10" a="1"/>
  <c r="F12" i="10" s="1"/>
  <c r="E13" i="10" a="1"/>
  <c r="E13" i="10" s="1"/>
  <c r="D14" i="10" a="1"/>
  <c r="D14" i="10" s="1"/>
  <c r="D15" i="10" a="1"/>
  <c r="D15" i="10" s="1"/>
  <c r="I15" i="10" a="1"/>
  <c r="I15" i="10" s="1"/>
  <c r="I16" i="10" a="1"/>
  <c r="I16" i="10" s="1"/>
  <c r="G17" i="10" a="1"/>
  <c r="G17" i="10" s="1"/>
  <c r="F18" i="10" a="1"/>
  <c r="F18" i="10" s="1"/>
  <c r="F19" i="10" a="1"/>
  <c r="F19" i="10" s="1"/>
  <c r="E20" i="10" a="1"/>
  <c r="E20" i="10" s="1"/>
  <c r="D21" i="10" a="1"/>
  <c r="D21" i="10" s="1"/>
  <c r="E22" i="10" a="1"/>
  <c r="E22" i="10" s="1"/>
  <c r="I22" i="10" a="1"/>
  <c r="I22" i="10" s="1"/>
  <c r="H23" i="10" a="1"/>
  <c r="H23" i="10" s="1"/>
  <c r="I24" i="10" a="1"/>
  <c r="I24" i="10" s="1"/>
  <c r="G25" i="10" a="1"/>
  <c r="G25" i="10" s="1"/>
  <c r="E26" i="10" a="1"/>
  <c r="E26" i="10" s="1"/>
  <c r="F27" i="10" a="1"/>
  <c r="F27" i="10" s="1"/>
  <c r="E28" i="10" a="1"/>
  <c r="E28" i="10" s="1"/>
  <c r="D29" i="10" a="1"/>
  <c r="D29" i="10" s="1"/>
  <c r="D30" i="10" a="1"/>
  <c r="D30" i="10" s="1"/>
  <c r="I30" i="10" a="1"/>
  <c r="I30" i="10" s="1"/>
  <c r="I31" i="10" a="1"/>
  <c r="I31" i="10" s="1"/>
  <c r="H32" i="10" a="1"/>
  <c r="H32" i="10" s="1"/>
  <c r="G33" i="10" a="1"/>
  <c r="G33" i="10" s="1"/>
  <c r="H34" i="10" a="1"/>
  <c r="H34" i="10" s="1"/>
  <c r="F35" i="10" a="1"/>
  <c r="F35" i="10" s="1"/>
  <c r="F36" i="10" a="1"/>
  <c r="F36" i="10" s="1"/>
  <c r="F37" i="10" a="1"/>
  <c r="F37" i="10" s="1"/>
  <c r="E38" i="10" a="1"/>
  <c r="E38" i="10" s="1"/>
  <c r="E39" i="10" a="1"/>
  <c r="E39" i="10" s="1"/>
  <c r="E40" i="10" a="1"/>
  <c r="E40" i="10" s="1"/>
  <c r="I40" i="10" a="1"/>
  <c r="I40" i="10" s="1"/>
  <c r="I41" i="10" a="1"/>
  <c r="I41" i="10" s="1"/>
  <c r="H42" i="10" a="1"/>
  <c r="H42" i="10" s="1"/>
  <c r="G43" i="10" a="1"/>
  <c r="G43" i="10" s="1"/>
  <c r="G44" i="10" a="1"/>
  <c r="G44" i="10" s="1"/>
  <c r="G45" i="10" a="1"/>
  <c r="G45" i="10" s="1"/>
  <c r="G46" i="10" a="1"/>
  <c r="G46" i="10" s="1"/>
  <c r="F47" i="10" a="1"/>
  <c r="F47" i="10" s="1"/>
  <c r="E48" i="10" a="1"/>
  <c r="E48" i="10" s="1"/>
  <c r="F49" i="10" a="1"/>
  <c r="F49" i="10" s="1"/>
  <c r="E50" i="10" a="1"/>
  <c r="E50" i="10" s="1"/>
  <c r="E51" i="10" a="1"/>
  <c r="E51" i="10" s="1"/>
  <c r="I51" i="10" a="1"/>
  <c r="I51" i="10" s="1"/>
  <c r="G52" i="10" a="1"/>
  <c r="G52" i="10" s="1"/>
  <c r="F53" i="10" a="1"/>
  <c r="F53" i="10" s="1"/>
  <c r="E54" i="10" a="1"/>
  <c r="E54" i="10" s="1"/>
  <c r="I54" i="10" a="1"/>
  <c r="I54" i="10" s="1"/>
  <c r="H55" i="10" a="1"/>
  <c r="H55" i="10" s="1"/>
  <c r="F56" i="10" a="1"/>
  <c r="F56" i="10" s="1"/>
  <c r="D57" i="10" a="1"/>
  <c r="D57" i="10" s="1"/>
  <c r="I57" i="10" a="1"/>
  <c r="I57" i="10" s="1"/>
  <c r="F16" i="10" a="1"/>
  <c r="F16" i="10" s="1"/>
  <c r="E17" i="10" a="1"/>
  <c r="E17" i="10" s="1"/>
  <c r="D18" i="10" a="1"/>
  <c r="D18" i="10" s="1"/>
  <c r="D19" i="10" a="1"/>
  <c r="D19" i="10" s="1"/>
  <c r="I19" i="10" a="1"/>
  <c r="I19" i="10" s="1"/>
  <c r="I20" i="10" a="1"/>
  <c r="I20" i="10" s="1"/>
  <c r="H21" i="10" a="1"/>
  <c r="H21" i="10" s="1"/>
  <c r="H22" i="10" a="1"/>
  <c r="H22" i="10" s="1"/>
  <c r="G23" i="10" a="1"/>
  <c r="G23" i="10" s="1"/>
  <c r="G24" i="10" a="1"/>
  <c r="G24" i="10" s="1"/>
  <c r="H25" i="10" a="1"/>
  <c r="H25" i="10" s="1"/>
  <c r="F26" i="10" a="1"/>
  <c r="F26" i="10" s="1"/>
  <c r="E27" i="10" a="1"/>
  <c r="E27" i="10" s="1"/>
  <c r="D28" i="10" a="1"/>
  <c r="D28" i="10" s="1"/>
  <c r="I28" i="10" a="1"/>
  <c r="I28" i="10" s="1"/>
  <c r="H29" i="10" a="1"/>
  <c r="H29" i="10" s="1"/>
  <c r="H30" i="10" a="1"/>
  <c r="H30" i="10" s="1"/>
  <c r="G31" i="10" a="1"/>
  <c r="G31" i="10" s="1"/>
  <c r="F32" i="10" a="1"/>
  <c r="F32" i="10" s="1"/>
  <c r="F33" i="10" a="1"/>
  <c r="F33" i="10" s="1"/>
  <c r="E34" i="10" a="1"/>
  <c r="E34" i="10" s="1"/>
  <c r="D35" i="10" a="1"/>
  <c r="D35" i="10" s="1"/>
  <c r="D36" i="10" a="1"/>
  <c r="D36" i="10" s="1"/>
  <c r="I36" i="10" a="1"/>
  <c r="I36" i="10" s="1"/>
  <c r="H37" i="10" a="1"/>
  <c r="H37" i="10" s="1"/>
  <c r="H38" i="10" a="1"/>
  <c r="H38" i="10" s="1"/>
  <c r="G39" i="10" a="1"/>
  <c r="G39" i="10" s="1"/>
  <c r="G40" i="10" a="1"/>
  <c r="G40" i="10" s="1"/>
  <c r="F41" i="10" a="1"/>
  <c r="F41" i="10" s="1"/>
  <c r="E42" i="10" a="1"/>
  <c r="E42" i="10" s="1"/>
  <c r="E43" i="10" a="1"/>
  <c r="E43" i="10" s="1"/>
  <c r="D44" i="10" a="1"/>
  <c r="D44" i="10" s="1"/>
  <c r="I44" i="10" a="1"/>
  <c r="I44" i="10" s="1"/>
  <c r="H45" i="10" a="1"/>
  <c r="H45" i="10" s="1"/>
  <c r="H46" i="10" a="1"/>
  <c r="H46" i="10" s="1"/>
  <c r="G47" i="10" a="1"/>
  <c r="G47" i="10" s="1"/>
  <c r="F48" i="10" a="1"/>
  <c r="F48" i="10" s="1"/>
  <c r="E49" i="10" a="1"/>
  <c r="E49" i="10" s="1"/>
  <c r="D50" i="10" a="1"/>
  <c r="D50" i="10" s="1"/>
  <c r="I50" i="10" a="1"/>
  <c r="I50" i="10" s="1"/>
  <c r="F51" i="10" a="1"/>
  <c r="F51" i="10" s="1"/>
  <c r="D52" i="10" a="1"/>
  <c r="D52" i="10" s="1"/>
  <c r="I52" i="10" a="1"/>
  <c r="I52" i="10" s="1"/>
  <c r="G53" i="10" a="1"/>
  <c r="G53" i="10" s="1"/>
  <c r="D54" i="10" a="1"/>
  <c r="D54" i="10" s="1"/>
  <c r="H54" i="10" a="1"/>
  <c r="H54" i="10" s="1"/>
  <c r="D46" i="10" a="1"/>
  <c r="D46" i="10" s="1"/>
  <c r="E55" i="10" a="1"/>
  <c r="E55" i="10" s="1"/>
  <c r="D56" i="10" a="1"/>
  <c r="D56" i="10" s="1"/>
  <c r="H56" i="10" a="1"/>
  <c r="H56" i="10" s="1"/>
  <c r="F57" i="10" a="1"/>
  <c r="F57" i="10" s="1"/>
  <c r="G3" i="10" a="1"/>
  <c r="G3" i="10" s="1"/>
  <c r="G4" i="10" a="1"/>
  <c r="G4" i="10" s="1"/>
  <c r="H6" i="10" a="1"/>
  <c r="H6" i="10" s="1"/>
  <c r="G7" i="10" a="1"/>
  <c r="G7" i="10" s="1"/>
  <c r="E8" i="10" a="1"/>
  <c r="E8" i="10" s="1"/>
  <c r="I8" i="10" a="1"/>
  <c r="I8" i="10" s="1"/>
  <c r="H9" i="10" a="1"/>
  <c r="H9" i="10" s="1"/>
  <c r="H10" i="10" a="1"/>
  <c r="H10" i="10" s="1"/>
  <c r="G11" i="10" a="1"/>
  <c r="G11" i="10" s="1"/>
  <c r="H12" i="10" a="1"/>
  <c r="H12" i="10" s="1"/>
  <c r="G13" i="10" a="1"/>
  <c r="G13" i="10" s="1"/>
  <c r="E14" i="10" a="1"/>
  <c r="E14" i="10" s="1"/>
  <c r="F15" i="10" a="1"/>
  <c r="F15" i="10" s="1"/>
  <c r="G16" i="10" a="1"/>
  <c r="G16" i="10" s="1"/>
  <c r="H17" i="10" a="1"/>
  <c r="H17" i="10" s="1"/>
  <c r="H18" i="10" a="1"/>
  <c r="H18" i="10" s="1"/>
  <c r="H19" i="10" a="1"/>
  <c r="H19" i="10" s="1"/>
  <c r="G20" i="10" a="1"/>
  <c r="G20" i="10" s="1"/>
  <c r="G21" i="10" a="1"/>
  <c r="G21" i="10" s="1"/>
  <c r="F22" i="10" a="1"/>
  <c r="F22" i="10" s="1"/>
  <c r="E23" i="10" a="1"/>
  <c r="E23" i="10" s="1"/>
  <c r="E24" i="10" a="1"/>
  <c r="E24" i="10" s="1"/>
  <c r="D25" i="10" a="1"/>
  <c r="D25" i="10" s="1"/>
  <c r="D26" i="10" a="1"/>
  <c r="D26" i="10" s="1"/>
  <c r="H26" i="10" a="1"/>
  <c r="H26" i="10" s="1"/>
  <c r="G27" i="10" a="1"/>
  <c r="G27" i="10" s="1"/>
  <c r="F28" i="10" a="1"/>
  <c r="F28" i="10" s="1"/>
  <c r="F29" i="10" a="1"/>
  <c r="F29" i="10" s="1"/>
  <c r="F30" i="10" a="1"/>
  <c r="F30" i="10" s="1"/>
  <c r="F31" i="10" a="1"/>
  <c r="F31" i="10" s="1"/>
  <c r="E32" i="10" a="1"/>
  <c r="E32" i="10" s="1"/>
  <c r="D33" i="10" a="1"/>
  <c r="D33" i="10" s="1"/>
  <c r="I33" i="10" a="1"/>
  <c r="I33" i="10" s="1"/>
  <c r="I34" i="10" a="1"/>
  <c r="I34" i="10" s="1"/>
  <c r="H35" i="10" a="1"/>
  <c r="H35" i="10" s="1"/>
  <c r="G36" i="10" a="1"/>
  <c r="G36" i="10" s="1"/>
  <c r="G37" i="10" a="1"/>
  <c r="G37" i="10" s="1"/>
  <c r="D38" i="10" a="1"/>
  <c r="D38" i="10" s="1"/>
  <c r="I38" i="10" a="1"/>
  <c r="I38" i="10" s="1"/>
  <c r="I39" i="10" a="1"/>
  <c r="I39" i="10" s="1"/>
  <c r="H40" i="10" a="1"/>
  <c r="H40" i="10" s="1"/>
  <c r="G41" i="10" a="1"/>
  <c r="G41" i="10" s="1"/>
  <c r="G42" i="10" a="1"/>
  <c r="G42" i="10" s="1"/>
  <c r="F43" i="10" a="1"/>
  <c r="F43" i="10" s="1"/>
  <c r="E44" i="10" a="1"/>
  <c r="E44" i="10" s="1"/>
  <c r="D45" i="10" a="1"/>
  <c r="D45" i="10" s="1"/>
  <c r="H39" i="10" a="1"/>
  <c r="H39" i="10" s="1"/>
  <c r="I46" i="10" a="1"/>
  <c r="I46" i="10" s="1"/>
  <c r="H47" i="10" a="1"/>
  <c r="H47" i="10" s="1"/>
  <c r="H48" i="10" a="1"/>
  <c r="H48" i="10" s="1"/>
  <c r="G49" i="10" a="1"/>
  <c r="G49" i="10" s="1"/>
  <c r="G50" i="10" a="1"/>
  <c r="G50" i="10" s="1"/>
  <c r="D6" i="10" a="1"/>
  <c r="D6" i="10" s="1"/>
  <c r="I6" i="10" a="1"/>
  <c r="I6" i="10" s="1"/>
  <c r="G9" i="10" a="1"/>
  <c r="G9" i="10" s="1"/>
  <c r="E10" i="10" a="1"/>
  <c r="E10" i="10" s="1"/>
  <c r="G10" i="10" a="1"/>
  <c r="G10" i="10" s="1"/>
  <c r="E11" i="10" a="1"/>
  <c r="E11" i="10" s="1"/>
  <c r="I11" i="10" a="1"/>
  <c r="I11" i="10" s="1"/>
  <c r="E12" i="10" a="1"/>
  <c r="E12" i="10" s="1"/>
  <c r="D13" i="10" a="1"/>
  <c r="D13" i="10" s="1"/>
  <c r="I13" i="10" a="1"/>
  <c r="I13" i="10" s="1"/>
  <c r="G14" i="10" a="1"/>
  <c r="G14" i="10" s="1"/>
  <c r="I14" i="10" a="1"/>
  <c r="I14" i="10" s="1"/>
  <c r="H15" i="10" a="1"/>
  <c r="H15" i="10" s="1"/>
  <c r="D16" i="10" a="1"/>
  <c r="D16" i="10" s="1"/>
  <c r="H16" i="10" a="1"/>
  <c r="H16" i="10" s="1"/>
  <c r="F17" i="10" a="1"/>
  <c r="F17" i="10" s="1"/>
  <c r="E18" i="10" a="1"/>
  <c r="E18" i="10" s="1"/>
  <c r="I18" i="10" a="1"/>
  <c r="I18" i="10" s="1"/>
  <c r="E19" i="10" a="1"/>
  <c r="E19" i="10" s="1"/>
  <c r="D20" i="10" a="1"/>
  <c r="D20" i="10" s="1"/>
  <c r="H20" i="10" a="1"/>
  <c r="H20" i="10" s="1"/>
  <c r="F21" i="10" a="1"/>
  <c r="F21" i="10" s="1"/>
  <c r="I21" i="10" a="1"/>
  <c r="I21" i="10" s="1"/>
  <c r="G22" i="10" a="1"/>
  <c r="G22" i="10" s="1"/>
  <c r="F23" i="10" a="1"/>
  <c r="F23" i="10" s="1"/>
  <c r="D24" i="10" a="1"/>
  <c r="D24" i="10" s="1"/>
  <c r="F24" i="10" a="1"/>
  <c r="F24" i="10" s="1"/>
  <c r="E25" i="10" a="1"/>
  <c r="E25" i="10" s="1"/>
  <c r="I25" i="10" a="1"/>
  <c r="I25" i="10" s="1"/>
  <c r="G26" i="10" a="1"/>
  <c r="G26" i="10" s="1"/>
  <c r="D27" i="10" a="1"/>
  <c r="D27" i="10" s="1"/>
  <c r="I27" i="10" a="1"/>
  <c r="I27" i="10" s="1"/>
  <c r="H28" i="10" a="1"/>
  <c r="H28" i="10" s="1"/>
  <c r="E29" i="10" a="1"/>
  <c r="E29" i="10" s="1"/>
  <c r="I29" i="10" a="1"/>
  <c r="I29" i="10" s="1"/>
  <c r="G30" i="10" a="1"/>
  <c r="G30" i="10" s="1"/>
  <c r="E31" i="10" a="1"/>
  <c r="E31" i="10" s="1"/>
  <c r="D32" i="10" a="1"/>
  <c r="D32" i="10" s="1"/>
  <c r="G32" i="10" a="1"/>
  <c r="G32" i="10" s="1"/>
  <c r="E33" i="10" a="1"/>
  <c r="E33" i="10" s="1"/>
  <c r="D34" i="10" a="1"/>
  <c r="D34" i="10" s="1"/>
  <c r="F34" i="10" a="1"/>
  <c r="F34" i="10" s="1"/>
  <c r="E35" i="10" a="1"/>
  <c r="E35" i="10" s="1"/>
  <c r="I35" i="10" a="1"/>
  <c r="I35" i="10" s="1"/>
  <c r="H36" i="10" a="1"/>
  <c r="H36" i="10" s="1"/>
  <c r="D37" i="10" a="1"/>
  <c r="D37" i="10" s="1"/>
  <c r="I37" i="10" a="1"/>
  <c r="I37" i="10" s="1"/>
  <c r="G38" i="10" a="1"/>
  <c r="G38" i="10" s="1"/>
  <c r="F39" i="10" a="1"/>
  <c r="F39" i="10" s="1"/>
  <c r="F40" i="10" a="1"/>
  <c r="F40" i="10" s="1"/>
  <c r="E41" i="10" a="1"/>
  <c r="E41" i="10" s="1"/>
  <c r="H41" i="10" a="1"/>
  <c r="H41" i="10" s="1"/>
  <c r="F42" i="10" a="1"/>
  <c r="F42" i="10" s="1"/>
  <c r="D43" i="10" a="1"/>
  <c r="D43" i="10" s="1"/>
  <c r="H43" i="10" a="1"/>
  <c r="H43" i="10" s="1"/>
  <c r="F44" i="10" a="1"/>
  <c r="F44" i="10" s="1"/>
  <c r="E45" i="10" a="1"/>
  <c r="E45" i="10" s="1"/>
  <c r="I45" i="10" a="1"/>
  <c r="I45" i="10" s="1"/>
  <c r="E46" i="10" a="1"/>
  <c r="E46" i="10" s="1"/>
  <c r="D47" i="10" a="1"/>
  <c r="D47" i="10" s="1"/>
  <c r="I47" i="10" a="1"/>
  <c r="I47" i="10" s="1"/>
  <c r="G48" i="10" a="1"/>
  <c r="G48" i="10" s="1"/>
  <c r="I48" i="10" a="1"/>
  <c r="I48" i="10" s="1"/>
  <c r="H49" i="10" a="1"/>
  <c r="H49" i="10" s="1"/>
  <c r="F50" i="10" a="1"/>
  <c r="F50" i="10" s="1"/>
  <c r="D51" i="10" a="1"/>
  <c r="D51" i="10" s="1"/>
  <c r="G51" i="10" a="1"/>
  <c r="G51" i="10" s="1"/>
  <c r="E52" i="10" a="1"/>
  <c r="E52" i="10" s="1"/>
  <c r="H52" i="10" a="1"/>
  <c r="H52" i="10" s="1"/>
  <c r="E53" i="10" a="1"/>
  <c r="E53" i="10" s="1"/>
  <c r="I53" i="10" a="1"/>
  <c r="I53" i="10" s="1"/>
  <c r="F54" i="10" a="1"/>
  <c r="F54" i="10" s="1"/>
  <c r="D55" i="10" a="1"/>
  <c r="D55" i="10" s="1"/>
  <c r="G55" i="10" a="1"/>
  <c r="G55" i="10" s="1"/>
  <c r="E56" i="10" a="1"/>
  <c r="E56" i="10" s="1"/>
  <c r="G56" i="10" a="1"/>
  <c r="G56" i="10" s="1"/>
  <c r="E57" i="10" a="1"/>
  <c r="E57" i="10" s="1"/>
  <c r="H57" i="10" a="1"/>
  <c r="H57" i="10" s="1"/>
  <c r="F3" i="10" a="1"/>
  <c r="F3" i="10" s="1"/>
  <c r="E6" i="10" a="1"/>
  <c r="E6" i="10" s="1"/>
  <c r="E7" i="10" a="1"/>
  <c r="E7" i="10" s="1"/>
  <c r="I7" i="10" a="1"/>
  <c r="I7" i="10" s="1"/>
  <c r="G8" i="10" a="1"/>
  <c r="G8" i="10" s="1"/>
  <c r="E9" i="10" a="1"/>
  <c r="E9" i="10" s="1"/>
  <c r="D10" i="10" a="1"/>
  <c r="D10" i="10" s="1"/>
  <c r="D11" i="10" a="1"/>
  <c r="D11" i="10" s="1"/>
  <c r="D12" i="10" a="1"/>
  <c r="D12" i="10" s="1"/>
  <c r="I12" i="10" a="1"/>
  <c r="I12" i="10" s="1"/>
  <c r="H13" i="10" a="1"/>
  <c r="H13" i="10" s="1"/>
  <c r="H14" i="10" a="1"/>
  <c r="H14" i="10" s="1"/>
  <c r="G15" i="10" a="1"/>
  <c r="G15" i="10" s="1"/>
  <c r="E16" i="10" a="1"/>
  <c r="E16" i="10" s="1"/>
  <c r="D17" i="10" a="1"/>
  <c r="D17" i="10" s="1"/>
  <c r="I17" i="10" a="1"/>
  <c r="I17" i="10" s="1"/>
  <c r="G18" i="10" a="1"/>
  <c r="G18" i="10" s="1"/>
  <c r="G19" i="10" a="1"/>
  <c r="G19" i="10" s="1"/>
  <c r="F20" i="10" a="1"/>
  <c r="F20" i="10" s="1"/>
  <c r="E21" i="10" a="1"/>
  <c r="E21" i="10" s="1"/>
  <c r="D22" i="10" a="1"/>
  <c r="D22" i="10" s="1"/>
  <c r="D23" i="10" a="1"/>
  <c r="D23" i="10" s="1"/>
  <c r="I23" i="10" a="1"/>
  <c r="I23" i="10" s="1"/>
  <c r="H24" i="10" a="1"/>
  <c r="H24" i="10" s="1"/>
  <c r="F25" i="10" a="1"/>
  <c r="F25" i="10" s="1"/>
  <c r="I26" i="10" a="1"/>
  <c r="I26" i="10" s="1"/>
  <c r="H27" i="10" a="1"/>
  <c r="H27" i="10" s="1"/>
  <c r="G28" i="10" a="1"/>
  <c r="G28" i="10" s="1"/>
  <c r="G29" i="10" a="1"/>
  <c r="G29" i="10" s="1"/>
  <c r="E30" i="10" a="1"/>
  <c r="E30" i="10" s="1"/>
  <c r="D31" i="10" a="1"/>
  <c r="D31" i="10" s="1"/>
  <c r="H31" i="10" a="1"/>
  <c r="H31" i="10" s="1"/>
  <c r="I32" i="10" a="1"/>
  <c r="I32" i="10" s="1"/>
  <c r="H33" i="10" a="1"/>
  <c r="H33" i="10" s="1"/>
  <c r="G34" i="10" a="1"/>
  <c r="G34" i="10" s="1"/>
  <c r="G35" i="10" a="1"/>
  <c r="G35" i="10" s="1"/>
  <c r="E36" i="10" a="1"/>
  <c r="E36" i="10" s="1"/>
  <c r="E37" i="10" a="1"/>
  <c r="E37" i="10" s="1"/>
  <c r="F38" i="10" a="1"/>
  <c r="F38" i="10" s="1"/>
  <c r="D39" i="10" a="1"/>
  <c r="D39" i="10" s="1"/>
  <c r="D40" i="10" a="1"/>
  <c r="D40" i="10" s="1"/>
  <c r="D41" i="10" a="1"/>
  <c r="D41" i="10" s="1"/>
  <c r="D42" i="10" a="1"/>
  <c r="D42" i="10" s="1"/>
  <c r="I42" i="10" a="1"/>
  <c r="I42" i="10" s="1"/>
  <c r="I43" i="10" a="1"/>
  <c r="I43" i="10" s="1"/>
  <c r="H44" i="10" a="1"/>
  <c r="H44" i="10" s="1"/>
  <c r="F45" i="10" a="1"/>
  <c r="F45" i="10" s="1"/>
  <c r="F46" i="10" a="1"/>
  <c r="F46" i="10" s="1"/>
  <c r="E47" i="10" a="1"/>
  <c r="E47" i="10" s="1"/>
  <c r="D48" i="10" a="1"/>
  <c r="D48" i="10" s="1"/>
  <c r="D49" i="10" a="1"/>
  <c r="D49" i="10" s="1"/>
  <c r="I49" i="10" a="1"/>
  <c r="I49" i="10" s="1"/>
  <c r="H50" i="10" a="1"/>
  <c r="H50" i="10" s="1"/>
  <c r="H51" i="10" a="1"/>
  <c r="H51" i="10" s="1"/>
  <c r="F52" i="10" a="1"/>
  <c r="F52" i="10" s="1"/>
  <c r="D53" i="10" a="1"/>
  <c r="D53" i="10" s="1"/>
  <c r="H53" i="10" a="1"/>
  <c r="H53" i="10" s="1"/>
  <c r="G54" i="10" a="1"/>
  <c r="G54" i="10" s="1"/>
  <c r="F55" i="10" a="1"/>
  <c r="F55" i="10" s="1"/>
  <c r="I55" i="10" a="1"/>
  <c r="I55" i="10" s="1"/>
  <c r="I56" i="10" a="1"/>
  <c r="I56" i="10" s="1"/>
  <c r="G57" i="10" a="1"/>
  <c r="G57" i="10" s="1"/>
  <c r="H3" i="10" a="1"/>
  <c r="H3" i="10" s="1"/>
  <c r="F4" i="10" a="1"/>
  <c r="F4" i="10" s="1"/>
  <c r="D5" i="10" a="1"/>
  <c r="D5" i="10" s="1"/>
  <c r="F5" i="10" a="1"/>
  <c r="F5" i="10" s="1"/>
  <c r="H5" i="10" a="1"/>
  <c r="H5" i="10" s="1"/>
  <c r="F6" i="10" a="1"/>
  <c r="F6" i="10" s="1"/>
  <c r="F7" i="10" a="1"/>
  <c r="F7" i="10" s="1"/>
  <c r="D8" i="10" a="1"/>
  <c r="D8" i="10" s="1"/>
  <c r="H8" i="10" a="1"/>
  <c r="H8" i="10" s="1"/>
  <c r="F9" i="10" a="1"/>
  <c r="F9" i="10" s="1"/>
  <c r="F10" i="10" a="1"/>
  <c r="F10" i="10" s="1"/>
  <c r="F11" i="10" a="1"/>
  <c r="F11" i="10" s="1"/>
  <c r="G12" i="10" a="1"/>
  <c r="G12" i="10" s="1"/>
  <c r="F13" i="10" a="1"/>
  <c r="F13" i="10" s="1"/>
  <c r="F14" i="10" a="1"/>
  <c r="F14" i="10" s="1"/>
  <c r="E15" i="10" a="1"/>
  <c r="E15" i="10" s="1"/>
  <c r="G294" i="1"/>
  <c r="F294" i="1"/>
  <c r="G295" i="1"/>
  <c r="F295" i="1"/>
  <c r="G296" i="1"/>
  <c r="F296" i="1"/>
  <c r="G297" i="1"/>
  <c r="F297" i="1"/>
  <c r="G298" i="1"/>
  <c r="F298" i="1"/>
  <c r="G299" i="1"/>
  <c r="F299" i="1"/>
  <c r="G300" i="1"/>
  <c r="F300" i="1"/>
  <c r="G301" i="1"/>
  <c r="F301" i="1"/>
  <c r="G302" i="1"/>
  <c r="F302" i="1"/>
  <c r="G303" i="1"/>
  <c r="F303" i="1"/>
  <c r="G304" i="1"/>
  <c r="F304" i="1"/>
  <c r="G305" i="1"/>
  <c r="F305" i="1"/>
  <c r="G306" i="1"/>
  <c r="F306" i="1"/>
  <c r="G307" i="1"/>
  <c r="F307" i="1"/>
  <c r="G308" i="1"/>
  <c r="F308" i="1"/>
  <c r="G309" i="1"/>
  <c r="F309" i="1"/>
  <c r="G310" i="1"/>
  <c r="F310" i="1"/>
  <c r="G311" i="1"/>
  <c r="F311" i="1"/>
  <c r="G312" i="1"/>
  <c r="F312" i="1"/>
  <c r="G313" i="1"/>
  <c r="F313" i="1"/>
  <c r="G314" i="1"/>
  <c r="F314" i="1"/>
  <c r="G315" i="1"/>
  <c r="F315" i="1"/>
  <c r="G316" i="1"/>
  <c r="F316" i="1"/>
  <c r="G317" i="1"/>
  <c r="F317" i="1"/>
  <c r="G318" i="1"/>
  <c r="F318" i="1"/>
  <c r="G319" i="1"/>
  <c r="F319" i="1"/>
  <c r="G320" i="1"/>
  <c r="F320" i="1"/>
  <c r="G321" i="1"/>
  <c r="F321" i="1"/>
  <c r="G322" i="1"/>
  <c r="F322" i="1"/>
  <c r="G323" i="1"/>
  <c r="F323" i="1"/>
  <c r="G324" i="1"/>
  <c r="F324" i="1"/>
  <c r="G325" i="1"/>
  <c r="F325" i="1"/>
  <c r="G326" i="1"/>
  <c r="F326" i="1"/>
  <c r="G327" i="1"/>
  <c r="F327" i="1"/>
  <c r="G328" i="1"/>
  <c r="F328" i="1"/>
  <c r="G329" i="1"/>
  <c r="F329" i="1"/>
  <c r="G330" i="1"/>
  <c r="F330" i="1"/>
  <c r="G331" i="1"/>
  <c r="F331" i="1"/>
  <c r="G332" i="1"/>
  <c r="F332" i="1"/>
  <c r="G333" i="1"/>
  <c r="F333" i="1"/>
  <c r="G334" i="1"/>
  <c r="F334" i="1"/>
  <c r="G335" i="1"/>
  <c r="F335" i="1"/>
  <c r="G336" i="1"/>
  <c r="F336" i="1"/>
  <c r="G337" i="1"/>
  <c r="F337" i="1"/>
  <c r="G338" i="1"/>
  <c r="F338" i="1"/>
  <c r="G339" i="1"/>
  <c r="F339" i="1"/>
  <c r="G340" i="1"/>
  <c r="F340" i="1"/>
  <c r="G341" i="1"/>
  <c r="F341" i="1"/>
  <c r="G342" i="1"/>
  <c r="F342" i="1"/>
  <c r="G343" i="1"/>
  <c r="F343" i="1"/>
  <c r="G344" i="1"/>
  <c r="F344" i="1"/>
  <c r="G345" i="1"/>
  <c r="F345" i="1"/>
  <c r="G346" i="1"/>
  <c r="F346" i="1"/>
  <c r="G347" i="1"/>
  <c r="F347" i="1"/>
  <c r="G348" i="1"/>
  <c r="F348" i="1"/>
  <c r="G349" i="1"/>
  <c r="F349" i="1"/>
  <c r="G350" i="1"/>
  <c r="F350" i="1"/>
  <c r="G351" i="1"/>
  <c r="F351" i="1"/>
  <c r="G352" i="1"/>
  <c r="F352" i="1"/>
  <c r="G353" i="1"/>
  <c r="F353" i="1"/>
  <c r="G354" i="1"/>
  <c r="F354" i="1"/>
  <c r="G355" i="1"/>
  <c r="F355" i="1"/>
  <c r="G356" i="1"/>
  <c r="F356" i="1"/>
  <c r="G357" i="1"/>
  <c r="F357" i="1"/>
  <c r="G358" i="1"/>
  <c r="F358" i="1"/>
  <c r="G359" i="1"/>
  <c r="F359" i="1"/>
  <c r="G360" i="1"/>
  <c r="F360" i="1"/>
  <c r="G361" i="1"/>
  <c r="F361" i="1"/>
  <c r="G362" i="1"/>
  <c r="F362" i="1"/>
  <c r="G363" i="1"/>
  <c r="F363" i="1"/>
  <c r="G364" i="1"/>
  <c r="F364" i="1"/>
  <c r="G365" i="1"/>
  <c r="F365" i="1"/>
  <c r="G366" i="1"/>
  <c r="F366" i="1"/>
  <c r="G367" i="1"/>
  <c r="F367" i="1"/>
  <c r="G368" i="1"/>
  <c r="F368" i="1"/>
  <c r="G369" i="1"/>
  <c r="F369" i="1"/>
  <c r="G370" i="1"/>
  <c r="F370" i="1"/>
  <c r="G371" i="1"/>
  <c r="F371" i="1"/>
  <c r="G372" i="1"/>
  <c r="F372" i="1"/>
  <c r="G373" i="1"/>
  <c r="F373" i="1"/>
  <c r="G374" i="1"/>
  <c r="F374" i="1"/>
  <c r="G375" i="1"/>
  <c r="F375" i="1"/>
  <c r="G376" i="1"/>
  <c r="F376" i="1"/>
  <c r="G377" i="1"/>
  <c r="F377" i="1"/>
  <c r="G378" i="1"/>
  <c r="F378" i="1"/>
  <c r="G379" i="1"/>
  <c r="F379" i="1"/>
  <c r="G380" i="1"/>
  <c r="F380" i="1"/>
  <c r="G381" i="1"/>
  <c r="F381" i="1"/>
  <c r="G382" i="1"/>
  <c r="F382" i="1"/>
  <c r="G383" i="1"/>
  <c r="F383" i="1"/>
  <c r="G384" i="1"/>
  <c r="F384" i="1"/>
  <c r="G385" i="1"/>
  <c r="F385" i="1"/>
  <c r="G386" i="1"/>
  <c r="F386" i="1"/>
  <c r="G387" i="1"/>
  <c r="F387" i="1"/>
  <c r="G388" i="1"/>
  <c r="F388" i="1"/>
  <c r="G389" i="1"/>
  <c r="F389" i="1"/>
  <c r="G390" i="1"/>
  <c r="F390" i="1"/>
  <c r="G391" i="1"/>
  <c r="F391" i="1"/>
  <c r="G392" i="1"/>
  <c r="F392" i="1"/>
  <c r="G393" i="1"/>
  <c r="F393" i="1"/>
  <c r="G569" i="1"/>
  <c r="F569" i="1"/>
  <c r="G570" i="1"/>
  <c r="F570" i="1"/>
  <c r="G571" i="1"/>
  <c r="F571" i="1"/>
  <c r="G572" i="1"/>
  <c r="F572" i="1"/>
  <c r="G573" i="1"/>
  <c r="F573" i="1"/>
  <c r="G574" i="1"/>
  <c r="F574" i="1"/>
  <c r="G575" i="1"/>
  <c r="F575" i="1"/>
  <c r="G576" i="1"/>
  <c r="F576" i="1"/>
  <c r="G577" i="1"/>
  <c r="F577" i="1"/>
  <c r="G578" i="1"/>
  <c r="F578" i="1"/>
  <c r="G579" i="1"/>
  <c r="F579" i="1"/>
  <c r="G580" i="1"/>
  <c r="F580" i="1"/>
  <c r="G581" i="1"/>
  <c r="F581" i="1"/>
  <c r="G582" i="1"/>
  <c r="F582" i="1"/>
  <c r="G583" i="1"/>
  <c r="F583" i="1"/>
  <c r="G584" i="1"/>
  <c r="F584" i="1"/>
  <c r="G585" i="1"/>
  <c r="F585" i="1"/>
  <c r="G586" i="1"/>
  <c r="F586" i="1"/>
  <c r="G587" i="1"/>
  <c r="F587" i="1"/>
  <c r="G588" i="1"/>
  <c r="F588" i="1"/>
  <c r="G589" i="1"/>
  <c r="F589" i="1"/>
  <c r="G590" i="1"/>
  <c r="F590" i="1"/>
  <c r="G591" i="1"/>
  <c r="F591" i="1"/>
  <c r="G592" i="1"/>
  <c r="F592" i="1"/>
  <c r="G593" i="1"/>
  <c r="F593" i="1"/>
  <c r="G594" i="1"/>
  <c r="F594" i="1"/>
  <c r="G595" i="1"/>
  <c r="F595" i="1"/>
  <c r="G596" i="1"/>
  <c r="F596" i="1"/>
  <c r="G597" i="1"/>
  <c r="F597" i="1"/>
  <c r="G598" i="1"/>
  <c r="F598" i="1"/>
  <c r="G599" i="1"/>
  <c r="F599" i="1"/>
  <c r="G600" i="1"/>
  <c r="F600" i="1"/>
  <c r="G601" i="1"/>
  <c r="F601" i="1"/>
  <c r="G602" i="1"/>
  <c r="F602" i="1"/>
  <c r="G603" i="1"/>
  <c r="F603" i="1"/>
  <c r="G604" i="1"/>
  <c r="F604" i="1"/>
  <c r="G605" i="1"/>
  <c r="F605" i="1"/>
  <c r="G606" i="1"/>
  <c r="F606" i="1"/>
  <c r="G607" i="1"/>
  <c r="F607" i="1"/>
  <c r="G608" i="1"/>
  <c r="F608" i="1"/>
  <c r="G609" i="1"/>
  <c r="F609" i="1"/>
  <c r="G610" i="1"/>
  <c r="F610" i="1"/>
  <c r="G611" i="1"/>
  <c r="F611" i="1"/>
  <c r="G612" i="1"/>
  <c r="F612" i="1"/>
  <c r="G613" i="1"/>
  <c r="F613" i="1"/>
  <c r="G614" i="1"/>
  <c r="F614" i="1"/>
  <c r="G615" i="1"/>
  <c r="F615" i="1"/>
  <c r="G616" i="1"/>
  <c r="F616" i="1"/>
  <c r="G617" i="1"/>
  <c r="F617" i="1"/>
  <c r="G618" i="1"/>
  <c r="F618" i="1"/>
  <c r="G619" i="1"/>
  <c r="F619" i="1"/>
  <c r="G620" i="1"/>
  <c r="F620" i="1"/>
  <c r="G621" i="1"/>
  <c r="F621" i="1"/>
  <c r="G622" i="1"/>
  <c r="F622" i="1"/>
  <c r="G623" i="1"/>
  <c r="F623" i="1"/>
  <c r="G624" i="1"/>
  <c r="F624" i="1"/>
  <c r="G625" i="1"/>
  <c r="F625" i="1"/>
  <c r="G626" i="1"/>
  <c r="F626" i="1"/>
  <c r="G627" i="1"/>
  <c r="F627" i="1"/>
  <c r="G628" i="1"/>
  <c r="F628" i="1"/>
  <c r="G629" i="1"/>
  <c r="F629" i="1"/>
  <c r="G630" i="1"/>
  <c r="F630" i="1"/>
  <c r="G631" i="1"/>
  <c r="F631" i="1"/>
  <c r="G632" i="1"/>
  <c r="F632" i="1"/>
  <c r="G633" i="1"/>
  <c r="F633" i="1"/>
  <c r="G634" i="1"/>
  <c r="F634" i="1"/>
  <c r="G635" i="1"/>
  <c r="F635" i="1"/>
  <c r="G636" i="1"/>
  <c r="F636" i="1"/>
  <c r="G637" i="1"/>
  <c r="F637" i="1"/>
  <c r="G638" i="1"/>
  <c r="F638" i="1"/>
  <c r="G639" i="1"/>
  <c r="F639" i="1"/>
  <c r="G640" i="1"/>
  <c r="F640" i="1"/>
  <c r="G641" i="1"/>
  <c r="F641" i="1"/>
  <c r="G642" i="1"/>
  <c r="F642" i="1"/>
  <c r="G643" i="1"/>
  <c r="F643" i="1"/>
  <c r="G644" i="1"/>
  <c r="F644" i="1"/>
  <c r="G645" i="1"/>
  <c r="F645" i="1"/>
  <c r="G646" i="1"/>
  <c r="F646" i="1"/>
  <c r="G647" i="1"/>
  <c r="F647" i="1"/>
  <c r="G648" i="1"/>
  <c r="F648" i="1"/>
  <c r="G649" i="1"/>
  <c r="F649" i="1"/>
  <c r="G650" i="1"/>
  <c r="F650" i="1"/>
  <c r="G651" i="1"/>
  <c r="F651" i="1"/>
  <c r="G652" i="1"/>
  <c r="F652" i="1"/>
  <c r="G653" i="1"/>
  <c r="F653" i="1"/>
  <c r="G654" i="1"/>
  <c r="F654" i="1"/>
  <c r="G655" i="1"/>
  <c r="F655" i="1"/>
  <c r="G656" i="1"/>
  <c r="F656" i="1"/>
  <c r="G657" i="1"/>
  <c r="F657" i="1"/>
  <c r="G658" i="1"/>
  <c r="F658" i="1"/>
  <c r="G659" i="1"/>
  <c r="F659" i="1"/>
  <c r="G660" i="1"/>
  <c r="F660" i="1"/>
  <c r="G661" i="1"/>
  <c r="F661" i="1"/>
  <c r="G662" i="1"/>
  <c r="F662" i="1"/>
  <c r="G663" i="1"/>
  <c r="F663" i="1"/>
  <c r="G664" i="1"/>
  <c r="F664" i="1"/>
  <c r="G665" i="1"/>
  <c r="F665" i="1"/>
  <c r="G666" i="1"/>
  <c r="F666" i="1"/>
  <c r="G667" i="1"/>
  <c r="F667" i="1"/>
  <c r="G668" i="1"/>
  <c r="F668" i="1"/>
  <c r="G669" i="1"/>
  <c r="F669" i="1"/>
  <c r="G670" i="1"/>
  <c r="F670" i="1"/>
  <c r="G671" i="1"/>
  <c r="F671" i="1"/>
  <c r="G672" i="1"/>
  <c r="F672" i="1"/>
  <c r="G673" i="1"/>
  <c r="F673" i="1"/>
  <c r="G674" i="1"/>
  <c r="F674" i="1"/>
  <c r="G675" i="1"/>
  <c r="F675" i="1"/>
  <c r="G676" i="1"/>
  <c r="F676" i="1"/>
  <c r="G677" i="1"/>
  <c r="F677" i="1"/>
  <c r="G678" i="1"/>
  <c r="F678" i="1"/>
  <c r="G679" i="1"/>
  <c r="F679" i="1"/>
  <c r="G680" i="1"/>
  <c r="F680" i="1"/>
  <c r="G681" i="1"/>
  <c r="F681" i="1"/>
  <c r="G682" i="1"/>
  <c r="F682" i="1"/>
  <c r="G683" i="1"/>
  <c r="F683" i="1"/>
  <c r="G684" i="1"/>
  <c r="F684" i="1"/>
  <c r="G685" i="1"/>
  <c r="F685" i="1"/>
  <c r="G696" i="1"/>
  <c r="F696" i="1"/>
  <c r="G697" i="1"/>
  <c r="F697" i="1"/>
  <c r="G698" i="1"/>
  <c r="F698" i="1"/>
  <c r="G699" i="1"/>
  <c r="F699" i="1"/>
  <c r="G700" i="1"/>
  <c r="F700" i="1"/>
  <c r="G701" i="1"/>
  <c r="F701" i="1"/>
  <c r="G702" i="1"/>
  <c r="F702" i="1"/>
  <c r="G703" i="1"/>
  <c r="F703" i="1"/>
  <c r="G704" i="1"/>
  <c r="F704" i="1"/>
  <c r="G705" i="1"/>
  <c r="F705" i="1"/>
  <c r="G706" i="1"/>
  <c r="F706" i="1"/>
  <c r="G707" i="1"/>
  <c r="F707" i="1"/>
  <c r="G708" i="1"/>
  <c r="F708" i="1"/>
  <c r="G709" i="1"/>
  <c r="F709" i="1"/>
  <c r="G710" i="1"/>
  <c r="F710" i="1"/>
  <c r="G711" i="1"/>
  <c r="F711" i="1"/>
  <c r="G712" i="1"/>
  <c r="F712" i="1"/>
  <c r="G713" i="1"/>
  <c r="F713" i="1"/>
  <c r="G714" i="1"/>
  <c r="F714" i="1"/>
  <c r="G715" i="1"/>
  <c r="F715" i="1"/>
  <c r="G716" i="1"/>
  <c r="F716" i="1"/>
  <c r="G717" i="1"/>
  <c r="F717" i="1"/>
  <c r="G718" i="1"/>
  <c r="F718" i="1"/>
  <c r="G719" i="1"/>
  <c r="F719" i="1"/>
  <c r="G720" i="1"/>
  <c r="F720" i="1"/>
  <c r="G721" i="1"/>
  <c r="F721" i="1"/>
  <c r="G722" i="1"/>
  <c r="F722" i="1"/>
  <c r="G723" i="1"/>
  <c r="F723" i="1"/>
  <c r="G724" i="1"/>
  <c r="F724" i="1"/>
  <c r="G725" i="1"/>
  <c r="F725" i="1"/>
  <c r="G726" i="1"/>
  <c r="F726" i="1"/>
  <c r="G727" i="1"/>
  <c r="F727" i="1"/>
  <c r="G728" i="1"/>
  <c r="F728" i="1"/>
  <c r="G729" i="1"/>
  <c r="F729" i="1"/>
  <c r="G730" i="1"/>
  <c r="F730" i="1"/>
  <c r="G731" i="1"/>
  <c r="F731" i="1"/>
  <c r="G732" i="1"/>
  <c r="F732" i="1"/>
  <c r="G733" i="1"/>
  <c r="F733" i="1"/>
  <c r="G734" i="1"/>
  <c r="F734" i="1"/>
  <c r="G735" i="1"/>
  <c r="F735" i="1"/>
  <c r="G736" i="1"/>
  <c r="F736" i="1"/>
  <c r="G737" i="1"/>
  <c r="F737" i="1"/>
  <c r="G738" i="1"/>
  <c r="F738" i="1"/>
  <c r="G739" i="1"/>
  <c r="F739" i="1"/>
  <c r="G740" i="1"/>
  <c r="F740" i="1"/>
  <c r="G741" i="1"/>
  <c r="F741" i="1"/>
  <c r="G742" i="1"/>
  <c r="F742" i="1"/>
  <c r="G743" i="1"/>
  <c r="F743" i="1"/>
  <c r="G744" i="1"/>
  <c r="F744" i="1"/>
  <c r="G745" i="1"/>
  <c r="F745" i="1"/>
  <c r="G746" i="1"/>
  <c r="F746" i="1"/>
  <c r="G747" i="1"/>
  <c r="F747" i="1"/>
  <c r="G748" i="1"/>
  <c r="F748" i="1"/>
  <c r="G749" i="1"/>
  <c r="F749" i="1"/>
  <c r="G750" i="1"/>
  <c r="F750" i="1"/>
  <c r="G751" i="1"/>
  <c r="F751" i="1"/>
  <c r="G752" i="1"/>
  <c r="F752" i="1"/>
  <c r="G753" i="1"/>
  <c r="F753" i="1"/>
  <c r="G754" i="1"/>
  <c r="F754" i="1"/>
  <c r="G755" i="1"/>
  <c r="F755" i="1"/>
  <c r="G756" i="1"/>
  <c r="F756" i="1"/>
  <c r="G757" i="1"/>
  <c r="F757" i="1"/>
  <c r="G758" i="1"/>
  <c r="F758" i="1"/>
  <c r="G759" i="1"/>
  <c r="F759" i="1"/>
  <c r="G760" i="1"/>
  <c r="F760" i="1"/>
  <c r="G761" i="1"/>
  <c r="F761" i="1"/>
  <c r="G762" i="1"/>
  <c r="F762" i="1"/>
  <c r="G763" i="1"/>
  <c r="F763" i="1"/>
  <c r="G764" i="1"/>
  <c r="F764" i="1"/>
  <c r="G765" i="1"/>
  <c r="F765" i="1"/>
  <c r="G766" i="1"/>
  <c r="F766" i="1"/>
  <c r="G767" i="1"/>
  <c r="F767" i="1"/>
  <c r="G768" i="1"/>
  <c r="F768" i="1"/>
  <c r="G769" i="1"/>
  <c r="F769" i="1"/>
  <c r="G770" i="1"/>
  <c r="F770" i="1"/>
  <c r="G771" i="1"/>
  <c r="F771" i="1"/>
  <c r="G772" i="1"/>
  <c r="F772" i="1"/>
  <c r="G773" i="1"/>
  <c r="F773" i="1"/>
  <c r="G774" i="1"/>
  <c r="F774" i="1"/>
  <c r="G775" i="1"/>
  <c r="F775" i="1"/>
  <c r="G776" i="1"/>
  <c r="F776" i="1"/>
  <c r="G777" i="1"/>
  <c r="F777" i="1"/>
  <c r="G778" i="1"/>
  <c r="F778" i="1"/>
  <c r="G779" i="1"/>
  <c r="F779" i="1"/>
  <c r="G780" i="1"/>
  <c r="F780" i="1"/>
  <c r="G781" i="1"/>
  <c r="F781" i="1"/>
  <c r="G782" i="1"/>
  <c r="F782" i="1"/>
  <c r="G783" i="1"/>
  <c r="F783" i="1"/>
  <c r="G784" i="1"/>
  <c r="F784" i="1"/>
  <c r="G785" i="1"/>
  <c r="F785" i="1"/>
  <c r="G786" i="1"/>
  <c r="F786" i="1"/>
  <c r="G787" i="1"/>
  <c r="F787" i="1"/>
  <c r="G788" i="1"/>
  <c r="F788" i="1"/>
  <c r="G789" i="1"/>
  <c r="F789" i="1"/>
  <c r="G790" i="1"/>
  <c r="F790" i="1"/>
  <c r="G791" i="1"/>
  <c r="F791" i="1"/>
  <c r="G792" i="1"/>
  <c r="F792" i="1"/>
  <c r="G793" i="1"/>
  <c r="F793" i="1"/>
  <c r="G794" i="1"/>
  <c r="F794" i="1"/>
  <c r="G795" i="1"/>
  <c r="F795" i="1"/>
  <c r="G796" i="1"/>
  <c r="F796" i="1"/>
  <c r="G797" i="1"/>
  <c r="F797" i="1"/>
  <c r="G798" i="1"/>
  <c r="F798" i="1"/>
  <c r="G799" i="1"/>
  <c r="F799" i="1"/>
  <c r="G800" i="1"/>
  <c r="F800" i="1"/>
  <c r="G801" i="1"/>
  <c r="F801" i="1"/>
  <c r="G802" i="1"/>
  <c r="F802" i="1"/>
  <c r="G803" i="1"/>
  <c r="F803" i="1"/>
  <c r="G804" i="1"/>
  <c r="F804" i="1"/>
  <c r="G805" i="1"/>
  <c r="F805" i="1"/>
  <c r="G806" i="1"/>
  <c r="F806" i="1"/>
  <c r="G807" i="1"/>
  <c r="F807" i="1"/>
  <c r="G808" i="1"/>
  <c r="F808" i="1"/>
  <c r="G809" i="1"/>
  <c r="F809" i="1"/>
  <c r="G810" i="1"/>
  <c r="F810" i="1"/>
  <c r="G811" i="1"/>
  <c r="F811" i="1"/>
  <c r="G812" i="1"/>
  <c r="F812" i="1"/>
  <c r="G813" i="1"/>
  <c r="F813" i="1"/>
  <c r="G814" i="1"/>
  <c r="F814" i="1"/>
  <c r="G815" i="1"/>
  <c r="F815" i="1"/>
  <c r="G816" i="1"/>
  <c r="F816" i="1"/>
  <c r="G817" i="1"/>
  <c r="F817" i="1"/>
  <c r="G818" i="1"/>
  <c r="F818" i="1"/>
  <c r="G819" i="1"/>
  <c r="F819" i="1"/>
  <c r="G820" i="1"/>
  <c r="F820" i="1"/>
  <c r="G821" i="1"/>
  <c r="F821" i="1"/>
  <c r="G822" i="1"/>
  <c r="F822" i="1"/>
  <c r="G823" i="1"/>
  <c r="F823" i="1"/>
  <c r="G824" i="1"/>
  <c r="F824" i="1"/>
  <c r="G825" i="1"/>
  <c r="F825" i="1"/>
  <c r="G826" i="1"/>
  <c r="F826" i="1"/>
  <c r="G827" i="1"/>
  <c r="F827" i="1"/>
  <c r="G828" i="1"/>
  <c r="F828" i="1"/>
  <c r="G829" i="1"/>
  <c r="F829" i="1"/>
  <c r="G830" i="1"/>
  <c r="F830" i="1"/>
  <c r="G831" i="1"/>
  <c r="F831" i="1"/>
  <c r="G832" i="1"/>
  <c r="F832" i="1"/>
  <c r="G833" i="1"/>
  <c r="F833" i="1"/>
  <c r="G834" i="1"/>
  <c r="F834" i="1"/>
  <c r="G835" i="1"/>
  <c r="F835" i="1"/>
  <c r="G836" i="1"/>
  <c r="F836" i="1"/>
  <c r="G837" i="1"/>
  <c r="F837" i="1"/>
  <c r="G838" i="1"/>
  <c r="F838" i="1"/>
  <c r="G839" i="1"/>
  <c r="F839" i="1"/>
  <c r="G840" i="1"/>
  <c r="F840" i="1"/>
  <c r="G841" i="1"/>
  <c r="F841" i="1"/>
  <c r="G842" i="1"/>
  <c r="F842" i="1"/>
  <c r="G843" i="1"/>
  <c r="F843" i="1"/>
  <c r="G844" i="1"/>
  <c r="F844" i="1"/>
  <c r="G845" i="1"/>
  <c r="F845" i="1"/>
  <c r="G846" i="1"/>
  <c r="F846" i="1"/>
  <c r="G847" i="1"/>
  <c r="F847" i="1"/>
  <c r="G848" i="1"/>
  <c r="F848" i="1"/>
  <c r="G849" i="1"/>
  <c r="F849" i="1"/>
  <c r="G850" i="1"/>
  <c r="F850" i="1"/>
  <c r="G851" i="1"/>
  <c r="F851" i="1"/>
  <c r="G852" i="1"/>
  <c r="F852" i="1"/>
  <c r="G853" i="1"/>
  <c r="F853" i="1"/>
  <c r="G854" i="1"/>
  <c r="F854" i="1"/>
  <c r="G855" i="1"/>
  <c r="F855" i="1"/>
  <c r="G856" i="1"/>
  <c r="F856" i="1"/>
  <c r="G857" i="1"/>
  <c r="F857" i="1"/>
  <c r="G858" i="1"/>
  <c r="F858" i="1"/>
  <c r="G859" i="1"/>
  <c r="F859" i="1"/>
  <c r="G860" i="1"/>
  <c r="F860" i="1"/>
  <c r="G861" i="1"/>
  <c r="F861" i="1"/>
  <c r="G862" i="1"/>
  <c r="F862" i="1"/>
  <c r="G863" i="1"/>
  <c r="F863" i="1"/>
  <c r="G864" i="1"/>
  <c r="F864" i="1"/>
  <c r="G865" i="1"/>
  <c r="F865" i="1"/>
  <c r="G866" i="1"/>
  <c r="F866" i="1"/>
  <c r="G867" i="1"/>
  <c r="F867" i="1"/>
  <c r="G868" i="1"/>
  <c r="F868" i="1"/>
  <c r="G869" i="1"/>
  <c r="F869" i="1"/>
  <c r="G870" i="1"/>
  <c r="F870" i="1"/>
  <c r="G871" i="1"/>
  <c r="F871" i="1"/>
  <c r="G872" i="1"/>
  <c r="F872" i="1"/>
  <c r="G873" i="1"/>
  <c r="F873" i="1"/>
  <c r="G874" i="1"/>
  <c r="F874" i="1"/>
  <c r="G875" i="1"/>
  <c r="F875" i="1"/>
  <c r="G876" i="1"/>
  <c r="F876" i="1"/>
  <c r="G877" i="1"/>
  <c r="F877" i="1"/>
  <c r="G878" i="1"/>
  <c r="F878" i="1"/>
  <c r="G879" i="1"/>
  <c r="F879" i="1"/>
  <c r="G880" i="1"/>
  <c r="F880" i="1"/>
  <c r="G881" i="1"/>
  <c r="F881" i="1"/>
  <c r="G882" i="1"/>
  <c r="F882" i="1"/>
  <c r="G883" i="1"/>
  <c r="F883" i="1"/>
  <c r="G884" i="1"/>
  <c r="F884" i="1"/>
  <c r="G885" i="1"/>
  <c r="F885" i="1"/>
  <c r="G886" i="1"/>
  <c r="F886" i="1"/>
  <c r="G887" i="1"/>
  <c r="F887" i="1"/>
  <c r="G888" i="1"/>
  <c r="F888" i="1"/>
  <c r="G889" i="1"/>
  <c r="F889" i="1"/>
  <c r="G890" i="1"/>
  <c r="F890" i="1"/>
  <c r="G891" i="1"/>
  <c r="F891" i="1"/>
  <c r="G892" i="1"/>
  <c r="F892" i="1"/>
  <c r="G893" i="1"/>
  <c r="F893" i="1"/>
  <c r="G894" i="1"/>
  <c r="F894" i="1"/>
  <c r="G895" i="1"/>
  <c r="F895" i="1"/>
  <c r="G896" i="1"/>
  <c r="F896" i="1"/>
  <c r="G897" i="1"/>
  <c r="F897" i="1"/>
  <c r="G898" i="1"/>
  <c r="F898" i="1"/>
  <c r="G899" i="1"/>
  <c r="F899" i="1"/>
  <c r="G900" i="1"/>
  <c r="F900" i="1"/>
  <c r="G901" i="1"/>
  <c r="F901" i="1"/>
  <c r="G902" i="1"/>
  <c r="F902" i="1"/>
  <c r="G903" i="1"/>
  <c r="F903" i="1"/>
  <c r="G904" i="1"/>
  <c r="F904" i="1"/>
  <c r="G905" i="1"/>
  <c r="F905" i="1"/>
  <c r="G906" i="1"/>
  <c r="F906" i="1"/>
  <c r="G907" i="1"/>
  <c r="F907" i="1"/>
  <c r="G908" i="1"/>
  <c r="F908" i="1"/>
  <c r="G909" i="1"/>
  <c r="F909" i="1"/>
  <c r="G910" i="1"/>
  <c r="F910" i="1"/>
  <c r="G911" i="1"/>
  <c r="F911" i="1"/>
  <c r="G912" i="1"/>
  <c r="F912" i="1"/>
  <c r="G913" i="1"/>
  <c r="F913" i="1"/>
  <c r="G914" i="1"/>
  <c r="F914" i="1"/>
  <c r="G915" i="1"/>
  <c r="F915" i="1"/>
  <c r="G916" i="1"/>
  <c r="F916" i="1"/>
  <c r="G917" i="1"/>
  <c r="F917" i="1"/>
  <c r="G918" i="1"/>
  <c r="F918" i="1"/>
  <c r="G919" i="1"/>
  <c r="F919" i="1"/>
  <c r="G920" i="1"/>
  <c r="F920" i="1"/>
  <c r="G921" i="1"/>
  <c r="F921" i="1"/>
  <c r="G922" i="1"/>
  <c r="F922" i="1"/>
  <c r="G923" i="1"/>
  <c r="F923" i="1"/>
  <c r="G924" i="1"/>
  <c r="F924" i="1"/>
  <c r="G925" i="1"/>
  <c r="F925" i="1"/>
  <c r="G926" i="1"/>
  <c r="F926" i="1"/>
  <c r="G927" i="1"/>
  <c r="F927" i="1"/>
  <c r="G928" i="1"/>
  <c r="F928" i="1"/>
  <c r="G929" i="1"/>
  <c r="F929" i="1"/>
  <c r="G930" i="1"/>
  <c r="F930" i="1"/>
  <c r="G931" i="1"/>
  <c r="F931" i="1"/>
  <c r="G932" i="1"/>
  <c r="F932" i="1"/>
  <c r="G933" i="1"/>
  <c r="F933" i="1"/>
  <c r="G934" i="1"/>
  <c r="F934" i="1"/>
  <c r="G935" i="1"/>
  <c r="F935" i="1"/>
  <c r="G947" i="1"/>
  <c r="F947" i="1"/>
  <c r="G948" i="1"/>
  <c r="F948" i="1"/>
  <c r="G949" i="1"/>
  <c r="F949" i="1"/>
  <c r="G950" i="1"/>
  <c r="F950" i="1"/>
  <c r="G951" i="1"/>
  <c r="F951" i="1"/>
  <c r="G952" i="1"/>
  <c r="F952" i="1"/>
  <c r="G953" i="1"/>
  <c r="F953" i="1"/>
  <c r="G954" i="1"/>
  <c r="F954" i="1"/>
  <c r="G955" i="1"/>
  <c r="F955" i="1"/>
  <c r="G956" i="1"/>
  <c r="F956" i="1"/>
  <c r="G957" i="1"/>
  <c r="F957" i="1"/>
  <c r="G958" i="1"/>
  <c r="F958" i="1"/>
  <c r="G959" i="1"/>
  <c r="F959" i="1"/>
  <c r="G960" i="1"/>
  <c r="F960" i="1"/>
  <c r="G961" i="1"/>
  <c r="F961" i="1"/>
  <c r="G962" i="1"/>
  <c r="F962" i="1"/>
  <c r="G963" i="1"/>
  <c r="F963" i="1"/>
  <c r="G964" i="1"/>
  <c r="F964" i="1"/>
  <c r="G965" i="1"/>
  <c r="F965" i="1"/>
  <c r="G966" i="1"/>
  <c r="F966" i="1"/>
  <c r="G967" i="1"/>
  <c r="F967" i="1"/>
  <c r="G968" i="1"/>
  <c r="F968" i="1"/>
  <c r="G969" i="1"/>
  <c r="F969" i="1"/>
  <c r="G970" i="1"/>
  <c r="F970" i="1"/>
  <c r="G971" i="1"/>
  <c r="F971" i="1"/>
  <c r="G972" i="1"/>
  <c r="F972" i="1"/>
  <c r="G973" i="1"/>
  <c r="F973" i="1"/>
  <c r="G974" i="1"/>
  <c r="F974" i="1"/>
  <c r="G975" i="1"/>
  <c r="F975" i="1"/>
  <c r="G976" i="1"/>
  <c r="F976" i="1"/>
  <c r="G977" i="1"/>
  <c r="F977" i="1"/>
  <c r="G978" i="1"/>
  <c r="F978" i="1"/>
  <c r="G979" i="1"/>
  <c r="F979" i="1"/>
  <c r="G980" i="1"/>
  <c r="F980" i="1"/>
  <c r="G981" i="1"/>
  <c r="F981" i="1"/>
  <c r="G982" i="1"/>
  <c r="F982" i="1"/>
  <c r="G983" i="1"/>
  <c r="F983" i="1"/>
  <c r="G984" i="1"/>
  <c r="F984" i="1"/>
  <c r="G985" i="1"/>
  <c r="F985" i="1"/>
  <c r="G986" i="1"/>
  <c r="F986" i="1"/>
  <c r="G987" i="1"/>
  <c r="F987" i="1"/>
  <c r="G988" i="1"/>
  <c r="F988" i="1"/>
  <c r="G989" i="1"/>
  <c r="F989" i="1"/>
  <c r="G990" i="1"/>
  <c r="F990" i="1"/>
  <c r="G991" i="1"/>
  <c r="F991" i="1"/>
  <c r="G992" i="1"/>
  <c r="F992" i="1"/>
  <c r="G78" i="1"/>
  <c r="F78" i="1"/>
  <c r="G79" i="1"/>
  <c r="F79" i="1"/>
  <c r="G80" i="1"/>
  <c r="F80" i="1"/>
  <c r="G81" i="1"/>
  <c r="F81" i="1"/>
  <c r="G82" i="1"/>
  <c r="F82" i="1"/>
  <c r="G83" i="1"/>
  <c r="F83" i="1"/>
  <c r="G84" i="1"/>
  <c r="F84" i="1"/>
  <c r="G85" i="1"/>
  <c r="F85" i="1"/>
  <c r="G86" i="1"/>
  <c r="F86" i="1"/>
  <c r="G87" i="1"/>
  <c r="F87" i="1"/>
  <c r="G88" i="1"/>
  <c r="F88" i="1"/>
  <c r="G89" i="1"/>
  <c r="F89" i="1"/>
  <c r="G90" i="1"/>
  <c r="F90" i="1"/>
  <c r="G91" i="1"/>
  <c r="F91" i="1"/>
  <c r="G92" i="1"/>
  <c r="F92" i="1"/>
  <c r="G93" i="1"/>
  <c r="F93" i="1"/>
  <c r="G94" i="1"/>
  <c r="F94" i="1"/>
  <c r="G95" i="1"/>
  <c r="F95" i="1"/>
  <c r="G96" i="1"/>
  <c r="F96" i="1"/>
  <c r="G97" i="1"/>
  <c r="F97" i="1"/>
  <c r="G98" i="1"/>
  <c r="F98" i="1"/>
  <c r="G99" i="1"/>
  <c r="F99" i="1"/>
  <c r="G100" i="1"/>
  <c r="F100" i="1"/>
  <c r="G101" i="1"/>
  <c r="F101" i="1"/>
  <c r="G102" i="1"/>
  <c r="F102" i="1"/>
  <c r="G103" i="1"/>
  <c r="F103" i="1"/>
  <c r="G104" i="1"/>
  <c r="F104" i="1"/>
  <c r="G105" i="1"/>
  <c r="F105" i="1"/>
  <c r="G106" i="1"/>
  <c r="F106" i="1"/>
  <c r="G107" i="1"/>
  <c r="F107" i="1"/>
  <c r="G108" i="1"/>
  <c r="F108" i="1"/>
  <c r="G109" i="1"/>
  <c r="F109" i="1"/>
  <c r="G110" i="1"/>
  <c r="F110" i="1"/>
  <c r="G111" i="1"/>
  <c r="F111" i="1"/>
  <c r="G112" i="1"/>
  <c r="F112" i="1"/>
  <c r="G113" i="1"/>
  <c r="F113" i="1"/>
  <c r="G114" i="1"/>
  <c r="F114" i="1"/>
  <c r="G115" i="1"/>
  <c r="F115" i="1"/>
  <c r="G116" i="1"/>
  <c r="F116" i="1"/>
  <c r="G117" i="1"/>
  <c r="F117" i="1"/>
  <c r="G118" i="1"/>
  <c r="F118" i="1"/>
  <c r="G119" i="1"/>
  <c r="F119" i="1"/>
  <c r="G120" i="1"/>
  <c r="F120" i="1"/>
  <c r="G121" i="1"/>
  <c r="F121" i="1"/>
  <c r="G122" i="1"/>
  <c r="F122" i="1"/>
  <c r="G123" i="1"/>
  <c r="F123" i="1"/>
  <c r="G124" i="1"/>
  <c r="F124" i="1"/>
  <c r="G125" i="1"/>
  <c r="F125" i="1"/>
  <c r="G126" i="1"/>
  <c r="F126" i="1"/>
  <c r="G127" i="1"/>
  <c r="F127" i="1"/>
  <c r="G128" i="1"/>
  <c r="F128" i="1"/>
  <c r="G129" i="1"/>
  <c r="F129" i="1"/>
  <c r="G130" i="1"/>
  <c r="F130" i="1"/>
  <c r="G131" i="1"/>
  <c r="F131" i="1"/>
  <c r="G132" i="1"/>
  <c r="F132" i="1"/>
  <c r="G133" i="1"/>
  <c r="F133" i="1"/>
  <c r="G134" i="1"/>
  <c r="F134" i="1"/>
  <c r="G135" i="1"/>
  <c r="F135" i="1"/>
  <c r="G136" i="1"/>
  <c r="F136" i="1"/>
  <c r="G137" i="1"/>
  <c r="F137" i="1"/>
  <c r="G138" i="1"/>
  <c r="F138" i="1"/>
  <c r="G139" i="1"/>
  <c r="F139" i="1"/>
  <c r="G140" i="1"/>
  <c r="F140" i="1"/>
  <c r="G141" i="1"/>
  <c r="F141" i="1"/>
  <c r="G142" i="1"/>
  <c r="F142" i="1"/>
  <c r="G143" i="1"/>
  <c r="F143" i="1"/>
  <c r="G144" i="1"/>
  <c r="F144" i="1"/>
  <c r="G145" i="1"/>
  <c r="F145" i="1"/>
  <c r="G146" i="1"/>
  <c r="F146" i="1"/>
  <c r="G147" i="1"/>
  <c r="F147" i="1"/>
  <c r="G148" i="1"/>
  <c r="F148" i="1"/>
  <c r="G149" i="1"/>
  <c r="F149" i="1"/>
  <c r="G150" i="1"/>
  <c r="F150" i="1"/>
  <c r="G151" i="1"/>
  <c r="F151" i="1"/>
  <c r="G152" i="1"/>
  <c r="F152" i="1"/>
  <c r="G153" i="1"/>
  <c r="F153" i="1"/>
  <c r="G154" i="1"/>
  <c r="F154" i="1"/>
  <c r="G155" i="1"/>
  <c r="F155" i="1"/>
  <c r="G156" i="1"/>
  <c r="F156" i="1"/>
  <c r="G157" i="1"/>
  <c r="F157" i="1"/>
  <c r="G158" i="1"/>
  <c r="F158" i="1"/>
  <c r="G159" i="1"/>
  <c r="F159" i="1"/>
  <c r="G160" i="1"/>
  <c r="F160" i="1"/>
  <c r="G161" i="1"/>
  <c r="F161" i="1"/>
  <c r="G162" i="1"/>
  <c r="F162" i="1"/>
  <c r="G163" i="1"/>
  <c r="F163" i="1"/>
  <c r="G164" i="1"/>
  <c r="F164" i="1"/>
  <c r="G165" i="1"/>
  <c r="F165" i="1"/>
  <c r="G166" i="1"/>
  <c r="F166" i="1"/>
  <c r="G167" i="1"/>
  <c r="F167" i="1"/>
  <c r="G168" i="1"/>
  <c r="F168" i="1"/>
  <c r="G169" i="1"/>
  <c r="F169" i="1"/>
  <c r="G170" i="1"/>
  <c r="F170" i="1"/>
  <c r="G171" i="1"/>
  <c r="F171" i="1"/>
  <c r="G172" i="1"/>
  <c r="F172" i="1"/>
  <c r="G173" i="1"/>
  <c r="F173" i="1"/>
  <c r="G174" i="1"/>
  <c r="F174" i="1"/>
  <c r="G175" i="1"/>
  <c r="F175" i="1"/>
  <c r="G176" i="1"/>
  <c r="F176" i="1"/>
  <c r="G177" i="1"/>
  <c r="F177" i="1"/>
  <c r="G178" i="1"/>
  <c r="F178" i="1"/>
  <c r="G179" i="1"/>
  <c r="F179" i="1"/>
  <c r="G180" i="1"/>
  <c r="F180" i="1"/>
  <c r="G181" i="1"/>
  <c r="F181" i="1"/>
  <c r="G182" i="1"/>
  <c r="F182" i="1"/>
  <c r="G183" i="1"/>
  <c r="F183" i="1"/>
  <c r="G184" i="1"/>
  <c r="F184" i="1"/>
  <c r="G185" i="1"/>
  <c r="F185" i="1"/>
  <c r="G186" i="1"/>
  <c r="F186" i="1"/>
  <c r="G187" i="1"/>
  <c r="F187" i="1"/>
  <c r="G188" i="1"/>
  <c r="F188" i="1"/>
  <c r="G189" i="1"/>
  <c r="F189" i="1"/>
  <c r="G190" i="1"/>
  <c r="F190" i="1"/>
  <c r="G191" i="1"/>
  <c r="F191" i="1"/>
  <c r="G192" i="1"/>
  <c r="F192" i="1"/>
  <c r="G193" i="1"/>
  <c r="F193" i="1"/>
  <c r="G194" i="1"/>
  <c r="F194" i="1"/>
  <c r="G195" i="1"/>
  <c r="F195" i="1"/>
  <c r="G196" i="1"/>
  <c r="F196" i="1"/>
  <c r="G197" i="1"/>
  <c r="F197" i="1"/>
  <c r="G198" i="1"/>
  <c r="F198" i="1"/>
  <c r="G199" i="1"/>
  <c r="F199" i="1"/>
  <c r="G200" i="1"/>
  <c r="F200" i="1"/>
  <c r="G201" i="1"/>
  <c r="F201" i="1"/>
  <c r="G202" i="1"/>
  <c r="F202" i="1"/>
  <c r="G203" i="1"/>
  <c r="F203" i="1"/>
  <c r="G204" i="1"/>
  <c r="F204" i="1"/>
  <c r="G205" i="1"/>
  <c r="F205" i="1"/>
  <c r="G206" i="1"/>
  <c r="F206" i="1"/>
  <c r="G207" i="1"/>
  <c r="F207" i="1"/>
  <c r="G208" i="1"/>
  <c r="F208" i="1"/>
  <c r="G209" i="1"/>
  <c r="F209" i="1"/>
  <c r="G210" i="1"/>
  <c r="F210" i="1"/>
  <c r="G211" i="1"/>
  <c r="F211" i="1"/>
  <c r="G212" i="1"/>
  <c r="F212" i="1"/>
  <c r="G213" i="1"/>
  <c r="F213" i="1"/>
  <c r="G214" i="1"/>
  <c r="F214" i="1"/>
  <c r="G215" i="1"/>
  <c r="F215" i="1"/>
  <c r="G216" i="1"/>
  <c r="F216" i="1"/>
  <c r="G217" i="1"/>
  <c r="F217" i="1"/>
  <c r="G218" i="1"/>
  <c r="F218" i="1"/>
  <c r="G219" i="1"/>
  <c r="F219" i="1"/>
  <c r="G220" i="1"/>
  <c r="F220" i="1"/>
  <c r="G221" i="1"/>
  <c r="F221" i="1"/>
  <c r="G222" i="1"/>
  <c r="F222" i="1"/>
  <c r="G223" i="1"/>
  <c r="F223" i="1"/>
  <c r="G224" i="1"/>
  <c r="F224" i="1"/>
  <c r="G225" i="1"/>
  <c r="F225" i="1"/>
  <c r="G226" i="1"/>
  <c r="F226" i="1"/>
  <c r="G227" i="1"/>
  <c r="F227" i="1"/>
  <c r="G228" i="1"/>
  <c r="F228" i="1"/>
  <c r="G229" i="1"/>
  <c r="F229" i="1"/>
  <c r="G230" i="1"/>
  <c r="F230" i="1"/>
  <c r="G231" i="1"/>
  <c r="F231" i="1"/>
  <c r="G232" i="1"/>
  <c r="F232" i="1"/>
  <c r="G233" i="1"/>
  <c r="F233" i="1"/>
  <c r="G234" i="1"/>
  <c r="F234" i="1"/>
  <c r="G235" i="1"/>
  <c r="F235" i="1"/>
  <c r="G236" i="1"/>
  <c r="F236" i="1"/>
  <c r="G237" i="1"/>
  <c r="F237" i="1"/>
  <c r="G238" i="1"/>
  <c r="F238" i="1"/>
  <c r="G239" i="1"/>
  <c r="F239" i="1"/>
  <c r="G240" i="1"/>
  <c r="F240" i="1"/>
  <c r="G241" i="1"/>
  <c r="F241" i="1"/>
  <c r="G242" i="1"/>
  <c r="F242" i="1"/>
  <c r="G243" i="1"/>
  <c r="F243" i="1"/>
  <c r="G244" i="1"/>
  <c r="F244" i="1"/>
  <c r="G245" i="1"/>
  <c r="F245" i="1"/>
  <c r="G246" i="1"/>
  <c r="F246" i="1"/>
  <c r="G247" i="1"/>
  <c r="F247" i="1"/>
  <c r="G248" i="1"/>
  <c r="F248" i="1"/>
  <c r="G249" i="1"/>
  <c r="F249" i="1"/>
  <c r="G250" i="1"/>
  <c r="F250" i="1"/>
  <c r="G251" i="1"/>
  <c r="F251" i="1"/>
  <c r="G252" i="1"/>
  <c r="F252" i="1"/>
  <c r="G253" i="1"/>
  <c r="F253" i="1"/>
  <c r="G254" i="1"/>
  <c r="F254" i="1"/>
  <c r="G255" i="1"/>
  <c r="F255" i="1"/>
  <c r="G256" i="1"/>
  <c r="F256" i="1"/>
  <c r="G257" i="1"/>
  <c r="F257" i="1"/>
  <c r="G258" i="1"/>
  <c r="F258" i="1"/>
  <c r="G259" i="1"/>
  <c r="F259" i="1"/>
  <c r="G260" i="1"/>
  <c r="F260" i="1"/>
  <c r="G261" i="1"/>
  <c r="F261" i="1"/>
  <c r="G262" i="1"/>
  <c r="F262" i="1"/>
  <c r="G263" i="1"/>
  <c r="F263" i="1"/>
  <c r="G264" i="1"/>
  <c r="F264" i="1"/>
  <c r="G265" i="1"/>
  <c r="F265" i="1"/>
  <c r="G266" i="1"/>
  <c r="F266" i="1"/>
  <c r="G267" i="1"/>
  <c r="F267" i="1"/>
  <c r="G268" i="1"/>
  <c r="F268" i="1"/>
  <c r="G269" i="1"/>
  <c r="F269" i="1"/>
  <c r="G270" i="1"/>
  <c r="F270" i="1"/>
  <c r="G271" i="1"/>
  <c r="F271" i="1"/>
  <c r="G272" i="1"/>
  <c r="F272" i="1"/>
  <c r="G273" i="1"/>
  <c r="F273" i="1"/>
  <c r="G274" i="1"/>
  <c r="F274" i="1"/>
  <c r="G275" i="1"/>
  <c r="F275" i="1"/>
  <c r="G276" i="1"/>
  <c r="F276" i="1"/>
  <c r="G277" i="1"/>
  <c r="F277" i="1"/>
  <c r="G278" i="1"/>
  <c r="F278" i="1"/>
  <c r="G279" i="1"/>
  <c r="F279" i="1"/>
  <c r="G280" i="1"/>
  <c r="F280" i="1"/>
  <c r="G281" i="1"/>
  <c r="F281" i="1"/>
  <c r="G282" i="1"/>
  <c r="F282" i="1"/>
  <c r="G283" i="1"/>
  <c r="F283" i="1"/>
  <c r="G284" i="1"/>
  <c r="F284" i="1"/>
  <c r="G394" i="1"/>
  <c r="F394" i="1"/>
  <c r="G395" i="1"/>
  <c r="F395" i="1"/>
  <c r="G396" i="1"/>
  <c r="F396" i="1"/>
  <c r="G397" i="1"/>
  <c r="F397" i="1"/>
  <c r="G398" i="1"/>
  <c r="F398" i="1"/>
  <c r="G399" i="1"/>
  <c r="F399" i="1"/>
  <c r="G400" i="1"/>
  <c r="F400" i="1"/>
  <c r="G401" i="1"/>
  <c r="F401" i="1"/>
  <c r="G402" i="1"/>
  <c r="F402" i="1"/>
  <c r="G403" i="1"/>
  <c r="F403" i="1"/>
  <c r="G404" i="1"/>
  <c r="F404" i="1"/>
  <c r="G405" i="1"/>
  <c r="F405" i="1"/>
  <c r="G406" i="1"/>
  <c r="F406" i="1"/>
  <c r="G407" i="1"/>
  <c r="F407" i="1"/>
  <c r="G408" i="1"/>
  <c r="F408" i="1"/>
  <c r="G409" i="1"/>
  <c r="F409" i="1"/>
  <c r="G410" i="1"/>
  <c r="F410" i="1"/>
  <c r="G411" i="1"/>
  <c r="F411" i="1"/>
  <c r="G412" i="1"/>
  <c r="F412" i="1"/>
  <c r="G413" i="1"/>
  <c r="F413" i="1"/>
  <c r="G414" i="1"/>
  <c r="F414" i="1"/>
  <c r="G415" i="1"/>
  <c r="F415" i="1"/>
  <c r="G416" i="1"/>
  <c r="F416" i="1"/>
  <c r="G417" i="1"/>
  <c r="F417" i="1"/>
  <c r="G418" i="1"/>
  <c r="F418" i="1"/>
  <c r="G419" i="1"/>
  <c r="F419" i="1"/>
  <c r="G420" i="1"/>
  <c r="F420" i="1"/>
  <c r="G421" i="1"/>
  <c r="F421" i="1"/>
  <c r="G422" i="1"/>
  <c r="F422" i="1"/>
  <c r="G423" i="1"/>
  <c r="F423" i="1"/>
  <c r="G424" i="1"/>
  <c r="F424" i="1"/>
  <c r="G425" i="1"/>
  <c r="F425" i="1"/>
  <c r="G426" i="1"/>
  <c r="F426" i="1"/>
  <c r="G427" i="1"/>
  <c r="F427" i="1"/>
  <c r="G428" i="1"/>
  <c r="F428" i="1"/>
  <c r="G429" i="1"/>
  <c r="F429" i="1"/>
  <c r="G430" i="1"/>
  <c r="F430" i="1"/>
  <c r="G431" i="1"/>
  <c r="F431" i="1"/>
  <c r="G432" i="1"/>
  <c r="F432" i="1"/>
  <c r="G433" i="1"/>
  <c r="F433" i="1"/>
  <c r="G434" i="1"/>
  <c r="F434" i="1"/>
  <c r="G435" i="1"/>
  <c r="F435" i="1"/>
  <c r="G436" i="1"/>
  <c r="F436" i="1"/>
  <c r="G437" i="1"/>
  <c r="F437" i="1"/>
  <c r="G438" i="1"/>
  <c r="F438" i="1"/>
  <c r="G439" i="1"/>
  <c r="F439" i="1"/>
  <c r="G440" i="1"/>
  <c r="F440" i="1"/>
  <c r="G441" i="1"/>
  <c r="F441" i="1"/>
  <c r="G442" i="1"/>
  <c r="F442" i="1"/>
  <c r="G443" i="1"/>
  <c r="F443" i="1"/>
  <c r="G444" i="1"/>
  <c r="F444" i="1"/>
  <c r="G445" i="1"/>
  <c r="F445" i="1"/>
  <c r="G446" i="1"/>
  <c r="F446" i="1"/>
  <c r="G447" i="1"/>
  <c r="F447" i="1"/>
  <c r="G448" i="1"/>
  <c r="F448" i="1"/>
  <c r="G449" i="1"/>
  <c r="F449" i="1"/>
  <c r="G450" i="1"/>
  <c r="F450" i="1"/>
  <c r="G451" i="1"/>
  <c r="F451" i="1"/>
  <c r="G452" i="1"/>
  <c r="F452" i="1"/>
  <c r="G453" i="1"/>
  <c r="F453" i="1"/>
  <c r="G454" i="1"/>
  <c r="F454" i="1"/>
  <c r="G455" i="1"/>
  <c r="F455" i="1"/>
  <c r="G456" i="1"/>
  <c r="F456" i="1"/>
  <c r="G457" i="1"/>
  <c r="F457" i="1"/>
  <c r="G458" i="1"/>
  <c r="F458" i="1"/>
  <c r="G459" i="1"/>
  <c r="F459" i="1"/>
  <c r="G460" i="1"/>
  <c r="F460" i="1"/>
  <c r="G461" i="1"/>
  <c r="F461" i="1"/>
  <c r="G462" i="1"/>
  <c r="F462" i="1"/>
  <c r="G463" i="1"/>
  <c r="F463" i="1"/>
  <c r="G464" i="1"/>
  <c r="F464" i="1"/>
  <c r="G465" i="1"/>
  <c r="F465" i="1"/>
  <c r="G466" i="1"/>
  <c r="F466" i="1"/>
  <c r="G467" i="1"/>
  <c r="F467" i="1"/>
  <c r="G468" i="1"/>
  <c r="F468" i="1"/>
  <c r="G469" i="1"/>
  <c r="F469" i="1"/>
  <c r="G470" i="1"/>
  <c r="F470" i="1"/>
  <c r="G471" i="1"/>
  <c r="F471" i="1"/>
  <c r="G472" i="1"/>
  <c r="F472" i="1"/>
  <c r="G473" i="1"/>
  <c r="F473" i="1"/>
  <c r="G474" i="1"/>
  <c r="F474" i="1"/>
  <c r="G475" i="1"/>
  <c r="F475" i="1"/>
  <c r="G476" i="1"/>
  <c r="F476" i="1"/>
  <c r="G477" i="1"/>
  <c r="F477" i="1"/>
  <c r="G478" i="1"/>
  <c r="F478" i="1"/>
  <c r="G479" i="1"/>
  <c r="F479" i="1"/>
  <c r="G480" i="1"/>
  <c r="F480" i="1"/>
  <c r="G481" i="1"/>
  <c r="F481" i="1"/>
  <c r="G482" i="1"/>
  <c r="F482" i="1"/>
  <c r="G483" i="1"/>
  <c r="F483" i="1"/>
  <c r="G484" i="1"/>
  <c r="F484" i="1"/>
  <c r="G485" i="1"/>
  <c r="F485" i="1"/>
  <c r="G486" i="1"/>
  <c r="F486" i="1"/>
  <c r="G487" i="1"/>
  <c r="F487" i="1"/>
  <c r="G488" i="1"/>
  <c r="F488" i="1"/>
  <c r="G489" i="1"/>
  <c r="F489" i="1"/>
  <c r="G490" i="1"/>
  <c r="F490" i="1"/>
  <c r="G491" i="1"/>
  <c r="F491" i="1"/>
  <c r="G492" i="1"/>
  <c r="F492" i="1"/>
  <c r="G493" i="1"/>
  <c r="F493" i="1"/>
  <c r="G494" i="1"/>
  <c r="F494" i="1"/>
  <c r="G495" i="1"/>
  <c r="F495" i="1"/>
  <c r="G496" i="1"/>
  <c r="F496" i="1"/>
  <c r="G497" i="1"/>
  <c r="F497" i="1"/>
  <c r="G498" i="1"/>
  <c r="F498" i="1"/>
  <c r="G499" i="1"/>
  <c r="F499" i="1"/>
  <c r="G500" i="1"/>
  <c r="F500" i="1"/>
  <c r="G501" i="1"/>
  <c r="F501" i="1"/>
  <c r="G502" i="1"/>
  <c r="F502" i="1"/>
  <c r="G503" i="1"/>
  <c r="F503" i="1"/>
  <c r="G504" i="1"/>
  <c r="F504" i="1"/>
  <c r="G505" i="1"/>
  <c r="F505" i="1"/>
  <c r="G506" i="1"/>
  <c r="F506" i="1"/>
  <c r="G507" i="1"/>
  <c r="F507" i="1"/>
  <c r="G508" i="1"/>
  <c r="F508" i="1"/>
  <c r="G509" i="1"/>
  <c r="F509" i="1"/>
  <c r="G510" i="1"/>
  <c r="F510" i="1"/>
  <c r="G511" i="1"/>
  <c r="F511" i="1"/>
  <c r="G512" i="1"/>
  <c r="F512" i="1"/>
  <c r="G513" i="1"/>
  <c r="F513" i="1"/>
  <c r="G514" i="1"/>
  <c r="F514" i="1"/>
  <c r="G515" i="1"/>
  <c r="F515" i="1"/>
  <c r="G516" i="1"/>
  <c r="F516" i="1"/>
  <c r="G517" i="1"/>
  <c r="F517" i="1"/>
  <c r="G518" i="1"/>
  <c r="F518" i="1"/>
  <c r="G519" i="1"/>
  <c r="F519" i="1"/>
  <c r="G520" i="1"/>
  <c r="F520" i="1"/>
  <c r="G521" i="1"/>
  <c r="F521" i="1"/>
  <c r="G522" i="1"/>
  <c r="F522" i="1"/>
  <c r="G523" i="1"/>
  <c r="F523" i="1"/>
  <c r="G524" i="1"/>
  <c r="F524" i="1"/>
  <c r="G525" i="1"/>
  <c r="F525" i="1"/>
  <c r="G526" i="1"/>
  <c r="F526" i="1"/>
  <c r="G527" i="1"/>
  <c r="F527" i="1"/>
  <c r="G528" i="1"/>
  <c r="F528" i="1"/>
  <c r="G529" i="1"/>
  <c r="F529" i="1"/>
  <c r="G530" i="1"/>
  <c r="F530" i="1"/>
  <c r="G531" i="1"/>
  <c r="F531" i="1"/>
  <c r="G532" i="1"/>
  <c r="F532" i="1"/>
  <c r="G533" i="1"/>
  <c r="F533" i="1"/>
  <c r="G534" i="1"/>
  <c r="F534" i="1"/>
  <c r="G535" i="1"/>
  <c r="F535" i="1"/>
  <c r="G536" i="1"/>
  <c r="F536" i="1"/>
  <c r="G537" i="1"/>
  <c r="F537" i="1"/>
  <c r="G538" i="1"/>
  <c r="F538" i="1"/>
  <c r="G539" i="1"/>
  <c r="F539" i="1"/>
  <c r="G540" i="1"/>
  <c r="F540" i="1"/>
  <c r="G541" i="1"/>
  <c r="F541" i="1"/>
  <c r="G542" i="1"/>
  <c r="F542" i="1"/>
  <c r="G543" i="1"/>
  <c r="F543" i="1"/>
  <c r="G544" i="1"/>
  <c r="F544" i="1"/>
  <c r="G545" i="1"/>
  <c r="F545" i="1"/>
  <c r="G546" i="1"/>
  <c r="F546" i="1"/>
  <c r="G547" i="1"/>
  <c r="F547" i="1"/>
  <c r="G548" i="1"/>
  <c r="F548" i="1"/>
  <c r="G549" i="1"/>
  <c r="F549" i="1"/>
  <c r="G550" i="1"/>
  <c r="F550" i="1"/>
  <c r="G551" i="1"/>
  <c r="F551" i="1"/>
  <c r="G552" i="1"/>
  <c r="F552" i="1"/>
  <c r="G553" i="1"/>
  <c r="F553" i="1"/>
  <c r="G554" i="1"/>
  <c r="F554" i="1"/>
  <c r="G555" i="1"/>
  <c r="F555" i="1"/>
  <c r="G556" i="1"/>
  <c r="F556" i="1"/>
  <c r="G557" i="1"/>
  <c r="F557" i="1"/>
  <c r="G558" i="1"/>
  <c r="F558" i="1"/>
  <c r="G559" i="1"/>
  <c r="F559" i="1"/>
  <c r="G560" i="1"/>
  <c r="F560" i="1"/>
  <c r="G561" i="1"/>
  <c r="F561" i="1"/>
  <c r="G562" i="1"/>
  <c r="F562" i="1"/>
  <c r="G563" i="1"/>
  <c r="F563" i="1"/>
  <c r="G564" i="1"/>
  <c r="F564" i="1"/>
  <c r="G565" i="1"/>
  <c r="F565" i="1"/>
  <c r="G566" i="1"/>
  <c r="F566" i="1"/>
  <c r="G567" i="1"/>
  <c r="F567" i="1"/>
  <c r="G568" i="1"/>
  <c r="F568" i="1"/>
  <c r="G993" i="1"/>
  <c r="F993" i="1"/>
  <c r="G994" i="1"/>
  <c r="F994" i="1"/>
  <c r="G995" i="1"/>
  <c r="F995" i="1"/>
  <c r="G996" i="1"/>
  <c r="F996" i="1"/>
  <c r="G997" i="1"/>
  <c r="F997" i="1"/>
  <c r="G998" i="1"/>
  <c r="F998" i="1"/>
  <c r="G999" i="1"/>
  <c r="F999" i="1"/>
  <c r="G1000" i="1"/>
  <c r="F1000" i="1"/>
  <c r="G1001" i="1"/>
  <c r="F1001" i="1"/>
  <c r="G1002" i="1"/>
  <c r="F1002" i="1"/>
  <c r="G1003" i="1"/>
  <c r="F1003" i="1"/>
  <c r="G1004" i="1"/>
  <c r="F1004" i="1"/>
  <c r="G1005" i="1"/>
  <c r="F1005" i="1"/>
  <c r="G1006" i="1"/>
  <c r="F1006" i="1"/>
  <c r="G1007" i="1"/>
  <c r="F1007" i="1"/>
  <c r="G1008" i="1"/>
  <c r="F1008" i="1"/>
  <c r="F1009" i="1"/>
  <c r="G1009" i="1"/>
  <c r="F1010" i="1"/>
  <c r="G1010" i="1"/>
  <c r="G1011" i="1"/>
  <c r="F1011" i="1"/>
  <c r="G1012" i="1"/>
  <c r="F1012" i="1"/>
  <c r="F1013" i="1"/>
  <c r="G1013" i="1"/>
  <c r="G1014" i="1"/>
  <c r="F1014" i="1"/>
  <c r="F1015" i="1"/>
  <c r="G1015" i="1"/>
  <c r="G1016" i="1"/>
  <c r="F1016" i="1"/>
  <c r="G1017" i="1"/>
  <c r="F1017" i="1"/>
  <c r="G1018" i="1"/>
  <c r="F1018" i="1"/>
  <c r="F1019" i="1"/>
  <c r="G1019" i="1"/>
  <c r="G1020" i="1"/>
  <c r="F1020" i="1"/>
  <c r="G1021" i="1"/>
  <c r="F1021" i="1"/>
  <c r="G1022" i="1"/>
  <c r="F1022" i="1"/>
  <c r="G1023" i="1"/>
  <c r="F1023" i="1"/>
  <c r="F1024" i="1"/>
  <c r="G1024" i="1"/>
  <c r="F1025" i="1"/>
  <c r="G1025" i="1"/>
  <c r="G1026" i="1"/>
  <c r="F1026" i="1"/>
  <c r="G1027" i="1"/>
  <c r="F1027" i="1"/>
  <c r="G1028" i="1"/>
  <c r="F1028" i="1"/>
  <c r="G1029" i="1"/>
  <c r="F1029" i="1"/>
  <c r="G1030" i="1"/>
  <c r="F1030" i="1"/>
  <c r="G1031" i="1"/>
  <c r="F1031" i="1"/>
  <c r="G1032" i="1"/>
  <c r="F1032" i="1"/>
  <c r="G1033" i="1"/>
  <c r="F1033" i="1"/>
  <c r="F1034" i="1"/>
  <c r="G1034" i="1"/>
  <c r="G1035" i="1"/>
  <c r="F1035" i="1"/>
  <c r="F1036" i="1"/>
  <c r="G1036" i="1"/>
  <c r="G1037" i="1"/>
  <c r="F1037" i="1"/>
  <c r="G1038" i="1"/>
  <c r="F1038" i="1"/>
  <c r="F1039" i="1"/>
  <c r="G1039" i="1"/>
  <c r="F1040" i="1"/>
  <c r="G1040" i="1"/>
  <c r="F1041" i="1"/>
  <c r="G1041" i="1"/>
  <c r="F1042" i="1"/>
  <c r="G1042" i="1"/>
  <c r="F1043" i="1"/>
  <c r="G1043" i="1"/>
  <c r="F1044" i="1"/>
  <c r="G1044" i="1"/>
  <c r="F1045" i="1"/>
  <c r="G1045" i="1"/>
  <c r="F1046" i="1"/>
  <c r="G1046" i="1"/>
  <c r="F1047" i="1"/>
  <c r="G1047" i="1"/>
  <c r="F1048" i="1"/>
  <c r="G1048" i="1"/>
  <c r="F1049" i="1"/>
  <c r="G1049" i="1"/>
  <c r="F1050" i="1"/>
  <c r="G1050" i="1"/>
  <c r="F1051" i="1"/>
  <c r="G1051" i="1"/>
  <c r="F1052" i="1"/>
  <c r="G1052" i="1"/>
  <c r="F1053" i="1"/>
  <c r="G1053" i="1"/>
  <c r="F1054" i="1"/>
  <c r="G1054" i="1"/>
  <c r="G1055" i="1"/>
  <c r="F1055" i="1"/>
  <c r="F1056" i="1"/>
  <c r="G1056" i="1"/>
  <c r="F1057" i="1"/>
  <c r="G1057" i="1"/>
  <c r="F1058" i="1"/>
  <c r="G1058" i="1"/>
  <c r="F1059" i="1"/>
  <c r="G1059" i="1"/>
  <c r="G1060" i="1"/>
  <c r="F1060" i="1"/>
  <c r="G1061" i="1"/>
  <c r="F1061" i="1"/>
  <c r="G1062" i="1"/>
  <c r="F1062" i="1"/>
  <c r="G1063" i="1"/>
  <c r="F1063" i="1"/>
  <c r="F1064" i="1"/>
  <c r="G1064" i="1"/>
  <c r="G1065" i="1"/>
  <c r="F1065" i="1"/>
  <c r="G1066" i="1"/>
  <c r="F1066" i="1"/>
  <c r="G1067" i="1"/>
  <c r="F1067" i="1"/>
  <c r="G1068" i="1"/>
  <c r="F1068" i="1"/>
  <c r="G1069" i="1"/>
  <c r="F1069" i="1"/>
  <c r="G1070" i="1"/>
  <c r="F1070" i="1"/>
  <c r="F1071" i="1"/>
  <c r="G1071" i="1"/>
  <c r="G1072" i="1"/>
  <c r="F1072" i="1"/>
  <c r="F1073" i="1"/>
  <c r="G1073" i="1"/>
  <c r="G1074" i="1"/>
  <c r="F1074" i="1"/>
  <c r="G1075" i="1"/>
  <c r="F1075" i="1"/>
  <c r="G1076" i="1"/>
  <c r="F1076" i="1"/>
  <c r="G1077" i="1"/>
  <c r="F1077" i="1"/>
  <c r="G1078" i="1"/>
  <c r="F1078" i="1"/>
  <c r="F1079" i="1"/>
  <c r="G1079" i="1"/>
  <c r="G1080" i="1"/>
  <c r="F1080" i="1"/>
  <c r="F1081" i="1"/>
  <c r="G1081" i="1"/>
  <c r="F1082" i="1"/>
  <c r="G1082" i="1"/>
  <c r="F1083" i="1"/>
  <c r="G1083" i="1"/>
  <c r="F1084" i="1"/>
  <c r="G1084" i="1"/>
  <c r="G1085" i="1"/>
  <c r="F1085" i="1"/>
  <c r="G1086" i="1"/>
  <c r="F1086" i="1"/>
  <c r="G1087" i="1"/>
  <c r="F1087" i="1"/>
  <c r="G1088" i="1"/>
  <c r="F1088" i="1"/>
  <c r="F1089" i="1"/>
  <c r="G1089" i="1"/>
  <c r="F1090" i="1"/>
  <c r="G1090" i="1"/>
  <c r="F1091" i="1"/>
  <c r="G1091" i="1"/>
  <c r="F1092" i="1"/>
  <c r="G1092" i="1"/>
  <c r="F1093" i="1"/>
  <c r="G1093" i="1"/>
  <c r="G1094" i="1"/>
  <c r="F1094" i="1"/>
  <c r="F1095" i="1"/>
  <c r="G1095" i="1"/>
  <c r="G1096" i="1"/>
  <c r="F1096" i="1"/>
  <c r="F1097" i="1"/>
  <c r="G1097" i="1"/>
  <c r="G1098" i="1"/>
  <c r="F1098" i="1"/>
  <c r="G1099" i="1"/>
  <c r="F1099" i="1"/>
  <c r="G1100" i="1"/>
  <c r="F1100" i="1"/>
  <c r="G1101" i="1"/>
  <c r="F1101" i="1"/>
  <c r="G1102" i="1"/>
  <c r="F1102" i="1"/>
  <c r="G1103" i="1"/>
  <c r="F1103" i="1"/>
  <c r="G1104" i="1"/>
  <c r="F1104" i="1"/>
  <c r="G1105" i="1"/>
  <c r="F1105" i="1"/>
  <c r="G1106" i="1"/>
  <c r="F1106" i="1"/>
  <c r="G1107" i="1"/>
  <c r="F1107" i="1"/>
  <c r="G1108" i="1"/>
  <c r="F1108" i="1"/>
  <c r="G1109" i="1"/>
  <c r="F1109" i="1"/>
  <c r="G1110" i="1"/>
  <c r="F1110" i="1"/>
  <c r="F1111" i="1"/>
  <c r="G1111" i="1"/>
  <c r="F1112" i="1"/>
  <c r="G1112" i="1"/>
  <c r="F1113" i="1"/>
  <c r="G1113" i="1"/>
  <c r="F1114" i="1"/>
  <c r="G1114" i="1"/>
  <c r="G1115" i="1"/>
  <c r="F1115" i="1"/>
  <c r="G1116" i="1"/>
  <c r="F1116" i="1"/>
  <c r="G1117" i="1"/>
  <c r="F1117" i="1"/>
  <c r="F1118" i="1"/>
  <c r="G1118" i="1"/>
  <c r="F1119" i="1"/>
  <c r="G1119" i="1"/>
  <c r="G1120" i="1"/>
  <c r="F1120" i="1"/>
  <c r="F1121" i="1"/>
  <c r="G1121" i="1"/>
  <c r="G1122" i="1"/>
  <c r="F1122" i="1"/>
  <c r="F1123" i="1"/>
  <c r="G1123" i="1"/>
  <c r="G1124" i="1"/>
  <c r="F1124" i="1"/>
  <c r="F1125" i="1"/>
  <c r="G1125" i="1"/>
  <c r="G1126" i="1"/>
  <c r="F1126" i="1"/>
  <c r="G1127" i="1"/>
  <c r="F1127" i="1"/>
  <c r="F1128" i="1"/>
  <c r="G1128" i="1"/>
  <c r="F1129" i="1"/>
  <c r="G1129" i="1"/>
  <c r="F1130" i="1"/>
  <c r="G1130" i="1"/>
  <c r="F1131" i="1"/>
  <c r="G1131" i="1"/>
  <c r="G1132" i="1"/>
  <c r="F1132" i="1"/>
  <c r="F1133" i="1"/>
  <c r="G1133" i="1"/>
  <c r="G1134" i="1"/>
  <c r="F1134" i="1"/>
  <c r="G1135" i="1"/>
  <c r="F1135" i="1"/>
  <c r="F1136" i="1"/>
  <c r="G1136" i="1"/>
  <c r="F1137" i="1"/>
  <c r="G1137" i="1"/>
  <c r="G1138" i="1"/>
  <c r="F1138" i="1"/>
  <c r="F1139" i="1"/>
  <c r="G1139" i="1"/>
  <c r="F1140" i="1"/>
  <c r="G1140" i="1"/>
  <c r="F1141" i="1"/>
  <c r="G1141" i="1"/>
  <c r="F1142" i="1"/>
  <c r="G1142" i="1"/>
  <c r="G1143" i="1"/>
  <c r="F1143" i="1"/>
  <c r="G1144" i="1"/>
  <c r="F1144" i="1"/>
  <c r="G1145" i="1"/>
  <c r="F1145" i="1"/>
  <c r="G1146" i="1"/>
  <c r="F1146" i="1"/>
  <c r="F1147" i="1"/>
  <c r="G1147" i="1"/>
  <c r="G1148" i="1"/>
  <c r="F1148" i="1"/>
  <c r="F1149" i="1"/>
  <c r="G1149" i="1"/>
  <c r="G1150" i="1"/>
  <c r="F1150" i="1"/>
  <c r="F1151" i="1"/>
  <c r="G1151" i="1"/>
  <c r="G1152" i="1"/>
  <c r="F1152" i="1"/>
  <c r="F1153" i="1"/>
  <c r="G1153" i="1"/>
  <c r="G1154" i="1"/>
  <c r="F1154" i="1"/>
  <c r="G1155" i="1"/>
  <c r="F1155" i="1"/>
  <c r="F1156" i="1"/>
  <c r="G1156" i="1"/>
  <c r="G1157" i="1"/>
  <c r="F1157" i="1"/>
  <c r="F1158" i="1"/>
  <c r="G1158" i="1"/>
  <c r="G1159" i="1"/>
  <c r="F1159" i="1"/>
  <c r="G1160" i="1"/>
  <c r="F1160" i="1"/>
  <c r="F1161" i="1"/>
  <c r="G1161" i="1"/>
  <c r="F1162" i="1"/>
  <c r="G1162" i="1"/>
  <c r="F1163" i="1"/>
  <c r="G1163" i="1"/>
  <c r="G1164" i="1"/>
  <c r="F1164" i="1"/>
  <c r="G1165" i="1"/>
  <c r="F1165" i="1"/>
  <c r="G1166" i="1"/>
  <c r="F1166" i="1"/>
  <c r="G1167" i="1"/>
  <c r="F1167" i="1"/>
  <c r="F1168" i="1"/>
  <c r="G1168" i="1"/>
  <c r="G1169" i="1"/>
  <c r="F1169" i="1"/>
  <c r="F1170" i="1"/>
  <c r="G1170" i="1"/>
  <c r="G1171" i="1"/>
  <c r="F1171" i="1"/>
  <c r="G1172" i="1"/>
  <c r="F1172" i="1"/>
  <c r="G1173" i="1"/>
  <c r="F1173" i="1"/>
  <c r="F1174" i="1"/>
  <c r="G1174" i="1"/>
  <c r="G1175" i="1"/>
  <c r="F1175" i="1"/>
  <c r="G1176" i="1"/>
  <c r="F1176" i="1"/>
  <c r="G1177" i="1"/>
  <c r="F1177" i="1"/>
  <c r="F1178" i="1"/>
  <c r="G1178" i="1"/>
  <c r="G1179" i="1"/>
  <c r="F1179" i="1"/>
  <c r="G1180" i="1"/>
  <c r="F1180" i="1"/>
  <c r="F1181" i="1"/>
  <c r="G1181" i="1"/>
  <c r="G1182" i="1"/>
  <c r="F1182" i="1"/>
  <c r="G1183" i="1"/>
  <c r="F1183" i="1"/>
  <c r="G1184" i="1"/>
  <c r="F1184" i="1"/>
  <c r="F1185" i="1"/>
  <c r="G1185" i="1"/>
  <c r="G1186" i="1"/>
  <c r="F1186" i="1"/>
  <c r="F1187" i="1"/>
  <c r="G1187" i="1"/>
  <c r="G1188" i="1"/>
  <c r="F1188" i="1"/>
  <c r="F1189" i="1"/>
  <c r="G1189" i="1"/>
  <c r="G1190" i="1"/>
  <c r="F1190" i="1"/>
  <c r="F1191" i="1"/>
  <c r="G1191" i="1"/>
  <c r="F1192" i="1"/>
  <c r="G1192" i="1"/>
  <c r="G1193" i="1"/>
  <c r="F1193" i="1"/>
  <c r="G1194" i="1"/>
  <c r="F1194" i="1"/>
  <c r="F1195" i="1"/>
  <c r="G1195" i="1"/>
  <c r="G1196" i="1"/>
  <c r="F1196" i="1"/>
  <c r="G1197" i="1"/>
  <c r="F1197" i="1"/>
  <c r="G1198" i="1"/>
  <c r="F1198" i="1"/>
  <c r="G1199" i="1"/>
  <c r="F1199" i="1"/>
  <c r="F1200" i="1"/>
  <c r="G1200" i="1"/>
  <c r="G1201" i="1"/>
  <c r="F1201" i="1"/>
  <c r="F1202" i="1"/>
  <c r="G1202" i="1"/>
  <c r="G1203" i="1"/>
  <c r="F1203" i="1"/>
  <c r="F1204" i="1"/>
  <c r="G1204" i="1"/>
  <c r="G1205" i="1"/>
  <c r="F1205" i="1"/>
  <c r="G1206" i="1"/>
  <c r="F1206" i="1"/>
  <c r="G1207" i="1"/>
  <c r="F1207" i="1"/>
  <c r="G1208" i="1"/>
  <c r="F1208" i="1"/>
  <c r="G1209" i="1"/>
  <c r="F1209" i="1"/>
  <c r="G1210" i="1"/>
  <c r="F1210" i="1"/>
  <c r="G1211" i="1"/>
  <c r="F1211" i="1"/>
  <c r="G1212" i="1"/>
  <c r="F1212" i="1"/>
  <c r="F1213" i="1"/>
  <c r="G1213" i="1"/>
  <c r="G1214" i="1"/>
  <c r="F1214" i="1"/>
  <c r="G1215" i="1"/>
  <c r="F1215" i="1"/>
  <c r="G1216" i="1"/>
  <c r="F1216" i="1"/>
  <c r="F1217" i="1"/>
  <c r="G1217" i="1"/>
  <c r="G1218" i="1"/>
  <c r="F1218" i="1"/>
  <c r="G1219" i="1"/>
  <c r="F1219" i="1"/>
  <c r="G1220" i="1"/>
  <c r="F1220" i="1"/>
  <c r="G1221" i="1"/>
  <c r="F1221" i="1"/>
  <c r="G1222" i="1"/>
  <c r="F1222" i="1"/>
  <c r="G1223" i="1"/>
  <c r="F1223" i="1"/>
  <c r="G1224" i="1"/>
  <c r="F1224" i="1"/>
  <c r="G1225" i="1"/>
  <c r="F1225" i="1"/>
  <c r="G1226" i="1"/>
  <c r="F1226" i="1"/>
  <c r="G1227" i="1"/>
  <c r="F1227" i="1"/>
  <c r="F1228" i="1"/>
  <c r="G1228" i="1"/>
  <c r="G1229" i="1"/>
  <c r="F1229" i="1"/>
  <c r="F1230" i="1"/>
  <c r="G1230" i="1"/>
  <c r="C2" i="10"/>
  <c r="B2" i="10"/>
  <c r="PZ24" i="9"/>
  <c r="QE24" i="9"/>
  <c r="QC24" i="9"/>
  <c r="QB24" i="9"/>
  <c r="QA24" i="9"/>
  <c r="QD24" i="9"/>
  <c r="PR24" i="9"/>
  <c r="PW24" i="9"/>
  <c r="PV24" i="9"/>
  <c r="PU24" i="9"/>
  <c r="PT24" i="9"/>
  <c r="PS24" i="9"/>
  <c r="PN24" i="9"/>
  <c r="PM24" i="9"/>
  <c r="PL24" i="9"/>
  <c r="PK24" i="9"/>
  <c r="PJ24" i="9"/>
  <c r="PO24" i="9"/>
  <c r="PC24" i="9"/>
  <c r="PF24" i="9"/>
  <c r="PD24" i="9"/>
  <c r="PE24" i="9"/>
  <c r="PB24" i="9"/>
  <c r="PG24" i="9"/>
  <c r="OT24" i="9"/>
  <c r="OY24" i="9"/>
  <c r="OX24" i="9"/>
  <c r="OW24" i="9"/>
  <c r="OV24" i="9"/>
  <c r="OU24" i="9"/>
  <c r="OO24" i="9"/>
  <c r="ON24" i="9"/>
  <c r="OM24" i="9"/>
  <c r="OL24" i="9"/>
  <c r="OQ24" i="9"/>
  <c r="OP24" i="9"/>
  <c r="OG24" i="9"/>
  <c r="OD24" i="9"/>
  <c r="OE24" i="9"/>
  <c r="OF24" i="9"/>
  <c r="OH24" i="9"/>
  <c r="OI24" i="9"/>
  <c r="OA24" i="9"/>
  <c r="NZ24" i="9"/>
  <c r="NY24" i="9"/>
  <c r="NX24" i="9"/>
  <c r="NW24" i="9"/>
  <c r="NV24" i="9"/>
  <c r="NN22" i="9"/>
  <c r="NF22" i="9"/>
  <c r="MX22" i="9"/>
  <c r="MP22" i="9"/>
  <c r="MH22" i="9"/>
  <c r="LZ22" i="9"/>
  <c r="HJ22" i="9"/>
  <c r="HB22" i="9"/>
  <c r="GL22" i="9"/>
  <c r="GD22" i="9"/>
  <c r="EH22" i="9"/>
  <c r="DZ22" i="9"/>
  <c r="DR22" i="9"/>
  <c r="DJ22" i="9"/>
  <c r="DB22" i="9"/>
  <c r="CL22" i="9"/>
  <c r="CD22" i="9"/>
  <c r="AP22" i="9"/>
  <c r="AH22" i="9"/>
  <c r="R22" i="9"/>
  <c r="F21" i="9"/>
  <c r="D21" i="9"/>
  <c r="B21" i="9"/>
  <c r="B22" i="9" s="1"/>
  <c r="LR22" i="9"/>
  <c r="LJ22" i="9"/>
  <c r="LB22" i="9"/>
  <c r="KT22" i="9"/>
  <c r="KL22" i="9"/>
  <c r="KD22" i="9"/>
  <c r="JV22" i="9"/>
  <c r="JN22" i="9"/>
  <c r="JF22" i="9"/>
  <c r="IX22" i="9"/>
  <c r="IP22" i="9"/>
  <c r="IH22" i="9"/>
  <c r="HZ22" i="9"/>
  <c r="HR22" i="9"/>
  <c r="GT22" i="9"/>
  <c r="FV22" i="9"/>
  <c r="FN22" i="9"/>
  <c r="FF22" i="9"/>
  <c r="EX22" i="9"/>
  <c r="EP22" i="9"/>
  <c r="CT22" i="9"/>
  <c r="BV22" i="9"/>
  <c r="BN22" i="9"/>
  <c r="BF22" i="9"/>
  <c r="AX22" i="9"/>
  <c r="Z22" i="9"/>
  <c r="J22" i="9"/>
  <c r="NS24" i="9"/>
  <c r="NR24" i="9"/>
  <c r="NQ24" i="9"/>
  <c r="NP24" i="9"/>
  <c r="NO24" i="9"/>
  <c r="NN24" i="9"/>
  <c r="NK24" i="9"/>
  <c r="NJ24" i="9"/>
  <c r="NI24" i="9"/>
  <c r="NH24" i="9"/>
  <c r="NG24" i="9"/>
  <c r="NF24" i="9"/>
  <c r="NC24" i="9"/>
  <c r="NB24" i="9"/>
  <c r="NA24" i="9"/>
  <c r="MZ24" i="9"/>
  <c r="MY24" i="9"/>
  <c r="MX24" i="9"/>
  <c r="MU24" i="9"/>
  <c r="MT24" i="9"/>
  <c r="MS24" i="9"/>
  <c r="MR24" i="9"/>
  <c r="MQ24" i="9"/>
  <c r="MP24" i="9"/>
  <c r="MM24" i="9"/>
  <c r="ML24" i="9"/>
  <c r="MK24" i="9"/>
  <c r="MJ24" i="9"/>
  <c r="MI24" i="9"/>
  <c r="MH24" i="9"/>
  <c r="MD24" i="9"/>
  <c r="MC24" i="9"/>
  <c r="MB24" i="9"/>
  <c r="MA24" i="9"/>
  <c r="LZ24" i="9"/>
  <c r="ME24" i="9"/>
  <c r="LW24" i="9"/>
  <c r="LU24" i="9"/>
  <c r="LT24" i="9"/>
  <c r="LS24" i="9"/>
  <c r="LR24" i="9"/>
  <c r="LV24" i="9"/>
  <c r="LL24" i="9"/>
  <c r="LM24" i="9"/>
  <c r="LN24" i="9"/>
  <c r="LO24" i="9"/>
  <c r="LJ24" i="9"/>
  <c r="LK24" i="9"/>
  <c r="LB24" i="9"/>
  <c r="LC24" i="9"/>
  <c r="LD24" i="9"/>
  <c r="LE24" i="9"/>
  <c r="LF24" i="9"/>
  <c r="LG24" i="9"/>
  <c r="KT24" i="9"/>
  <c r="KU24" i="9"/>
  <c r="KV24" i="9"/>
  <c r="KW24" i="9"/>
  <c r="KX24" i="9"/>
  <c r="KY24" i="9"/>
  <c r="KQ24" i="9"/>
  <c r="KP24" i="9"/>
  <c r="KO24" i="9"/>
  <c r="KN24" i="9"/>
  <c r="KM24" i="9"/>
  <c r="KL24" i="9"/>
  <c r="KE24" i="9"/>
  <c r="KI24" i="9"/>
  <c r="KH24" i="9"/>
  <c r="KG24" i="9"/>
  <c r="KF24" i="9"/>
  <c r="KD24" i="9"/>
  <c r="KA24" i="9"/>
  <c r="JZ24" i="9"/>
  <c r="JY24" i="9"/>
  <c r="JX24" i="9"/>
  <c r="JW24" i="9"/>
  <c r="JV24" i="9"/>
  <c r="JS24" i="9"/>
  <c r="JR24" i="9"/>
  <c r="JQ24" i="9"/>
  <c r="JP24" i="9"/>
  <c r="JO24" i="9"/>
  <c r="JN24" i="9"/>
  <c r="JF24" i="9"/>
  <c r="JH24" i="9"/>
  <c r="JG24" i="9"/>
  <c r="JI24" i="9"/>
  <c r="JK24" i="9"/>
  <c r="JJ24" i="9"/>
  <c r="JC24" i="9"/>
  <c r="JB24" i="9"/>
  <c r="IZ24" i="9"/>
  <c r="IY24" i="9"/>
  <c r="IX24" i="9"/>
  <c r="JA24" i="9"/>
  <c r="IT24" i="9"/>
  <c r="IU24" i="9"/>
  <c r="IS24" i="9"/>
  <c r="IR24" i="9"/>
  <c r="IQ24" i="9"/>
  <c r="IP24" i="9"/>
  <c r="IH24" i="9"/>
  <c r="II24" i="9"/>
  <c r="IJ24" i="9"/>
  <c r="IK24" i="9"/>
  <c r="IL24" i="9"/>
  <c r="IM24" i="9"/>
  <c r="ID24" i="9"/>
  <c r="HZ24" i="9"/>
  <c r="IA24" i="9"/>
  <c r="IB24" i="9"/>
  <c r="IC24" i="9"/>
  <c r="IE24" i="9"/>
  <c r="HW24" i="9"/>
  <c r="HV24" i="9"/>
  <c r="HU24" i="9"/>
  <c r="HT24" i="9"/>
  <c r="HS24" i="9"/>
  <c r="HR24" i="9"/>
  <c r="HO24" i="9"/>
  <c r="HM24" i="9"/>
  <c r="HL24" i="9"/>
  <c r="HK24" i="9"/>
  <c r="HJ24" i="9"/>
  <c r="HN24" i="9"/>
  <c r="HG24" i="9"/>
  <c r="HE24" i="9"/>
  <c r="HC24" i="9"/>
  <c r="HF24" i="9"/>
  <c r="HB24" i="9"/>
  <c r="HD24" i="9"/>
  <c r="GY24" i="9"/>
  <c r="GX24" i="9"/>
  <c r="GW24" i="9"/>
  <c r="GV24" i="9"/>
  <c r="GU24" i="9"/>
  <c r="GT24" i="9"/>
  <c r="GL24" i="9"/>
  <c r="GM24" i="9"/>
  <c r="GN24" i="9"/>
  <c r="GQ24" i="9"/>
  <c r="GP24" i="9"/>
  <c r="GO24" i="9"/>
  <c r="GH24" i="9"/>
  <c r="GG24" i="9"/>
  <c r="GE24" i="9"/>
  <c r="GD24" i="9"/>
  <c r="GF24" i="9"/>
  <c r="GI24" i="9"/>
  <c r="FY24" i="9"/>
  <c r="FV24" i="9"/>
  <c r="FW24" i="9"/>
  <c r="FX24" i="9"/>
  <c r="FZ24" i="9"/>
  <c r="GA24" i="9"/>
  <c r="FS24" i="9"/>
  <c r="FR24" i="9"/>
  <c r="FP24" i="9"/>
  <c r="FQ24" i="9"/>
  <c r="FO24" i="9"/>
  <c r="FN24" i="9"/>
  <c r="FJ24" i="9"/>
  <c r="FI24" i="9"/>
  <c r="FH24" i="9"/>
  <c r="FG24" i="9"/>
  <c r="FF24" i="9"/>
  <c r="FK24" i="9"/>
  <c r="FC24" i="9"/>
  <c r="FB24" i="9"/>
  <c r="FA24" i="9"/>
  <c r="EY24" i="9"/>
  <c r="EX24" i="9"/>
  <c r="EZ24" i="9"/>
  <c r="ET24" i="9"/>
  <c r="EQ24" i="9"/>
  <c r="EU24" i="9"/>
  <c r="ES24" i="9"/>
  <c r="ER24" i="9"/>
  <c r="EP24" i="9"/>
  <c r="EM24" i="9"/>
  <c r="EL24" i="9"/>
  <c r="EK24" i="9"/>
  <c r="EJ24" i="9"/>
  <c r="EI24" i="9"/>
  <c r="EH24" i="9"/>
  <c r="DZ24" i="9"/>
  <c r="EA24" i="9"/>
  <c r="EB24" i="9"/>
  <c r="EC24" i="9"/>
  <c r="ED24" i="9"/>
  <c r="EE24" i="9"/>
  <c r="DR24" i="9"/>
  <c r="DU24" i="9"/>
  <c r="DV24" i="9"/>
  <c r="DT24" i="9"/>
  <c r="DW24" i="9"/>
  <c r="DS24" i="9"/>
  <c r="DO24" i="9"/>
  <c r="DN24" i="9"/>
  <c r="DL24" i="9"/>
  <c r="DK24" i="9"/>
  <c r="DJ24" i="9"/>
  <c r="DM24" i="9"/>
  <c r="DG24" i="9"/>
  <c r="DF24" i="9"/>
  <c r="DE24" i="9"/>
  <c r="DC24" i="9"/>
  <c r="DB24" i="9"/>
  <c r="DD24" i="9"/>
  <c r="CT24" i="9"/>
  <c r="CU24" i="9"/>
  <c r="CV24" i="9"/>
  <c r="CW24" i="9"/>
  <c r="CY24" i="9"/>
  <c r="CX24" i="9"/>
  <c r="CP24" i="9"/>
  <c r="CO24" i="9"/>
  <c r="CM24" i="9"/>
  <c r="CL24" i="9"/>
  <c r="CN24" i="9"/>
  <c r="CQ24" i="9"/>
  <c r="CI24" i="9"/>
  <c r="CH24" i="9"/>
  <c r="CG24" i="9"/>
  <c r="CF24" i="9"/>
  <c r="CE24" i="9"/>
  <c r="CD24" i="9"/>
  <c r="BY24" i="9"/>
  <c r="BX24" i="9"/>
  <c r="BW24" i="9"/>
  <c r="BV24" i="9"/>
  <c r="CA24" i="9"/>
  <c r="BZ24" i="9"/>
  <c r="BS24" i="9"/>
  <c r="BR24" i="9"/>
  <c r="BQ24" i="9"/>
  <c r="BO24" i="9"/>
  <c r="BN24" i="9"/>
  <c r="BP24" i="9"/>
  <c r="BF24" i="9"/>
  <c r="BG24" i="9"/>
  <c r="BH24" i="9"/>
  <c r="BI24" i="9"/>
  <c r="BJ24" i="9"/>
  <c r="BK24" i="9"/>
  <c r="BB24" i="9"/>
  <c r="BA24" i="9"/>
  <c r="BC24" i="9"/>
  <c r="AY24" i="9"/>
  <c r="AX24" i="9"/>
  <c r="AZ24" i="9"/>
  <c r="AU24" i="9"/>
  <c r="AT24" i="9"/>
  <c r="AS24" i="9"/>
  <c r="AR24" i="9"/>
  <c r="AQ24" i="9"/>
  <c r="AP24" i="9"/>
  <c r="AM24" i="9"/>
  <c r="AL24" i="9"/>
  <c r="AK24" i="9"/>
  <c r="AJ24" i="9"/>
  <c r="AI24" i="9"/>
  <c r="AH24" i="9"/>
  <c r="AE24" i="9"/>
  <c r="AD24" i="9"/>
  <c r="AC24" i="9"/>
  <c r="AB24" i="9"/>
  <c r="AA24" i="9"/>
  <c r="Z24" i="9"/>
  <c r="W24" i="9"/>
  <c r="V24" i="9"/>
  <c r="U24" i="9"/>
  <c r="T24" i="9"/>
  <c r="S24" i="9"/>
  <c r="R24" i="9"/>
  <c r="O24" i="9"/>
  <c r="N24" i="9"/>
  <c r="M24" i="9"/>
  <c r="L24" i="9"/>
  <c r="K24" i="9"/>
  <c r="J24" i="9"/>
  <c r="E21" i="9"/>
  <c r="G24" i="9"/>
  <c r="F24" i="9"/>
  <c r="F26" i="9" s="1"/>
  <c r="E24" i="9"/>
  <c r="E26" i="9" s="1"/>
  <c r="D24" i="9"/>
  <c r="D26" i="9" s="1"/>
  <c r="C24" i="9"/>
  <c r="C26" i="9" s="1"/>
  <c r="B24" i="9"/>
  <c r="B26" i="9" s="1"/>
  <c r="G2" i="5"/>
  <c r="L2" i="5" l="1"/>
  <c r="M2" i="5"/>
  <c r="N2" i="5"/>
  <c r="O2" i="5"/>
  <c r="K2" i="5"/>
  <c r="I2" i="10" a="1"/>
  <c r="I2" i="10" s="1"/>
  <c r="F2" i="10" a="1"/>
  <c r="F2" i="10" s="1"/>
  <c r="D2" i="10" a="1"/>
  <c r="D2" i="10" s="1"/>
  <c r="G2" i="10" a="1"/>
  <c r="G2" i="10" s="1"/>
  <c r="E2" i="10" a="1"/>
  <c r="E2" i="10" s="1"/>
  <c r="H2" i="10" a="1"/>
  <c r="H2"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tc={CE000B21-BD3D-4C30-BB95-EE6DA1449D8D}</author>
  </authors>
  <commentList>
    <comment ref="O1" authorId="0" shapeId="0" xr:uid="{CE000B21-BD3D-4C30-BB95-EE6DA1449D8D}">
      <text>
        <t>[Threaded comment]
Your version of Excel allows you to read this threaded comment; however, any edits to it will get removed if the file is opened in a newer version of Excel. Learn more: https://go.microsoft.com/fwlink/?linkid=870924
Comment:
    2024 Data to be updated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tc={E246D185-E981-46AC-B199-2BCDCF2CFB75}</author>
  </authors>
  <commentList>
    <comment ref="XEW1" authorId="0" shapeId="0" xr:uid="{E246D185-E981-46AC-B199-2BCDCF2CFB75}">
      <text>
        <t>[Threaded comment]
Your version of Excel allows you to read this threaded comment; however, any edits to it will get removed if the file is opened in a newer version of Excel. Learn more: https://go.microsoft.com/fwlink/?linkid=870924
Comment:
    Check for 2024 and 2025</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<sst xmlns="http://schemas.openxmlformats.org/spreadsheetml/2006/main" count="2171" uniqueCount="87">
  <si>
    <t>ProductType</t>
  </si>
  <si>
    <t>Stage</t>
  </si>
  <si>
    <t>12M PD</t>
  </si>
  <si>
    <t>OD PERSONAL LOAN</t>
  </si>
  <si>
    <t>OD BUSINESS LOAN</t>
  </si>
  <si>
    <t>OD STAFF LOAN</t>
  </si>
  <si>
    <t>TERM LOAN</t>
  </si>
  <si>
    <t>WC TRADING/IND LOAN</t>
  </si>
  <si>
    <t>HOUSING LOAN</t>
  </si>
  <si>
    <t>RESI REAL EST LOAN</t>
  </si>
  <si>
    <t>MARGIN NATURE LOAN</t>
  </si>
  <si>
    <t>HIRE PURCHASE LOAN</t>
  </si>
  <si>
    <t>DEPRIVED SECTOR LOAN</t>
  </si>
  <si>
    <t>EDUCATIONAL LOAN</t>
  </si>
  <si>
    <t>AGRICULTURE LOAN</t>
  </si>
  <si>
    <t>RESI PER.HOME-EMI</t>
  </si>
  <si>
    <t>TERM LOAN - BUSINESS</t>
  </si>
  <si>
    <t>CONS FIN BUSN TRM LO</t>
  </si>
  <si>
    <t>BIS/PERHIRE PURCHASE</t>
  </si>
  <si>
    <t xml:space="preserve">INT CAP TERM LOAN </t>
  </si>
  <si>
    <t>PERSONAL LOAN</t>
  </si>
  <si>
    <t>MORTGAGE LOAN</t>
  </si>
  <si>
    <t>LOAN AGAINST FDR</t>
  </si>
  <si>
    <t>RECEIVABLE LOAN</t>
  </si>
  <si>
    <t>STAFF LOAN</t>
  </si>
  <si>
    <t>AGRICULTURAL LOAN</t>
  </si>
  <si>
    <t>EARTHQUAKE RELIEF LO</t>
  </si>
  <si>
    <t>TOURISM SECTOR LOAN</t>
  </si>
  <si>
    <t>SME LOAN</t>
  </si>
  <si>
    <t>EDUCATIONAL LOAN EMI</t>
  </si>
  <si>
    <t>OVERDRAFT PROFESSION</t>
  </si>
  <si>
    <t>Grand Total</t>
  </si>
  <si>
    <t>Row Labels</t>
  </si>
  <si>
    <t>Average of 12M PD</t>
  </si>
  <si>
    <t>Weight</t>
  </si>
  <si>
    <t>GDP</t>
  </si>
  <si>
    <t>Inflation</t>
  </si>
  <si>
    <t>Unemployment Rate</t>
  </si>
  <si>
    <t>Year</t>
  </si>
  <si>
    <t>Interest Rate</t>
  </si>
  <si>
    <t>NEPSE Index</t>
  </si>
  <si>
    <t>Mean</t>
  </si>
  <si>
    <t>Year AD</t>
  </si>
  <si>
    <t>Average of Average of 12M PD</t>
  </si>
  <si>
    <t>Filters:</t>
  </si>
  <si>
    <t>ProductType: AGRICULTURAL LOAN</t>
  </si>
  <si>
    <t>Stage: 1</t>
  </si>
  <si>
    <t>Stage: 2</t>
  </si>
  <si>
    <t>ProductType: AGRICULTURE LOAN</t>
  </si>
  <si>
    <t>ProductType: BIS/PERHIRE PURCHASE</t>
  </si>
  <si>
    <t>ProductType: CONS FIN BUSN TRM LO</t>
  </si>
  <si>
    <t>ProductType: DEPRIVED SECTOR LOAN</t>
  </si>
  <si>
    <t>ProductType: EARTHQUAKE RELIEF LO</t>
  </si>
  <si>
    <t>ProductType: EDUCATIONAL LOAN</t>
  </si>
  <si>
    <t>ProductType: EDUCATIONAL LOAN EMI</t>
  </si>
  <si>
    <t>ProductType: HIRE PURCHASE LOAN</t>
  </si>
  <si>
    <t>ProductType: HOUSING LOAN</t>
  </si>
  <si>
    <t xml:space="preserve">ProductType: INT CAP TERM LOAN </t>
  </si>
  <si>
    <t>ProductType: LOAN AGAINST FDR</t>
  </si>
  <si>
    <t>ProductType: MARGIN NATURE LOAN</t>
  </si>
  <si>
    <t>ProductType: MORTGAGE LOAN</t>
  </si>
  <si>
    <t>ProductType: OD BUSINESS LOAN</t>
  </si>
  <si>
    <t>ProductType: OD PERSONAL LOAN</t>
  </si>
  <si>
    <t>ProductType: OD STAFF LOAN</t>
  </si>
  <si>
    <t>ProductType: OVERDRAFT PROFESSION</t>
  </si>
  <si>
    <t>ProductType: PERSONAL LOAN</t>
  </si>
  <si>
    <t>ProductType: RECEIVABLE LOAN</t>
  </si>
  <si>
    <t>ProductType: RESI PER.HOME-EMI</t>
  </si>
  <si>
    <t>ProductType: RESI REAL EST LOAN</t>
  </si>
  <si>
    <t>ProductType: SME LOAN</t>
  </si>
  <si>
    <t>ProductType: STAFF LOAN</t>
  </si>
  <si>
    <t>ProductType: TERM LOAN</t>
  </si>
  <si>
    <t>ProductType: TERM LOAN - BUSINESS</t>
  </si>
  <si>
    <t>ProductType: TOURISM SECTOR LOAN</t>
  </si>
  <si>
    <t>ProductType: WC TRADING/IND LOAN</t>
  </si>
  <si>
    <t>Ctrl + Shift + B for VBA to make this report Prdouct and Stage wise in 03.AvgSummary Sheet.</t>
  </si>
  <si>
    <t>Regression analysis go to DATA&gt;Data Analysis&gt;Regression</t>
  </si>
  <si>
    <t>Intercept</t>
  </si>
  <si>
    <t>Unemployment</t>
  </si>
  <si>
    <t>Cov</t>
  </si>
  <si>
    <t>Variance</t>
  </si>
  <si>
    <t>Slope Coefficient</t>
  </si>
  <si>
    <t>Correlation Coefficient</t>
  </si>
  <si>
    <t>Product Type</t>
  </si>
  <si>
    <t>Index</t>
  </si>
  <si>
    <t>12M TTC PD</t>
  </si>
  <si>
    <t>Product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</si>
</sst>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Times New Roman"/>
      <family val="1"/>
    </font>
  </fonts>
  <fills count="4">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s>
  <borders count="9">
    <border>
      <left/>
      <right/>
      <top/>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cellStyleXfs>
  <cellXfs count="33">
    <xf numFmtId="0" fontId="0" fillId="0" borderId="0" xfId="0"/>
    <xf numFmtId="9" fontId="0" fillId="0" borderId="0" xfId="2" applyFont="1"/>
    <xf numFmtId="0" fontId="0" fillId="0" borderId="0" xfId="0" pivotButton="1"/>
    <xf numFmtId="0" fontId="3" fillId="2" borderId="5" xfId="0" applyFont="1" applyFill="1" applyBorder="1"/>
    <xf numFmtId="0" fontId="0" fillId="0" borderId="0" xfId="0" applyAlignment="1">
      <alignment horizontal="left"/>
    </xf>
    <xf numFmtId="9" fontId="0" fillId="0" borderId="0" xfId="0" applyNumberFormat="1"/>
    <xf numFmtId="0" fontId="0" fillId="0" borderId="0" xfId="0" applyAlignment="1">
      <alignment horizontal="center" vertical="center"/>
    </xf>
    <xf numFmtId="9" fontId="0" fillId="0" borderId="0" xfId="0" applyNumberFormat="1" applyAlignment="1">
      <alignment horizontal="center" vertical="center"/>
    </xf>
    <xf numFmtId="0" fontId="4" fillId="0" borderId="6" xfId="0" applyFont="1" applyBorder="1" applyProtection="1">
      <protection locked="0"/>
    </xf>
    <xf numFmtId="0" fontId="0" fillId="0" borderId="4" xfId="0" applyBorder="1"/>
    <xf numFmtId="0" fontId="2" fillId="3" borderId="7" xfId="0" applyFont="1" applyFill="1" applyBorder="1"/>
    <xf numFmtId="0" fontId="2" fillId="3" borderId="1" xfId="0" applyFont="1" applyFill="1" applyBorder="1"/>
    <xf numFmtId="0" fontId="2" fillId="3" borderId="8" xfId="0" applyFont="1" applyFill="1" applyBorder="1"/>
    <xf numFmtId="0" fontId="0" fillId="2" borderId="7" xfId="0" applyFill="1" applyBorder="1"/>
    <xf numFmtId="0" fontId="0" fillId="2" borderId="1" xfId="0" applyFill="1" applyBorder="1"/>
    <xf numFmtId="9" fontId="0" fillId="2" borderId="1" xfId="2" applyFont="1" applyFill="1" applyBorder="1"/>
    <xf numFmtId="0" fontId="0" fillId="2" borderId="8" xfId="0" applyFill="1" applyBorder="1"/>
    <xf numFmtId="0" fontId="0" fillId="0" borderId="7" xfId="0" applyBorder="1"/>
    <xf numFmtId="0" fontId="0" fillId="0" borderId="1" xfId="0" applyBorder="1"/>
    <xf numFmtId="9" fontId="0" fillId="0" borderId="1" xfId="2" applyFont="1" applyBorder="1"/>
    <xf numFmtId="0" fontId="0" fillId="0" borderId="8" xfId="0" applyBorder="1"/>
    <xf numFmtId="0" fontId="0" fillId="0" borderId="2" xfId="0" applyBorder="1"/>
    <xf numFmtId="0" fontId="0" fillId="0" borderId="3" xfId="0" applyBorder="1"/>
    <xf numFmtId="9" fontId="0" fillId="0" borderId="3" xfId="2" applyFont="1" applyBorder="1"/>
    <xf numFmtId="0" fontId="3" fillId="0" borderId="0" xfId="0" applyFont="1"/>
    <xf numFmtId="43" fontId="0" fillId="0" borderId="0" xfId="1" applyFont="1"/>
    <xf numFmtId="43" fontId="0" fillId="0" borderId="0" xfId="0" applyNumberFormat="1"/>
    <xf numFmtId="0" fontId="0" fillId="0" borderId="6" xfId="0" applyBorder="1"/>
    <xf numFmtId="43" fontId="0" fillId="0" borderId="6" xfId="0" applyNumberFormat="1" applyBorder="1"/>
    <xf numFmtId="9" fontId="0" fillId="0" borderId="6" xfId="2" applyFont="1" applyBorder="1"/>
    <xf numFmtId="9" fontId="0" fillId="0" borderId="0" xfId="2" applyFont="1" applyAlignment="1">
      <alignment horizontal="center" vertical="center"/>
    </xf>
    <xf numFmtId="0" fontId="3" fillId="0" borderId="0" xfId="0" applyFont="1" applyAlignment="1">
      <alignment horizontal="left"/>
    </xf>
    <xf numFmtId="9" fontId="3" fillId="0" borderId="0" xfId="0" applyNumberFormat="1" applyFont="1" applyAlignment="1">
      <alignment horizontal="left"/>
    </xf>
  </cellXfs>
  <cellStyles count="6">
    <cellStyle name="Comma" xfId="1" builtinId="3"/>
    <cellStyle name="Normal" xfId="0" builtinId="0"/>
    <cellStyle name="Normal 2 2 2" xfId="3" xr:uid="{F1481505-DAB8-4A73-972B-A36D92EE595F}"/>
    <cellStyle name="Normal 8" xfId="5" xr:uid="{9CC44F8F-16D1-4B4E-8D44-AB681C0019F0}"/>
    <cellStyle name="Percent" xfId="2" builtinId="5"/>
    <cellStyle name="Percent 3 2" xfId="4" xr:uid="{EAADB6A6-3DA0-4FF2-B2D1-5FB911509C01}"/>
  </cellStyles>
  <dxfs count="6">
    <dxf>
      <alignment vertical="center"/>
    </dxf>
    <dxf>
      <alignment vertical="center"/>
    </dxf>
    <dxf>
      <alignment vertical="center"/>
    </dxf>
    <dxf>
      <alignment horizontal="center"/>
    </dxf>
    <dxf>
      <alignment horizontal="center"/>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7/relationships/slicerCache" Target="slicerCaches/slicerCache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[02. PD TTC.xlsm]Visualization!PivotTable1</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PD Over Time</a:t>
            </a:r>
          </a:p>
        </c:rich>
      </c:tx>
      <c:layout>
        <c:manualLayout>
          <c:xMode val="edge"/>
          <c:yMode val="edge"/>
          <c:x val="0.45117901341217104"/>
          <c:y val="5.658007163630824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Visualization!$C$4</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Visualization!$B$5:$B$28</c:f>
              <c:strCache>
                <c:ptCount val="2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strCache>
            </c:strRef>
          </c:cat>
          <c:val>
            <c:numRef>
              <c:f>Visualization!$C$5:$C$28</c:f>
              <c:numCache>
                <c:formatCode>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8.4534926537409696E-2</c:v>
                </c:pt>
                <c:pt idx="18">
                  <c:v>0</c:v>
                </c:pt>
                <c:pt idx="19">
                  <c:v>0</c:v>
                </c:pt>
                <c:pt idx="20">
                  <c:v>0.25482952100793271</c:v>
                </c:pt>
                <c:pt idx="21">
                  <c:v>0.17934080413031375</c:v>
                </c:pt>
                <c:pt idx="22">
                  <c:v>1.2675887527856542E-2</c:v>
                </c:pt>
              </c:numCache>
            </c:numRef>
          </c:val>
          <c:smooth val="0"/>
          <c:extLst>
            <c:ext xmlns:c16="http://schemas.microsoft.com/office/drawing/2014/chart" uri="{C3380CC4-5D6E-409C-BE32-E72D297353CC}">
              <c16:uniqueId val="{00000000-E8DF-4A90-8022-B296506CF914}"/>
            </c:ext>
          </c:extLst>
        </c:ser>
        <c:dLbls>
          <c:showLegendKey val="0"/>
          <c:showVal val="0"/>
          <c:showCatName val="0"/>
          <c:showSerName val="0"/>
          <c:showPercent val="0"/>
          <c:showBubbleSize val="0"/>
        </c:dLbls>
        <c:marker val="1"/>
        <c:smooth val="0"/>
        <c:axId val="1580594368"/>
        <c:axId val="1580608768"/>
      </c:lineChart>
      <c:catAx>
        <c:axId val="158059436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80608768"/>
        <c:crosses val="autoZero"/>
        <c:auto val="1"/>
        <c:lblAlgn val="ctr"/>
        <c:lblOffset val="100"/>
        <c:noMultiLvlLbl val="0"/>
      </c:catAx>
      <c:valAx>
        <c:axId val="158060876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80594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66676</xdr:colOff>
      <xdr:row>0</xdr:row>
      <xdr:rowOff>95249</xdr:rowOff>
    </xdr:from>
    <xdr:to>
      <xdr:col>13</xdr:col>
      <xdr:colOff>404486</xdr:colOff>
      <xdr:row>18</xdr:row>
      <xdr:rowOff>71764</xdr:rowOff>
    </xdr:to>
    <xdr:graphicFrame macro="">
      <xdr:nvGraphicFramePr>
        <xdr:cNvPr id="2" name="Chart 1">
          <a:extLst>
            <a:ext uri="{FF2B5EF4-FFF2-40B4-BE49-F238E27FC236}">
              <a16:creationId xmlns:a16="http://schemas.microsoft.com/office/drawing/2014/main" id="{5C3E1B82-9361-2B11-F090-E6CAB4B98C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519076</xdr:colOff>
      <xdr:row>0</xdr:row>
      <xdr:rowOff>81864</xdr:rowOff>
    </xdr:from>
    <xdr:to>
      <xdr:col>16</xdr:col>
      <xdr:colOff>287056</xdr:colOff>
      <xdr:row>13</xdr:row>
      <xdr:rowOff>39144</xdr:rowOff>
    </xdr:to>
    <mc:AlternateContent xmlns:mc="http://schemas.openxmlformats.org/markup-compatibility/2006" xmlns:a14="http://schemas.microsoft.com/office/drawing/2010/main">
      <mc:Choice Requires="a14">
        <xdr:graphicFrame macro="">
          <xdr:nvGraphicFramePr>
            <xdr:cNvPr id="3" name="ProductType">
              <a:extLst>
                <a:ext uri="{FF2B5EF4-FFF2-40B4-BE49-F238E27FC236}">
                  <a16:creationId xmlns:a16="http://schemas.microsoft.com/office/drawing/2014/main" id="{0DADDE0C-9BB0-BDA6-E4CA-A7730DF8061D}"/>
                </a:ext>
              </a:extLst>
            </xdr:cNvPr>
            <xdr:cNvGraphicFramePr/>
          </xdr:nvGraphicFramePr>
          <xdr:xfrm>
            <a:off x="0" y="0"/>
            <a:ext cx="0" cy="0"/>
          </xdr:xfrm>
          <a:graphic>
            <a:graphicData uri="http://schemas.microsoft.com/office/drawing/2010/slicer">
              <sle:slicer xmlns:sle="http://schemas.microsoft.com/office/drawing/2010/slicer" name="ProductType"/>
            </a:graphicData>
          </a:graphic>
        </xdr:graphicFrame>
      </mc:Choice>
      <mc:Fallback xmlns="">
        <xdr:sp macro="" textlink="">
          <xdr:nvSpPr>
            <xdr:cNvPr id="0" name=""/>
            <xdr:cNvSpPr>
              <a:spLocks noTextEdit="1"/>
            </xdr:cNvSpPr>
          </xdr:nvSpPr>
          <xdr:spPr>
            <a:xfrm>
              <a:off x="8073836" y="81864"/>
              <a:ext cx="1705600" cy="23320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475661</xdr:colOff>
      <xdr:row>13</xdr:row>
      <xdr:rowOff>128477</xdr:rowOff>
    </xdr:from>
    <xdr:to>
      <xdr:col>16</xdr:col>
      <xdr:colOff>339246</xdr:colOff>
      <xdr:row>18</xdr:row>
      <xdr:rowOff>52193</xdr:rowOff>
    </xdr:to>
    <mc:AlternateContent xmlns:mc="http://schemas.openxmlformats.org/markup-compatibility/2006" xmlns:a14="http://schemas.microsoft.com/office/drawing/2010/main">
      <mc:Choice Requires="a14">
        <xdr:graphicFrame macro="">
          <xdr:nvGraphicFramePr>
            <xdr:cNvPr id="4" name="Stage">
              <a:extLst>
                <a:ext uri="{FF2B5EF4-FFF2-40B4-BE49-F238E27FC236}">
                  <a16:creationId xmlns:a16="http://schemas.microsoft.com/office/drawing/2014/main" id="{05F73FA0-7C49-DC09-5CAA-B6E103CF94C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8030421" y="2503203"/>
              <a:ext cx="1801205" cy="8240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07.%20B.Lama%20&amp;%20Associates\02.%20CentralECL\01.%20PD%20Before%20Calibration.xlsm" TargetMode="External"/><Relationship Id="rId1" Type="http://schemas.openxmlformats.org/officeDocument/2006/relationships/externalLinkPath" Target="01.%20PD%20Before%20Calibration.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07.%20B.Lama%20&amp;%20Associates\02.%20CentralECL\03.%20PIT%20PD.xlsx" TargetMode="External"/><Relationship Id="rId1" Type="http://schemas.openxmlformats.org/officeDocument/2006/relationships/externalLinkPath" Target="03.%20PIT%20P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01. RawData"/>
      <sheetName val="02. Matrix"/>
      <sheetName val="03. Matrix with Location"/>
      <sheetName val="Visualization"/>
      <sheetName val="Mapping"/>
    </sheetNames>
    <sheetDataSet>
      <sheetData sheetId="0" refreshError="1"/>
      <sheetData sheetId="1">
        <row r="10">
          <cell r="A10" t="str">
            <v>S.N.</v>
          </cell>
          <cell r="B10" t="str">
            <v>Quarter</v>
          </cell>
          <cell r="C10" t="str">
            <v>ProductType</v>
          </cell>
          <cell r="D10" t="str">
            <v>Stage</v>
          </cell>
          <cell r="E10" t="str">
            <v>12M PD</v>
          </cell>
        </row>
        <row r="11">
          <cell r="A11">
            <v>1</v>
          </cell>
          <cell r="B11">
            <v>23</v>
          </cell>
          <cell r="C11" t="str">
            <v>OD PERSONAL LOAN</v>
          </cell>
          <cell r="D11">
            <v>1</v>
          </cell>
          <cell r="E11">
            <v>0.12892252146601907</v>
          </cell>
        </row>
        <row r="12">
          <cell r="A12">
            <v>2</v>
          </cell>
          <cell r="B12">
            <v>23</v>
          </cell>
          <cell r="C12" t="str">
            <v>OD BUSINESS LOAN</v>
          </cell>
          <cell r="D12">
            <v>1</v>
          </cell>
          <cell r="E12">
            <v>0</v>
          </cell>
        </row>
        <row r="13">
          <cell r="A13">
            <v>3</v>
          </cell>
          <cell r="B13">
            <v>23</v>
          </cell>
          <cell r="C13" t="str">
            <v>OD STAFF LOAN</v>
          </cell>
          <cell r="D13">
            <v>1</v>
          </cell>
          <cell r="E13">
            <v>0</v>
          </cell>
        </row>
        <row r="14">
          <cell r="A14">
            <v>4</v>
          </cell>
          <cell r="B14">
            <v>23</v>
          </cell>
          <cell r="C14" t="str">
            <v>TERM LOAN</v>
          </cell>
          <cell r="D14">
            <v>1</v>
          </cell>
          <cell r="E14">
            <v>9.1355400283232524E-2</v>
          </cell>
        </row>
        <row r="15">
          <cell r="A15">
            <v>5</v>
          </cell>
          <cell r="B15">
            <v>23</v>
          </cell>
          <cell r="C15" t="str">
            <v>WC TRADING/IND LOAN</v>
          </cell>
          <cell r="D15">
            <v>1</v>
          </cell>
          <cell r="E15">
            <v>0.12010395924220262</v>
          </cell>
        </row>
        <row r="16">
          <cell r="A16">
            <v>6</v>
          </cell>
          <cell r="B16">
            <v>23</v>
          </cell>
          <cell r="C16" t="str">
            <v>HOUSING LOAN</v>
          </cell>
          <cell r="D16">
            <v>1</v>
          </cell>
          <cell r="E16">
            <v>0.19430909865599366</v>
          </cell>
        </row>
        <row r="17">
          <cell r="A17">
            <v>7</v>
          </cell>
          <cell r="B17">
            <v>23</v>
          </cell>
          <cell r="C17" t="str">
            <v>RESI REAL EST LOAN</v>
          </cell>
          <cell r="D17">
            <v>1</v>
          </cell>
          <cell r="E17">
            <v>0</v>
          </cell>
        </row>
        <row r="18">
          <cell r="A18">
            <v>8</v>
          </cell>
          <cell r="B18">
            <v>23</v>
          </cell>
          <cell r="C18" t="str">
            <v>MARGIN NATURE LOAN</v>
          </cell>
          <cell r="D18">
            <v>1</v>
          </cell>
          <cell r="E18">
            <v>0</v>
          </cell>
        </row>
        <row r="19">
          <cell r="A19">
            <v>9</v>
          </cell>
          <cell r="B19">
            <v>23</v>
          </cell>
          <cell r="C19" t="str">
            <v>HIRE PURCHASE LOAN</v>
          </cell>
          <cell r="D19">
            <v>1</v>
          </cell>
          <cell r="E19">
            <v>4.6706172782707431E-2</v>
          </cell>
        </row>
        <row r="20">
          <cell r="A20">
            <v>10</v>
          </cell>
          <cell r="B20">
            <v>23</v>
          </cell>
          <cell r="C20" t="str">
            <v>DEPRIVED SECTOR LOAN</v>
          </cell>
          <cell r="D20">
            <v>1</v>
          </cell>
          <cell r="E20">
            <v>2.8464920153483124E-3</v>
          </cell>
        </row>
        <row r="21">
          <cell r="A21">
            <v>11</v>
          </cell>
          <cell r="B21">
            <v>23</v>
          </cell>
          <cell r="C21" t="str">
            <v>EDUCATIONAL LOAN</v>
          </cell>
          <cell r="D21">
            <v>1</v>
          </cell>
          <cell r="E21">
            <v>0</v>
          </cell>
        </row>
        <row r="22">
          <cell r="A22">
            <v>12</v>
          </cell>
          <cell r="B22">
            <v>23</v>
          </cell>
          <cell r="C22" t="str">
            <v>AGRICULTURE LOAN</v>
          </cell>
          <cell r="D22">
            <v>1</v>
          </cell>
          <cell r="E22">
            <v>8.3882953150711342E-2</v>
          </cell>
        </row>
        <row r="23">
          <cell r="A23">
            <v>13</v>
          </cell>
          <cell r="B23">
            <v>23</v>
          </cell>
          <cell r="C23" t="str">
            <v>RESI PER.HOME-EMI</v>
          </cell>
          <cell r="D23">
            <v>1</v>
          </cell>
          <cell r="E23">
            <v>0.169393802772486</v>
          </cell>
        </row>
        <row r="24">
          <cell r="A24">
            <v>14</v>
          </cell>
          <cell r="B24">
            <v>23</v>
          </cell>
          <cell r="C24" t="str">
            <v>TERM LOAN - BUSINESS</v>
          </cell>
          <cell r="D24">
            <v>1</v>
          </cell>
          <cell r="E24">
            <v>0.10875601451192747</v>
          </cell>
        </row>
        <row r="25">
          <cell r="A25">
            <v>15</v>
          </cell>
          <cell r="B25">
            <v>23</v>
          </cell>
          <cell r="C25" t="str">
            <v>CONS FIN BUSN TRM LO</v>
          </cell>
          <cell r="D25">
            <v>1</v>
          </cell>
          <cell r="E25">
            <v>0</v>
          </cell>
        </row>
        <row r="26">
          <cell r="A26">
            <v>16</v>
          </cell>
          <cell r="B26">
            <v>23</v>
          </cell>
          <cell r="C26" t="str">
            <v>BIS/PERHIRE PURCHASE</v>
          </cell>
          <cell r="D26">
            <v>1</v>
          </cell>
          <cell r="E26">
            <v>0.19528280506701479</v>
          </cell>
        </row>
        <row r="27">
          <cell r="A27">
            <v>17</v>
          </cell>
          <cell r="B27">
            <v>23</v>
          </cell>
          <cell r="C27" t="str">
            <v xml:space="preserve">INT CAP TERM LOAN </v>
          </cell>
          <cell r="D27">
            <v>1</v>
          </cell>
          <cell r="E27">
            <v>0</v>
          </cell>
        </row>
        <row r="28">
          <cell r="A28">
            <v>18</v>
          </cell>
          <cell r="B28">
            <v>23</v>
          </cell>
          <cell r="C28" t="str">
            <v>PERSONAL LOAN</v>
          </cell>
          <cell r="D28">
            <v>1</v>
          </cell>
          <cell r="E28">
            <v>7.5862093206630316E-2</v>
          </cell>
        </row>
        <row r="29">
          <cell r="A29">
            <v>19</v>
          </cell>
          <cell r="B29">
            <v>23</v>
          </cell>
          <cell r="C29" t="str">
            <v>MORTGAGE LOAN</v>
          </cell>
          <cell r="D29">
            <v>1</v>
          </cell>
          <cell r="E29">
            <v>2.7180805999842732E-2</v>
          </cell>
        </row>
        <row r="30">
          <cell r="A30">
            <v>20</v>
          </cell>
          <cell r="B30">
            <v>23</v>
          </cell>
          <cell r="C30" t="str">
            <v>LOAN AGAINST FDR</v>
          </cell>
          <cell r="D30">
            <v>1</v>
          </cell>
          <cell r="E30">
            <v>0</v>
          </cell>
        </row>
        <row r="31">
          <cell r="A31">
            <v>21</v>
          </cell>
          <cell r="B31">
            <v>23</v>
          </cell>
          <cell r="C31" t="str">
            <v>RECEIVABLE LOAN</v>
          </cell>
          <cell r="D31">
            <v>1</v>
          </cell>
          <cell r="E31">
            <v>0</v>
          </cell>
        </row>
        <row r="32">
          <cell r="A32">
            <v>22</v>
          </cell>
          <cell r="B32">
            <v>23</v>
          </cell>
          <cell r="C32" t="str">
            <v>STAFF LOAN</v>
          </cell>
          <cell r="D32">
            <v>1</v>
          </cell>
          <cell r="E32">
            <v>0</v>
          </cell>
        </row>
        <row r="33">
          <cell r="A33">
            <v>23</v>
          </cell>
          <cell r="B33">
            <v>23</v>
          </cell>
          <cell r="C33" t="str">
            <v>AGRICULTURAL LOAN</v>
          </cell>
          <cell r="D33">
            <v>1</v>
          </cell>
          <cell r="E33">
            <v>1.2675887527856542E-2</v>
          </cell>
        </row>
        <row r="34">
          <cell r="A34">
            <v>24</v>
          </cell>
          <cell r="B34">
            <v>23</v>
          </cell>
          <cell r="C34" t="str">
            <v>EARTHQUAKE RELIEF LO</v>
          </cell>
          <cell r="D34">
            <v>1</v>
          </cell>
          <cell r="E34">
            <v>0</v>
          </cell>
        </row>
        <row r="35">
          <cell r="A35">
            <v>25</v>
          </cell>
          <cell r="B35">
            <v>23</v>
          </cell>
          <cell r="C35" t="str">
            <v>TOURISM SECTOR LOAN</v>
          </cell>
          <cell r="D35">
            <v>1</v>
          </cell>
          <cell r="E35">
            <v>0</v>
          </cell>
        </row>
        <row r="36">
          <cell r="A36">
            <v>26</v>
          </cell>
          <cell r="B36">
            <v>23</v>
          </cell>
          <cell r="C36" t="str">
            <v>SME LOAN</v>
          </cell>
          <cell r="D36">
            <v>1</v>
          </cell>
          <cell r="E36">
            <v>0</v>
          </cell>
        </row>
        <row r="37">
          <cell r="A37">
            <v>27</v>
          </cell>
          <cell r="B37">
            <v>23</v>
          </cell>
          <cell r="C37" t="str">
            <v>EDUCATIONAL LOAN EMI</v>
          </cell>
          <cell r="D37">
            <v>1</v>
          </cell>
          <cell r="E37">
            <v>0</v>
          </cell>
        </row>
        <row r="38">
          <cell r="A38">
            <v>28</v>
          </cell>
          <cell r="B38">
            <v>23</v>
          </cell>
          <cell r="C38" t="str">
            <v>OVERDRAFT PROFESSION</v>
          </cell>
          <cell r="D38">
            <v>1</v>
          </cell>
          <cell r="E38">
            <v>0</v>
          </cell>
        </row>
        <row r="39">
          <cell r="A39">
            <v>29</v>
          </cell>
          <cell r="B39">
            <v>23</v>
          </cell>
          <cell r="C39" t="str">
            <v>OD PERSONAL LOAN</v>
          </cell>
          <cell r="D39">
            <v>2</v>
          </cell>
          <cell r="E39">
            <v>0.19989453956925751</v>
          </cell>
        </row>
        <row r="40">
          <cell r="A40">
            <v>30</v>
          </cell>
          <cell r="B40">
            <v>23</v>
          </cell>
          <cell r="C40" t="str">
            <v>OD BUSINESS LOAN</v>
          </cell>
          <cell r="D40">
            <v>2</v>
          </cell>
          <cell r="E40">
            <v>0</v>
          </cell>
        </row>
        <row r="41">
          <cell r="A41">
            <v>31</v>
          </cell>
          <cell r="B41">
            <v>23</v>
          </cell>
          <cell r="C41" t="str">
            <v>OD STAFF LOAN</v>
          </cell>
          <cell r="D41">
            <v>2</v>
          </cell>
          <cell r="E41">
            <v>0</v>
          </cell>
        </row>
        <row r="42">
          <cell r="A42">
            <v>32</v>
          </cell>
          <cell r="B42">
            <v>23</v>
          </cell>
          <cell r="C42" t="str">
            <v>TERM LOAN</v>
          </cell>
          <cell r="D42">
            <v>2</v>
          </cell>
          <cell r="E42">
            <v>0.27760798271423498</v>
          </cell>
        </row>
        <row r="43">
          <cell r="A43">
            <v>33</v>
          </cell>
          <cell r="B43">
            <v>23</v>
          </cell>
          <cell r="C43" t="str">
            <v>WC TRADING/IND LOAN</v>
          </cell>
          <cell r="D43">
            <v>2</v>
          </cell>
          <cell r="E43">
            <v>0.17640008496844142</v>
          </cell>
        </row>
        <row r="44">
          <cell r="A44">
            <v>34</v>
          </cell>
          <cell r="B44">
            <v>23</v>
          </cell>
          <cell r="C44" t="str">
            <v>HOUSING LOAN</v>
          </cell>
          <cell r="D44">
            <v>2</v>
          </cell>
          <cell r="E44">
            <v>0.33440376138467287</v>
          </cell>
        </row>
        <row r="45">
          <cell r="A45">
            <v>35</v>
          </cell>
          <cell r="B45">
            <v>23</v>
          </cell>
          <cell r="C45" t="str">
            <v>RESI REAL EST LOAN</v>
          </cell>
          <cell r="D45">
            <v>2</v>
          </cell>
          <cell r="E45">
            <v>0</v>
          </cell>
        </row>
        <row r="46">
          <cell r="A46">
            <v>36</v>
          </cell>
          <cell r="B46">
            <v>23</v>
          </cell>
          <cell r="C46" t="str">
            <v>MARGIN NATURE LOAN</v>
          </cell>
          <cell r="D46">
            <v>2</v>
          </cell>
          <cell r="E46">
            <v>0</v>
          </cell>
        </row>
        <row r="47">
          <cell r="A47">
            <v>37</v>
          </cell>
          <cell r="B47">
            <v>23</v>
          </cell>
          <cell r="C47" t="str">
            <v>HIRE PURCHASE LOAN</v>
          </cell>
          <cell r="D47">
            <v>2</v>
          </cell>
          <cell r="E47">
            <v>0.53049772939435369</v>
          </cell>
        </row>
        <row r="48">
          <cell r="A48">
            <v>38</v>
          </cell>
          <cell r="B48">
            <v>23</v>
          </cell>
          <cell r="C48" t="str">
            <v>DEPRIVED SECTOR LOAN</v>
          </cell>
          <cell r="D48">
            <v>2</v>
          </cell>
          <cell r="E48">
            <v>0.14453319613355389</v>
          </cell>
        </row>
        <row r="49">
          <cell r="A49">
            <v>39</v>
          </cell>
          <cell r="B49">
            <v>23</v>
          </cell>
          <cell r="C49" t="str">
            <v>EDUCATIONAL LOAN</v>
          </cell>
          <cell r="D49">
            <v>2</v>
          </cell>
          <cell r="E49">
            <v>0</v>
          </cell>
        </row>
        <row r="50">
          <cell r="A50">
            <v>40</v>
          </cell>
          <cell r="B50">
            <v>23</v>
          </cell>
          <cell r="C50" t="str">
            <v>AGRICULTURE LOAN</v>
          </cell>
          <cell r="D50">
            <v>2</v>
          </cell>
          <cell r="E50">
            <v>0.2926079436429429</v>
          </cell>
        </row>
        <row r="51">
          <cell r="A51">
            <v>41</v>
          </cell>
          <cell r="B51">
            <v>23</v>
          </cell>
          <cell r="C51" t="str">
            <v>RESI PER.HOME-EMI</v>
          </cell>
          <cell r="D51">
            <v>2</v>
          </cell>
          <cell r="E51">
            <v>0.27219558992150272</v>
          </cell>
        </row>
        <row r="52">
          <cell r="A52">
            <v>42</v>
          </cell>
          <cell r="B52">
            <v>23</v>
          </cell>
          <cell r="C52" t="str">
            <v>TERM LOAN - BUSINESS</v>
          </cell>
          <cell r="D52">
            <v>2</v>
          </cell>
          <cell r="E52">
            <v>0.37308697078314568</v>
          </cell>
        </row>
        <row r="53">
          <cell r="A53">
            <v>43</v>
          </cell>
          <cell r="B53">
            <v>23</v>
          </cell>
          <cell r="C53" t="str">
            <v>CONS FIN BUSN TRM LO</v>
          </cell>
          <cell r="D53">
            <v>2</v>
          </cell>
          <cell r="E53">
            <v>0</v>
          </cell>
        </row>
        <row r="54">
          <cell r="A54">
            <v>44</v>
          </cell>
          <cell r="B54">
            <v>23</v>
          </cell>
          <cell r="C54" t="str">
            <v>BIS/PERHIRE PURCHASE</v>
          </cell>
          <cell r="D54">
            <v>2</v>
          </cell>
          <cell r="E54">
            <v>0.50149529230205137</v>
          </cell>
        </row>
        <row r="55">
          <cell r="A55">
            <v>45</v>
          </cell>
          <cell r="B55">
            <v>23</v>
          </cell>
          <cell r="C55" t="str">
            <v xml:space="preserve">INT CAP TERM LOAN </v>
          </cell>
          <cell r="D55">
            <v>2</v>
          </cell>
          <cell r="E55">
            <v>0</v>
          </cell>
        </row>
        <row r="56">
          <cell r="A56">
            <v>46</v>
          </cell>
          <cell r="B56">
            <v>23</v>
          </cell>
          <cell r="C56" t="str">
            <v>PERSONAL LOAN</v>
          </cell>
          <cell r="D56">
            <v>2</v>
          </cell>
          <cell r="E56">
            <v>0.14291013368759392</v>
          </cell>
        </row>
        <row r="57">
          <cell r="A57">
            <v>47</v>
          </cell>
          <cell r="B57">
            <v>23</v>
          </cell>
          <cell r="C57" t="str">
            <v>MORTGAGE LOAN</v>
          </cell>
          <cell r="D57">
            <v>2</v>
          </cell>
          <cell r="E57">
            <v>0.13346956069709026</v>
          </cell>
        </row>
        <row r="58">
          <cell r="A58">
            <v>48</v>
          </cell>
          <cell r="B58">
            <v>23</v>
          </cell>
          <cell r="C58" t="str">
            <v>LOAN AGAINST FDR</v>
          </cell>
          <cell r="D58">
            <v>2</v>
          </cell>
          <cell r="E58">
            <v>0</v>
          </cell>
        </row>
        <row r="59">
          <cell r="A59">
            <v>49</v>
          </cell>
          <cell r="B59">
            <v>23</v>
          </cell>
          <cell r="C59" t="str">
            <v>RECEIVABLE LOAN</v>
          </cell>
          <cell r="D59">
            <v>2</v>
          </cell>
          <cell r="E59">
            <v>0</v>
          </cell>
        </row>
        <row r="60">
          <cell r="A60">
            <v>50</v>
          </cell>
          <cell r="B60">
            <v>23</v>
          </cell>
          <cell r="C60" t="str">
            <v>STAFF LOAN</v>
          </cell>
          <cell r="D60">
            <v>2</v>
          </cell>
          <cell r="E60">
            <v>0</v>
          </cell>
        </row>
        <row r="61">
          <cell r="A61">
            <v>51</v>
          </cell>
          <cell r="B61">
            <v>23</v>
          </cell>
          <cell r="C61" t="str">
            <v>AGRICULTURAL LOAN</v>
          </cell>
          <cell r="D61">
            <v>2</v>
          </cell>
          <cell r="E61">
            <v>4.1531125708018715E-2</v>
          </cell>
        </row>
        <row r="62">
          <cell r="A62">
            <v>52</v>
          </cell>
          <cell r="B62">
            <v>23</v>
          </cell>
          <cell r="C62" t="str">
            <v>EARTHQUAKE RELIEF LO</v>
          </cell>
          <cell r="D62">
            <v>2</v>
          </cell>
          <cell r="E62">
            <v>0</v>
          </cell>
        </row>
        <row r="63">
          <cell r="A63">
            <v>53</v>
          </cell>
          <cell r="B63">
            <v>23</v>
          </cell>
          <cell r="C63" t="str">
            <v>TOURISM SECTOR LOAN</v>
          </cell>
          <cell r="D63">
            <v>2</v>
          </cell>
          <cell r="E63">
            <v>0</v>
          </cell>
        </row>
        <row r="64">
          <cell r="A64">
            <v>54</v>
          </cell>
          <cell r="B64">
            <v>23</v>
          </cell>
          <cell r="C64" t="str">
            <v>SME LOAN</v>
          </cell>
          <cell r="D64">
            <v>2</v>
          </cell>
          <cell r="E64">
            <v>0</v>
          </cell>
        </row>
        <row r="65">
          <cell r="A65">
            <v>55</v>
          </cell>
          <cell r="B65">
            <v>23</v>
          </cell>
          <cell r="C65" t="str">
            <v>EDUCATIONAL LOAN EMI</v>
          </cell>
          <cell r="D65">
            <v>2</v>
          </cell>
          <cell r="E65">
            <v>0</v>
          </cell>
        </row>
        <row r="66">
          <cell r="A66">
            <v>56</v>
          </cell>
          <cell r="B66">
            <v>23</v>
          </cell>
          <cell r="C66" t="str">
            <v>OVERDRAFT PROFESSION</v>
          </cell>
          <cell r="D66">
            <v>2</v>
          </cell>
          <cell r="E66">
            <v>0</v>
          </cell>
        </row>
        <row r="67">
          <cell r="A67">
            <v>57</v>
          </cell>
          <cell r="B67">
            <v>22</v>
          </cell>
          <cell r="C67" t="str">
            <v>OD PERSONAL LOAN</v>
          </cell>
          <cell r="D67">
            <v>1</v>
          </cell>
          <cell r="E67">
            <v>0.49586094004758607</v>
          </cell>
        </row>
        <row r="68">
          <cell r="A68">
            <v>58</v>
          </cell>
          <cell r="B68">
            <v>22</v>
          </cell>
          <cell r="C68" t="str">
            <v>OD BUSINESS LOAN</v>
          </cell>
          <cell r="D68">
            <v>1</v>
          </cell>
          <cell r="E68">
            <v>0.34258776323503548</v>
          </cell>
        </row>
        <row r="69">
          <cell r="A69">
            <v>59</v>
          </cell>
          <cell r="B69">
            <v>22</v>
          </cell>
          <cell r="C69" t="str">
            <v>OD STAFF LOAN</v>
          </cell>
          <cell r="D69">
            <v>1</v>
          </cell>
          <cell r="E69">
            <v>0</v>
          </cell>
        </row>
        <row r="70">
          <cell r="A70">
            <v>60</v>
          </cell>
          <cell r="B70">
            <v>22</v>
          </cell>
          <cell r="C70" t="str">
            <v>TERM LOAN</v>
          </cell>
          <cell r="D70">
            <v>1</v>
          </cell>
          <cell r="E70">
            <v>0.38463349642868516</v>
          </cell>
        </row>
        <row r="71">
          <cell r="A71">
            <v>61</v>
          </cell>
          <cell r="B71">
            <v>22</v>
          </cell>
          <cell r="C71" t="str">
            <v>WC TRADING/IND LOAN</v>
          </cell>
          <cell r="D71">
            <v>1</v>
          </cell>
          <cell r="E71">
            <v>0.70304922120911018</v>
          </cell>
        </row>
        <row r="72">
          <cell r="A72">
            <v>62</v>
          </cell>
          <cell r="B72">
            <v>22</v>
          </cell>
          <cell r="C72" t="str">
            <v>HOUSING LOAN</v>
          </cell>
          <cell r="D72">
            <v>1</v>
          </cell>
          <cell r="E72">
            <v>0.26930361770305944</v>
          </cell>
        </row>
        <row r="73">
          <cell r="A73">
            <v>63</v>
          </cell>
          <cell r="B73">
            <v>22</v>
          </cell>
          <cell r="C73" t="str">
            <v>RESI REAL EST LOAN</v>
          </cell>
          <cell r="D73">
            <v>1</v>
          </cell>
          <cell r="E73">
            <v>0.24108653255993465</v>
          </cell>
        </row>
        <row r="74">
          <cell r="A74">
            <v>64</v>
          </cell>
          <cell r="B74">
            <v>22</v>
          </cell>
          <cell r="C74" t="str">
            <v>MARGIN NATURE LOAN</v>
          </cell>
          <cell r="D74">
            <v>1</v>
          </cell>
          <cell r="E74">
            <v>0</v>
          </cell>
        </row>
        <row r="75">
          <cell r="A75">
            <v>65</v>
          </cell>
          <cell r="B75">
            <v>22</v>
          </cell>
          <cell r="C75" t="str">
            <v>HIRE PURCHASE LOAN</v>
          </cell>
          <cell r="D75">
            <v>1</v>
          </cell>
          <cell r="E75">
            <v>0</v>
          </cell>
        </row>
        <row r="76">
          <cell r="A76">
            <v>66</v>
          </cell>
          <cell r="B76">
            <v>22</v>
          </cell>
          <cell r="C76" t="str">
            <v>DEPRIVED SECTOR LOAN</v>
          </cell>
          <cell r="D76">
            <v>1</v>
          </cell>
          <cell r="E76">
            <v>0</v>
          </cell>
        </row>
        <row r="77">
          <cell r="A77">
            <v>67</v>
          </cell>
          <cell r="B77">
            <v>22</v>
          </cell>
          <cell r="C77" t="str">
            <v>EDUCATIONAL LOAN</v>
          </cell>
          <cell r="D77">
            <v>1</v>
          </cell>
          <cell r="E77">
            <v>0.3500157557074679</v>
          </cell>
        </row>
        <row r="78">
          <cell r="A78">
            <v>68</v>
          </cell>
          <cell r="B78">
            <v>22</v>
          </cell>
          <cell r="C78" t="str">
            <v>AGRICULTURE LOAN</v>
          </cell>
          <cell r="D78">
            <v>1</v>
          </cell>
          <cell r="E78">
            <v>0.36677310133886826</v>
          </cell>
        </row>
        <row r="79">
          <cell r="A79">
            <v>69</v>
          </cell>
          <cell r="B79">
            <v>22</v>
          </cell>
          <cell r="C79" t="str">
            <v>RESI PER.HOME-EMI</v>
          </cell>
          <cell r="D79">
            <v>1</v>
          </cell>
          <cell r="E79">
            <v>0.41549801266549646</v>
          </cell>
        </row>
        <row r="80">
          <cell r="A80">
            <v>70</v>
          </cell>
          <cell r="B80">
            <v>22</v>
          </cell>
          <cell r="C80" t="str">
            <v>TERM LOAN - BUSINESS</v>
          </cell>
          <cell r="D80">
            <v>1</v>
          </cell>
          <cell r="E80">
            <v>0.50549986246368184</v>
          </cell>
        </row>
        <row r="81">
          <cell r="A81">
            <v>71</v>
          </cell>
          <cell r="B81">
            <v>22</v>
          </cell>
          <cell r="C81" t="str">
            <v>CONS FIN BUSN TRM LO</v>
          </cell>
          <cell r="D81">
            <v>1</v>
          </cell>
          <cell r="E81">
            <v>0</v>
          </cell>
        </row>
        <row r="82">
          <cell r="A82">
            <v>72</v>
          </cell>
          <cell r="B82">
            <v>22</v>
          </cell>
          <cell r="C82" t="str">
            <v>BIS/PERHIRE PURCHASE</v>
          </cell>
          <cell r="D82">
            <v>1</v>
          </cell>
          <cell r="E82">
            <v>0.63054644323850739</v>
          </cell>
        </row>
        <row r="83">
          <cell r="A83">
            <v>73</v>
          </cell>
          <cell r="B83">
            <v>22</v>
          </cell>
          <cell r="C83" t="str">
            <v xml:space="preserve">INT CAP TERM LOAN </v>
          </cell>
          <cell r="D83">
            <v>1</v>
          </cell>
          <cell r="E83">
            <v>0</v>
          </cell>
        </row>
        <row r="84">
          <cell r="A84">
            <v>74</v>
          </cell>
          <cell r="B84">
            <v>22</v>
          </cell>
          <cell r="C84" t="str">
            <v>PERSONAL LOAN</v>
          </cell>
          <cell r="D84">
            <v>1</v>
          </cell>
          <cell r="E84">
            <v>0.35043158362439203</v>
          </cell>
        </row>
        <row r="85">
          <cell r="A85">
            <v>75</v>
          </cell>
          <cell r="B85">
            <v>22</v>
          </cell>
          <cell r="C85" t="str">
            <v>MORTGAGE LOAN</v>
          </cell>
          <cell r="D85">
            <v>1</v>
          </cell>
          <cell r="E85">
            <v>0.23432967788063058</v>
          </cell>
        </row>
        <row r="86">
          <cell r="A86">
            <v>76</v>
          </cell>
          <cell r="B86">
            <v>22</v>
          </cell>
          <cell r="C86" t="str">
            <v>LOAN AGAINST FDR</v>
          </cell>
          <cell r="D86">
            <v>1</v>
          </cell>
          <cell r="E86">
            <v>0</v>
          </cell>
        </row>
        <row r="87">
          <cell r="A87">
            <v>77</v>
          </cell>
          <cell r="B87">
            <v>22</v>
          </cell>
          <cell r="C87" t="str">
            <v>RECEIVABLE LOAN</v>
          </cell>
          <cell r="D87">
            <v>1</v>
          </cell>
          <cell r="E87">
            <v>0</v>
          </cell>
        </row>
        <row r="88">
          <cell r="A88">
            <v>78</v>
          </cell>
          <cell r="B88">
            <v>22</v>
          </cell>
          <cell r="C88" t="str">
            <v>STAFF LOAN</v>
          </cell>
          <cell r="D88">
            <v>1</v>
          </cell>
          <cell r="E88">
            <v>0</v>
          </cell>
        </row>
        <row r="89">
          <cell r="A89">
            <v>79</v>
          </cell>
          <cell r="B89">
            <v>22</v>
          </cell>
          <cell r="C89" t="str">
            <v>AGRICULTURAL LOAN</v>
          </cell>
          <cell r="D89">
            <v>1</v>
          </cell>
          <cell r="E89">
            <v>0.17934080413031375</v>
          </cell>
        </row>
        <row r="90">
          <cell r="A90">
            <v>80</v>
          </cell>
          <cell r="B90">
            <v>22</v>
          </cell>
          <cell r="C90" t="str">
            <v>EARTHQUAKE RELIEF LO</v>
          </cell>
          <cell r="D90">
            <v>1</v>
          </cell>
          <cell r="E90">
            <v>0</v>
          </cell>
        </row>
        <row r="91">
          <cell r="A91">
            <v>81</v>
          </cell>
          <cell r="B91">
            <v>22</v>
          </cell>
          <cell r="C91" t="str">
            <v>TOURISM SECTOR LOAN</v>
          </cell>
          <cell r="D91">
            <v>1</v>
          </cell>
          <cell r="E91">
            <v>0</v>
          </cell>
        </row>
        <row r="92">
          <cell r="A92">
            <v>82</v>
          </cell>
          <cell r="B92">
            <v>22</v>
          </cell>
          <cell r="C92" t="str">
            <v>SME LOAN</v>
          </cell>
          <cell r="D92">
            <v>1</v>
          </cell>
          <cell r="E92">
            <v>0</v>
          </cell>
        </row>
        <row r="93">
          <cell r="A93">
            <v>83</v>
          </cell>
          <cell r="B93">
            <v>22</v>
          </cell>
          <cell r="C93" t="str">
            <v>EDUCATIONAL LOAN EMI</v>
          </cell>
          <cell r="D93">
            <v>1</v>
          </cell>
          <cell r="E93">
            <v>0</v>
          </cell>
        </row>
        <row r="94">
          <cell r="A94">
            <v>84</v>
          </cell>
          <cell r="B94">
            <v>22</v>
          </cell>
          <cell r="C94" t="str">
            <v>OVERDRAFT PROFESSION</v>
          </cell>
          <cell r="D94">
            <v>1</v>
          </cell>
          <cell r="E94">
            <v>0</v>
          </cell>
        </row>
        <row r="95">
          <cell r="A95">
            <v>85</v>
          </cell>
          <cell r="B95">
            <v>22</v>
          </cell>
          <cell r="C95" t="str">
            <v>OD PERSONAL LOAN</v>
          </cell>
          <cell r="D95">
            <v>2</v>
          </cell>
          <cell r="E95">
            <v>0.65111632587012092</v>
          </cell>
        </row>
        <row r="96">
          <cell r="A96">
            <v>86</v>
          </cell>
          <cell r="B96">
            <v>22</v>
          </cell>
          <cell r="C96" t="str">
            <v>OD BUSINESS LOAN</v>
          </cell>
          <cell r="D96">
            <v>2</v>
          </cell>
          <cell r="E96">
            <v>0.88630958164983864</v>
          </cell>
        </row>
        <row r="97">
          <cell r="A97">
            <v>87</v>
          </cell>
          <cell r="B97">
            <v>22</v>
          </cell>
          <cell r="C97" t="str">
            <v>OD STAFF LOAN</v>
          </cell>
          <cell r="D97">
            <v>2</v>
          </cell>
          <cell r="E97">
            <v>0</v>
          </cell>
        </row>
        <row r="98">
          <cell r="A98">
            <v>88</v>
          </cell>
          <cell r="B98">
            <v>22</v>
          </cell>
          <cell r="C98" t="str">
            <v>TERM LOAN</v>
          </cell>
          <cell r="D98">
            <v>2</v>
          </cell>
          <cell r="E98">
            <v>0.78604933431442336</v>
          </cell>
        </row>
        <row r="99">
          <cell r="A99">
            <v>89</v>
          </cell>
          <cell r="B99">
            <v>22</v>
          </cell>
          <cell r="C99" t="str">
            <v>WC TRADING/IND LOAN</v>
          </cell>
          <cell r="D99">
            <v>2</v>
          </cell>
          <cell r="E99">
            <v>0.82199116840477504</v>
          </cell>
        </row>
        <row r="100">
          <cell r="A100">
            <v>90</v>
          </cell>
          <cell r="B100">
            <v>22</v>
          </cell>
          <cell r="C100" t="str">
            <v>HOUSING LOAN</v>
          </cell>
          <cell r="D100">
            <v>2</v>
          </cell>
          <cell r="E100">
            <v>0.62278649313796453</v>
          </cell>
        </row>
        <row r="101">
          <cell r="A101">
            <v>91</v>
          </cell>
          <cell r="B101">
            <v>22</v>
          </cell>
          <cell r="C101" t="str">
            <v>RESI REAL EST LOAN</v>
          </cell>
          <cell r="D101">
            <v>2</v>
          </cell>
          <cell r="E101">
            <v>0</v>
          </cell>
        </row>
        <row r="102">
          <cell r="A102">
            <v>92</v>
          </cell>
          <cell r="B102">
            <v>22</v>
          </cell>
          <cell r="C102" t="str">
            <v>MARGIN NATURE LOAN</v>
          </cell>
          <cell r="D102">
            <v>2</v>
          </cell>
          <cell r="E102">
            <v>0</v>
          </cell>
        </row>
        <row r="103">
          <cell r="A103">
            <v>93</v>
          </cell>
          <cell r="B103">
            <v>22</v>
          </cell>
          <cell r="C103" t="str">
            <v>HIRE PURCHASE LOAN</v>
          </cell>
          <cell r="D103">
            <v>2</v>
          </cell>
          <cell r="E103">
            <v>0</v>
          </cell>
        </row>
        <row r="104">
          <cell r="A104">
            <v>94</v>
          </cell>
          <cell r="B104">
            <v>22</v>
          </cell>
          <cell r="C104" t="str">
            <v>DEPRIVED SECTOR LOAN</v>
          </cell>
          <cell r="D104">
            <v>2</v>
          </cell>
          <cell r="E104">
            <v>0</v>
          </cell>
        </row>
        <row r="105">
          <cell r="A105">
            <v>95</v>
          </cell>
          <cell r="B105">
            <v>22</v>
          </cell>
          <cell r="C105" t="str">
            <v>EDUCATIONAL LOAN</v>
          </cell>
          <cell r="D105">
            <v>2</v>
          </cell>
          <cell r="E105">
            <v>0</v>
          </cell>
        </row>
        <row r="106">
          <cell r="A106">
            <v>96</v>
          </cell>
          <cell r="B106">
            <v>22</v>
          </cell>
          <cell r="C106" t="str">
            <v>AGRICULTURE LOAN</v>
          </cell>
          <cell r="D106">
            <v>2</v>
          </cell>
          <cell r="E106">
            <v>0.44459816001643915</v>
          </cell>
        </row>
        <row r="107">
          <cell r="A107">
            <v>97</v>
          </cell>
          <cell r="B107">
            <v>22</v>
          </cell>
          <cell r="C107" t="str">
            <v>RESI PER.HOME-EMI</v>
          </cell>
          <cell r="D107">
            <v>2</v>
          </cell>
          <cell r="E107">
            <v>0.74235887702908776</v>
          </cell>
        </row>
        <row r="108">
          <cell r="A108">
            <v>98</v>
          </cell>
          <cell r="B108">
            <v>22</v>
          </cell>
          <cell r="C108" t="str">
            <v>TERM LOAN - BUSINESS</v>
          </cell>
          <cell r="D108">
            <v>2</v>
          </cell>
          <cell r="E108">
            <v>0.95708174455409389</v>
          </cell>
        </row>
        <row r="109">
          <cell r="A109">
            <v>99</v>
          </cell>
          <cell r="B109">
            <v>22</v>
          </cell>
          <cell r="C109" t="str">
            <v>CONS FIN BUSN TRM LO</v>
          </cell>
          <cell r="D109">
            <v>2</v>
          </cell>
          <cell r="E109">
            <v>0</v>
          </cell>
        </row>
        <row r="110">
          <cell r="A110">
            <v>100</v>
          </cell>
          <cell r="B110">
            <v>22</v>
          </cell>
          <cell r="C110" t="str">
            <v>BIS/PERHIRE PURCHASE</v>
          </cell>
          <cell r="D110">
            <v>2</v>
          </cell>
          <cell r="E110">
            <v>0.86608243894196302</v>
          </cell>
        </row>
        <row r="111">
          <cell r="A111">
            <v>101</v>
          </cell>
          <cell r="B111">
            <v>22</v>
          </cell>
          <cell r="C111" t="str">
            <v xml:space="preserve">INT CAP TERM LOAN </v>
          </cell>
          <cell r="D111">
            <v>2</v>
          </cell>
          <cell r="E111">
            <v>0</v>
          </cell>
        </row>
        <row r="112">
          <cell r="A112">
            <v>102</v>
          </cell>
          <cell r="B112">
            <v>22</v>
          </cell>
          <cell r="C112" t="str">
            <v>PERSONAL LOAN</v>
          </cell>
          <cell r="D112">
            <v>2</v>
          </cell>
          <cell r="E112">
            <v>0.55581064050733486</v>
          </cell>
        </row>
        <row r="113">
          <cell r="A113">
            <v>103</v>
          </cell>
          <cell r="B113">
            <v>22</v>
          </cell>
          <cell r="C113" t="str">
            <v>MORTGAGE LOAN</v>
          </cell>
          <cell r="D113">
            <v>2</v>
          </cell>
          <cell r="E113">
            <v>0.26304313637247767</v>
          </cell>
        </row>
        <row r="114">
          <cell r="A114">
            <v>104</v>
          </cell>
          <cell r="B114">
            <v>22</v>
          </cell>
          <cell r="C114" t="str">
            <v>LOAN AGAINST FDR</v>
          </cell>
          <cell r="D114">
            <v>2</v>
          </cell>
          <cell r="E114">
            <v>0</v>
          </cell>
        </row>
        <row r="115">
          <cell r="A115">
            <v>105</v>
          </cell>
          <cell r="B115">
            <v>22</v>
          </cell>
          <cell r="C115" t="str">
            <v>RECEIVABLE LOAN</v>
          </cell>
          <cell r="D115">
            <v>2</v>
          </cell>
          <cell r="E115">
            <v>0</v>
          </cell>
        </row>
        <row r="116">
          <cell r="A116">
            <v>106</v>
          </cell>
          <cell r="B116">
            <v>22</v>
          </cell>
          <cell r="C116" t="str">
            <v>STAFF LOAN</v>
          </cell>
          <cell r="D116">
            <v>2</v>
          </cell>
          <cell r="E116">
            <v>0</v>
          </cell>
        </row>
        <row r="117">
          <cell r="A117">
            <v>107</v>
          </cell>
          <cell r="B117">
            <v>22</v>
          </cell>
          <cell r="C117" t="str">
            <v>AGRICULTURAL LOAN</v>
          </cell>
          <cell r="D117">
            <v>2</v>
          </cell>
          <cell r="E117">
            <v>0.24237554927466676</v>
          </cell>
        </row>
        <row r="118">
          <cell r="A118">
            <v>108</v>
          </cell>
          <cell r="B118">
            <v>22</v>
          </cell>
          <cell r="C118" t="str">
            <v>EARTHQUAKE RELIEF LO</v>
          </cell>
          <cell r="D118">
            <v>2</v>
          </cell>
          <cell r="E118">
            <v>0</v>
          </cell>
        </row>
        <row r="119">
          <cell r="A119">
            <v>109</v>
          </cell>
          <cell r="B119">
            <v>22</v>
          </cell>
          <cell r="C119" t="str">
            <v>TOURISM SECTOR LOAN</v>
          </cell>
          <cell r="D119">
            <v>2</v>
          </cell>
          <cell r="E119">
            <v>0</v>
          </cell>
        </row>
        <row r="120">
          <cell r="A120">
            <v>110</v>
          </cell>
          <cell r="B120">
            <v>22</v>
          </cell>
          <cell r="C120" t="str">
            <v>SME LOAN</v>
          </cell>
          <cell r="D120">
            <v>2</v>
          </cell>
          <cell r="E120">
            <v>0</v>
          </cell>
        </row>
        <row r="121">
          <cell r="A121">
            <v>111</v>
          </cell>
          <cell r="B121">
            <v>22</v>
          </cell>
          <cell r="C121" t="str">
            <v>EDUCATIONAL LOAN EMI</v>
          </cell>
          <cell r="D121">
            <v>2</v>
          </cell>
          <cell r="E121">
            <v>0</v>
          </cell>
        </row>
        <row r="122">
          <cell r="A122">
            <v>112</v>
          </cell>
          <cell r="B122">
            <v>22</v>
          </cell>
          <cell r="C122" t="str">
            <v>OVERDRAFT PROFESSION</v>
          </cell>
          <cell r="D122">
            <v>2</v>
          </cell>
          <cell r="E122">
            <v>0</v>
          </cell>
        </row>
        <row r="123">
          <cell r="A123">
            <v>113</v>
          </cell>
          <cell r="B123">
            <v>21</v>
          </cell>
          <cell r="C123" t="str">
            <v>OD PERSONAL LOAN</v>
          </cell>
          <cell r="D123">
            <v>1</v>
          </cell>
          <cell r="E123">
            <v>0.2277883815570548</v>
          </cell>
        </row>
        <row r="124">
          <cell r="A124">
            <v>114</v>
          </cell>
          <cell r="B124">
            <v>21</v>
          </cell>
          <cell r="C124" t="str">
            <v>OD BUSINESS LOAN</v>
          </cell>
          <cell r="D124">
            <v>1</v>
          </cell>
          <cell r="E124">
            <v>0.27938790242853773</v>
          </cell>
        </row>
        <row r="125">
          <cell r="A125">
            <v>115</v>
          </cell>
          <cell r="B125">
            <v>21</v>
          </cell>
          <cell r="C125" t="str">
            <v>OD STAFF LOAN</v>
          </cell>
          <cell r="D125">
            <v>1</v>
          </cell>
          <cell r="E125">
            <v>0</v>
          </cell>
        </row>
        <row r="126">
          <cell r="A126">
            <v>116</v>
          </cell>
          <cell r="B126">
            <v>21</v>
          </cell>
          <cell r="C126" t="str">
            <v>TERM LOAN</v>
          </cell>
          <cell r="D126">
            <v>1</v>
          </cell>
          <cell r="E126">
            <v>3.8252531512235011E-2</v>
          </cell>
        </row>
        <row r="127">
          <cell r="A127">
            <v>117</v>
          </cell>
          <cell r="B127">
            <v>21</v>
          </cell>
          <cell r="C127" t="str">
            <v>WC TRADING/IND LOAN</v>
          </cell>
          <cell r="D127">
            <v>1</v>
          </cell>
          <cell r="E127">
            <v>8.9934160810423297E-2</v>
          </cell>
        </row>
        <row r="128">
          <cell r="A128">
            <v>118</v>
          </cell>
          <cell r="B128">
            <v>21</v>
          </cell>
          <cell r="C128" t="str">
            <v>HOUSING LOAN</v>
          </cell>
          <cell r="D128">
            <v>1</v>
          </cell>
          <cell r="E128">
            <v>5.2609987778126296E-2</v>
          </cell>
        </row>
        <row r="129">
          <cell r="A129">
            <v>119</v>
          </cell>
          <cell r="B129">
            <v>21</v>
          </cell>
          <cell r="C129" t="str">
            <v>RESI REAL EST LOAN</v>
          </cell>
          <cell r="D129">
            <v>1</v>
          </cell>
          <cell r="E129">
            <v>0</v>
          </cell>
        </row>
        <row r="130">
          <cell r="A130">
            <v>120</v>
          </cell>
          <cell r="B130">
            <v>21</v>
          </cell>
          <cell r="C130" t="str">
            <v>MARGIN NATURE LOAN</v>
          </cell>
          <cell r="D130">
            <v>1</v>
          </cell>
          <cell r="E130">
            <v>0</v>
          </cell>
        </row>
        <row r="131">
          <cell r="A131">
            <v>121</v>
          </cell>
          <cell r="B131">
            <v>21</v>
          </cell>
          <cell r="C131" t="str">
            <v>HIRE PURCHASE LOAN</v>
          </cell>
          <cell r="D131">
            <v>1</v>
          </cell>
          <cell r="E131">
            <v>0</v>
          </cell>
        </row>
        <row r="132">
          <cell r="A132">
            <v>122</v>
          </cell>
          <cell r="B132">
            <v>21</v>
          </cell>
          <cell r="C132" t="str">
            <v>DEPRIVED SECTOR LOAN</v>
          </cell>
          <cell r="D132">
            <v>1</v>
          </cell>
          <cell r="E132">
            <v>1.7866060529915066E-2</v>
          </cell>
        </row>
        <row r="133">
          <cell r="A133">
            <v>123</v>
          </cell>
          <cell r="B133">
            <v>21</v>
          </cell>
          <cell r="C133" t="str">
            <v>EDUCATIONAL LOAN</v>
          </cell>
          <cell r="D133">
            <v>1</v>
          </cell>
          <cell r="E133">
            <v>0</v>
          </cell>
        </row>
        <row r="134">
          <cell r="A134">
            <v>124</v>
          </cell>
          <cell r="B134">
            <v>21</v>
          </cell>
          <cell r="C134" t="str">
            <v>AGRICULTURE LOAN</v>
          </cell>
          <cell r="D134">
            <v>1</v>
          </cell>
          <cell r="E134">
            <v>7.1488491583689667E-2</v>
          </cell>
        </row>
        <row r="135">
          <cell r="A135">
            <v>125</v>
          </cell>
          <cell r="B135">
            <v>21</v>
          </cell>
          <cell r="C135" t="str">
            <v>RESI PER.HOME-EMI</v>
          </cell>
          <cell r="D135">
            <v>1</v>
          </cell>
          <cell r="E135">
            <v>5.2167900550347091E-2</v>
          </cell>
        </row>
        <row r="136">
          <cell r="A136">
            <v>126</v>
          </cell>
          <cell r="B136">
            <v>21</v>
          </cell>
          <cell r="C136" t="str">
            <v>TERM LOAN - BUSINESS</v>
          </cell>
          <cell r="D136">
            <v>1</v>
          </cell>
          <cell r="E136">
            <v>0</v>
          </cell>
        </row>
        <row r="137">
          <cell r="A137">
            <v>127</v>
          </cell>
          <cell r="B137">
            <v>21</v>
          </cell>
          <cell r="C137" t="str">
            <v>CONS FIN BUSN TRM LO</v>
          </cell>
          <cell r="D137">
            <v>1</v>
          </cell>
          <cell r="E137">
            <v>0</v>
          </cell>
        </row>
        <row r="138">
          <cell r="A138">
            <v>128</v>
          </cell>
          <cell r="B138">
            <v>21</v>
          </cell>
          <cell r="C138" t="str">
            <v>BIS/PERHIRE PURCHASE</v>
          </cell>
          <cell r="D138">
            <v>1</v>
          </cell>
          <cell r="E138">
            <v>0.162330219300657</v>
          </cell>
        </row>
        <row r="139">
          <cell r="A139">
            <v>129</v>
          </cell>
          <cell r="B139">
            <v>21</v>
          </cell>
          <cell r="C139" t="str">
            <v xml:space="preserve">INT CAP TERM LOAN </v>
          </cell>
          <cell r="D139">
            <v>1</v>
          </cell>
          <cell r="E139">
            <v>0</v>
          </cell>
        </row>
        <row r="140">
          <cell r="A140">
            <v>130</v>
          </cell>
          <cell r="B140">
            <v>21</v>
          </cell>
          <cell r="C140" t="str">
            <v>PERSONAL LOAN</v>
          </cell>
          <cell r="D140">
            <v>1</v>
          </cell>
          <cell r="E140">
            <v>0.11823937926215786</v>
          </cell>
        </row>
        <row r="141">
          <cell r="A141">
            <v>131</v>
          </cell>
          <cell r="B141">
            <v>21</v>
          </cell>
          <cell r="C141" t="str">
            <v>MORTGAGE LOAN</v>
          </cell>
          <cell r="D141">
            <v>1</v>
          </cell>
          <cell r="E141">
            <v>0.1996449727669497</v>
          </cell>
        </row>
        <row r="142">
          <cell r="A142">
            <v>132</v>
          </cell>
          <cell r="B142">
            <v>21</v>
          </cell>
          <cell r="C142" t="str">
            <v>LOAN AGAINST FDR</v>
          </cell>
          <cell r="D142">
            <v>1</v>
          </cell>
          <cell r="E142">
            <v>0</v>
          </cell>
        </row>
        <row r="143">
          <cell r="A143">
            <v>133</v>
          </cell>
          <cell r="B143">
            <v>21</v>
          </cell>
          <cell r="C143" t="str">
            <v>RECEIVABLE LOAN</v>
          </cell>
          <cell r="D143">
            <v>1</v>
          </cell>
          <cell r="E143">
            <v>9.2085259443766346E-2</v>
          </cell>
        </row>
        <row r="144">
          <cell r="A144">
            <v>134</v>
          </cell>
          <cell r="B144">
            <v>21</v>
          </cell>
          <cell r="C144" t="str">
            <v>STAFF LOAN</v>
          </cell>
          <cell r="D144">
            <v>1</v>
          </cell>
          <cell r="E144">
            <v>0</v>
          </cell>
        </row>
        <row r="145">
          <cell r="A145">
            <v>135</v>
          </cell>
          <cell r="B145">
            <v>21</v>
          </cell>
          <cell r="C145" t="str">
            <v>AGRICULTURAL LOAN</v>
          </cell>
          <cell r="D145">
            <v>1</v>
          </cell>
          <cell r="E145">
            <v>0.25482952100793271</v>
          </cell>
        </row>
        <row r="146">
          <cell r="A146">
            <v>136</v>
          </cell>
          <cell r="B146">
            <v>21</v>
          </cell>
          <cell r="C146" t="str">
            <v>EARTHQUAKE RELIEF LO</v>
          </cell>
          <cell r="D146">
            <v>1</v>
          </cell>
          <cell r="E146">
            <v>0</v>
          </cell>
        </row>
        <row r="147">
          <cell r="A147">
            <v>137</v>
          </cell>
          <cell r="B147">
            <v>21</v>
          </cell>
          <cell r="C147" t="str">
            <v>TOURISM SECTOR LOAN</v>
          </cell>
          <cell r="D147">
            <v>1</v>
          </cell>
          <cell r="E147">
            <v>0</v>
          </cell>
        </row>
        <row r="148">
          <cell r="A148">
            <v>138</v>
          </cell>
          <cell r="B148">
            <v>21</v>
          </cell>
          <cell r="C148" t="str">
            <v>SME LOAN</v>
          </cell>
          <cell r="D148">
            <v>1</v>
          </cell>
          <cell r="E148">
            <v>0</v>
          </cell>
        </row>
        <row r="149">
          <cell r="A149">
            <v>139</v>
          </cell>
          <cell r="B149">
            <v>21</v>
          </cell>
          <cell r="C149" t="str">
            <v>EDUCATIONAL LOAN EMI</v>
          </cell>
          <cell r="D149">
            <v>1</v>
          </cell>
          <cell r="E149">
            <v>0</v>
          </cell>
        </row>
        <row r="150">
          <cell r="A150">
            <v>140</v>
          </cell>
          <cell r="B150">
            <v>21</v>
          </cell>
          <cell r="C150" t="str">
            <v>OVERDRAFT PROFESSION</v>
          </cell>
          <cell r="D150">
            <v>1</v>
          </cell>
          <cell r="E150">
            <v>0</v>
          </cell>
        </row>
        <row r="151">
          <cell r="A151">
            <v>141</v>
          </cell>
          <cell r="B151">
            <v>21</v>
          </cell>
          <cell r="C151" t="str">
            <v>OD PERSONAL LOAN</v>
          </cell>
          <cell r="D151">
            <v>2</v>
          </cell>
          <cell r="E151">
            <v>0.61990858199989551</v>
          </cell>
        </row>
        <row r="152">
          <cell r="A152">
            <v>142</v>
          </cell>
          <cell r="B152">
            <v>21</v>
          </cell>
          <cell r="C152" t="str">
            <v>OD BUSINESS LOAN</v>
          </cell>
          <cell r="D152">
            <v>2</v>
          </cell>
          <cell r="E152">
            <v>0.28086496500895308</v>
          </cell>
        </row>
        <row r="153">
          <cell r="A153">
            <v>143</v>
          </cell>
          <cell r="B153">
            <v>21</v>
          </cell>
          <cell r="C153" t="str">
            <v>OD STAFF LOAN</v>
          </cell>
          <cell r="D153">
            <v>2</v>
          </cell>
          <cell r="E153">
            <v>0</v>
          </cell>
        </row>
        <row r="154">
          <cell r="A154">
            <v>144</v>
          </cell>
          <cell r="B154">
            <v>21</v>
          </cell>
          <cell r="C154" t="str">
            <v>TERM LOAN</v>
          </cell>
          <cell r="D154">
            <v>2</v>
          </cell>
          <cell r="E154">
            <v>0.15656918407788242</v>
          </cell>
        </row>
        <row r="155">
          <cell r="A155">
            <v>145</v>
          </cell>
          <cell r="B155">
            <v>21</v>
          </cell>
          <cell r="C155" t="str">
            <v>WC TRADING/IND LOAN</v>
          </cell>
          <cell r="D155">
            <v>2</v>
          </cell>
          <cell r="E155">
            <v>0.25447945990783827</v>
          </cell>
        </row>
        <row r="156">
          <cell r="A156">
            <v>146</v>
          </cell>
          <cell r="B156">
            <v>21</v>
          </cell>
          <cell r="C156" t="str">
            <v>HOUSING LOAN</v>
          </cell>
          <cell r="D156">
            <v>2</v>
          </cell>
          <cell r="E156">
            <v>0.35705716374433244</v>
          </cell>
        </row>
        <row r="157">
          <cell r="A157">
            <v>147</v>
          </cell>
          <cell r="B157">
            <v>21</v>
          </cell>
          <cell r="C157" t="str">
            <v>RESI REAL EST LOAN</v>
          </cell>
          <cell r="D157">
            <v>2</v>
          </cell>
          <cell r="E157">
            <v>8.1893763283625132E-2</v>
          </cell>
        </row>
        <row r="158">
          <cell r="A158">
            <v>148</v>
          </cell>
          <cell r="B158">
            <v>21</v>
          </cell>
          <cell r="C158" t="str">
            <v>MARGIN NATURE LOAN</v>
          </cell>
          <cell r="D158">
            <v>2</v>
          </cell>
          <cell r="E158">
            <v>0</v>
          </cell>
        </row>
        <row r="159">
          <cell r="A159">
            <v>149</v>
          </cell>
          <cell r="B159">
            <v>21</v>
          </cell>
          <cell r="C159" t="str">
            <v>HIRE PURCHASE LOAN</v>
          </cell>
          <cell r="D159">
            <v>2</v>
          </cell>
          <cell r="E159">
            <v>0.38579968151585775</v>
          </cell>
        </row>
        <row r="160">
          <cell r="A160">
            <v>150</v>
          </cell>
          <cell r="B160">
            <v>21</v>
          </cell>
          <cell r="C160" t="str">
            <v>DEPRIVED SECTOR LOAN</v>
          </cell>
          <cell r="D160">
            <v>2</v>
          </cell>
          <cell r="E160">
            <v>0.25646527008690895</v>
          </cell>
        </row>
        <row r="161">
          <cell r="A161">
            <v>151</v>
          </cell>
          <cell r="B161">
            <v>21</v>
          </cell>
          <cell r="C161" t="str">
            <v>EDUCATIONAL LOAN</v>
          </cell>
          <cell r="D161">
            <v>2</v>
          </cell>
          <cell r="E161">
            <v>0</v>
          </cell>
        </row>
        <row r="162">
          <cell r="A162">
            <v>152</v>
          </cell>
          <cell r="B162">
            <v>21</v>
          </cell>
          <cell r="C162" t="str">
            <v>AGRICULTURE LOAN</v>
          </cell>
          <cell r="D162">
            <v>2</v>
          </cell>
          <cell r="E162">
            <v>0.34808462424066772</v>
          </cell>
        </row>
        <row r="163">
          <cell r="A163">
            <v>153</v>
          </cell>
          <cell r="B163">
            <v>21</v>
          </cell>
          <cell r="C163" t="str">
            <v>RESI PER.HOME-EMI</v>
          </cell>
          <cell r="D163">
            <v>2</v>
          </cell>
          <cell r="E163">
            <v>0.13691179522490765</v>
          </cell>
        </row>
        <row r="164">
          <cell r="A164">
            <v>154</v>
          </cell>
          <cell r="B164">
            <v>21</v>
          </cell>
          <cell r="C164" t="str">
            <v>TERM LOAN - BUSINESS</v>
          </cell>
          <cell r="D164">
            <v>2</v>
          </cell>
          <cell r="E164">
            <v>0</v>
          </cell>
        </row>
        <row r="165">
          <cell r="A165">
            <v>155</v>
          </cell>
          <cell r="B165">
            <v>21</v>
          </cell>
          <cell r="C165" t="str">
            <v>CONS FIN BUSN TRM LO</v>
          </cell>
          <cell r="D165">
            <v>2</v>
          </cell>
          <cell r="E165">
            <v>0</v>
          </cell>
        </row>
        <row r="166">
          <cell r="A166">
            <v>156</v>
          </cell>
          <cell r="B166">
            <v>21</v>
          </cell>
          <cell r="C166" t="str">
            <v>BIS/PERHIRE PURCHASE</v>
          </cell>
          <cell r="D166">
            <v>2</v>
          </cell>
          <cell r="E166">
            <v>0.14276871879255654</v>
          </cell>
        </row>
        <row r="167">
          <cell r="A167">
            <v>157</v>
          </cell>
          <cell r="B167">
            <v>21</v>
          </cell>
          <cell r="C167" t="str">
            <v xml:space="preserve">INT CAP TERM LOAN </v>
          </cell>
          <cell r="D167">
            <v>2</v>
          </cell>
          <cell r="E167">
            <v>0</v>
          </cell>
        </row>
        <row r="168">
          <cell r="A168">
            <v>158</v>
          </cell>
          <cell r="B168">
            <v>21</v>
          </cell>
          <cell r="C168" t="str">
            <v>PERSONAL LOAN</v>
          </cell>
          <cell r="D168">
            <v>2</v>
          </cell>
          <cell r="E168">
            <v>0.25143303622968649</v>
          </cell>
        </row>
        <row r="169">
          <cell r="A169">
            <v>159</v>
          </cell>
          <cell r="B169">
            <v>21</v>
          </cell>
          <cell r="C169" t="str">
            <v>MORTGAGE LOAN</v>
          </cell>
          <cell r="D169">
            <v>2</v>
          </cell>
          <cell r="E169">
            <v>0.33184249928914611</v>
          </cell>
        </row>
        <row r="170">
          <cell r="A170">
            <v>160</v>
          </cell>
          <cell r="B170">
            <v>21</v>
          </cell>
          <cell r="C170" t="str">
            <v>LOAN AGAINST FDR</v>
          </cell>
          <cell r="D170">
            <v>2</v>
          </cell>
          <cell r="E170">
            <v>0</v>
          </cell>
        </row>
        <row r="171">
          <cell r="A171">
            <v>161</v>
          </cell>
          <cell r="B171">
            <v>21</v>
          </cell>
          <cell r="C171" t="str">
            <v>RECEIVABLE LOAN</v>
          </cell>
          <cell r="D171">
            <v>2</v>
          </cell>
          <cell r="E171">
            <v>0</v>
          </cell>
        </row>
        <row r="172">
          <cell r="A172">
            <v>162</v>
          </cell>
          <cell r="B172">
            <v>21</v>
          </cell>
          <cell r="C172" t="str">
            <v>STAFF LOAN</v>
          </cell>
          <cell r="D172">
            <v>2</v>
          </cell>
          <cell r="E172">
            <v>0</v>
          </cell>
        </row>
        <row r="173">
          <cell r="A173">
            <v>163</v>
          </cell>
          <cell r="B173">
            <v>21</v>
          </cell>
          <cell r="C173" t="str">
            <v>AGRICULTURAL LOAN</v>
          </cell>
          <cell r="D173">
            <v>2</v>
          </cell>
          <cell r="E173">
            <v>0.73945076759430672</v>
          </cell>
        </row>
        <row r="174">
          <cell r="A174">
            <v>164</v>
          </cell>
          <cell r="B174">
            <v>21</v>
          </cell>
          <cell r="C174" t="str">
            <v>EARTHQUAKE RELIEF LO</v>
          </cell>
          <cell r="D174">
            <v>2</v>
          </cell>
          <cell r="E174">
            <v>0</v>
          </cell>
        </row>
        <row r="175">
          <cell r="A175">
            <v>165</v>
          </cell>
          <cell r="B175">
            <v>21</v>
          </cell>
          <cell r="C175" t="str">
            <v>TOURISM SECTOR LOAN</v>
          </cell>
          <cell r="D175">
            <v>2</v>
          </cell>
          <cell r="E175">
            <v>0</v>
          </cell>
        </row>
        <row r="176">
          <cell r="A176">
            <v>166</v>
          </cell>
          <cell r="B176">
            <v>21</v>
          </cell>
          <cell r="C176" t="str">
            <v>SME LOAN</v>
          </cell>
          <cell r="D176">
            <v>2</v>
          </cell>
          <cell r="E176">
            <v>0</v>
          </cell>
        </row>
        <row r="177">
          <cell r="A177">
            <v>167</v>
          </cell>
          <cell r="B177">
            <v>21</v>
          </cell>
          <cell r="C177" t="str">
            <v>EDUCATIONAL LOAN EMI</v>
          </cell>
          <cell r="D177">
            <v>2</v>
          </cell>
          <cell r="E177">
            <v>0</v>
          </cell>
        </row>
        <row r="178">
          <cell r="A178">
            <v>168</v>
          </cell>
          <cell r="B178">
            <v>21</v>
          </cell>
          <cell r="C178" t="str">
            <v>OVERDRAFT PROFESSION</v>
          </cell>
          <cell r="D178">
            <v>2</v>
          </cell>
          <cell r="E178">
            <v>0</v>
          </cell>
        </row>
        <row r="179">
          <cell r="A179">
            <v>169</v>
          </cell>
          <cell r="B179">
            <v>20</v>
          </cell>
          <cell r="C179" t="str">
            <v>OD PERSONAL LOAN</v>
          </cell>
          <cell r="D179">
            <v>1</v>
          </cell>
          <cell r="E179">
            <v>0.13560894186644379</v>
          </cell>
        </row>
        <row r="180">
          <cell r="A180">
            <v>170</v>
          </cell>
          <cell r="B180">
            <v>20</v>
          </cell>
          <cell r="C180" t="str">
            <v>OD BUSINESS LOAN</v>
          </cell>
          <cell r="D180">
            <v>1</v>
          </cell>
          <cell r="E180">
            <v>9.3124170899224007E-2</v>
          </cell>
        </row>
        <row r="181">
          <cell r="A181">
            <v>171</v>
          </cell>
          <cell r="B181">
            <v>20</v>
          </cell>
          <cell r="C181" t="str">
            <v>OD STAFF LOAN</v>
          </cell>
          <cell r="D181">
            <v>1</v>
          </cell>
          <cell r="E181">
            <v>0</v>
          </cell>
        </row>
        <row r="182">
          <cell r="A182">
            <v>172</v>
          </cell>
          <cell r="B182">
            <v>20</v>
          </cell>
          <cell r="C182" t="str">
            <v>TERM LOAN</v>
          </cell>
          <cell r="D182">
            <v>1</v>
          </cell>
          <cell r="E182">
            <v>0.22373924301568221</v>
          </cell>
        </row>
        <row r="183">
          <cell r="A183">
            <v>173</v>
          </cell>
          <cell r="B183">
            <v>20</v>
          </cell>
          <cell r="C183" t="str">
            <v>WC TRADING/IND LOAN</v>
          </cell>
          <cell r="D183">
            <v>1</v>
          </cell>
          <cell r="E183">
            <v>0.30918347145708697</v>
          </cell>
        </row>
        <row r="184">
          <cell r="A184">
            <v>174</v>
          </cell>
          <cell r="B184">
            <v>20</v>
          </cell>
          <cell r="C184" t="str">
            <v>HOUSING LOAN</v>
          </cell>
          <cell r="D184">
            <v>1</v>
          </cell>
          <cell r="E184">
            <v>0.15804668504198863</v>
          </cell>
        </row>
        <row r="185">
          <cell r="A185">
            <v>175</v>
          </cell>
          <cell r="B185">
            <v>20</v>
          </cell>
          <cell r="C185" t="str">
            <v>RESI REAL EST LOAN</v>
          </cell>
          <cell r="D185">
            <v>1</v>
          </cell>
          <cell r="E185">
            <v>0.19328886932580022</v>
          </cell>
        </row>
        <row r="186">
          <cell r="A186">
            <v>176</v>
          </cell>
          <cell r="B186">
            <v>20</v>
          </cell>
          <cell r="C186" t="str">
            <v>MARGIN NATURE LOAN</v>
          </cell>
          <cell r="D186">
            <v>1</v>
          </cell>
          <cell r="E186">
            <v>0</v>
          </cell>
        </row>
        <row r="187">
          <cell r="A187">
            <v>177</v>
          </cell>
          <cell r="B187">
            <v>20</v>
          </cell>
          <cell r="C187" t="str">
            <v>HIRE PURCHASE LOAN</v>
          </cell>
          <cell r="D187">
            <v>1</v>
          </cell>
          <cell r="E187">
            <v>0.35355507257966112</v>
          </cell>
        </row>
        <row r="188">
          <cell r="A188">
            <v>178</v>
          </cell>
          <cell r="B188">
            <v>20</v>
          </cell>
          <cell r="C188" t="str">
            <v>DEPRIVED SECTOR LOAN</v>
          </cell>
          <cell r="D188">
            <v>1</v>
          </cell>
          <cell r="E188">
            <v>3.3476887175885074E-3</v>
          </cell>
        </row>
        <row r="189">
          <cell r="A189">
            <v>179</v>
          </cell>
          <cell r="B189">
            <v>20</v>
          </cell>
          <cell r="C189" t="str">
            <v>EDUCATIONAL LOAN</v>
          </cell>
          <cell r="D189">
            <v>1</v>
          </cell>
          <cell r="E189">
            <v>0</v>
          </cell>
        </row>
        <row r="190">
          <cell r="A190">
            <v>180</v>
          </cell>
          <cell r="B190">
            <v>20</v>
          </cell>
          <cell r="C190" t="str">
            <v>AGRICULTURE LOAN</v>
          </cell>
          <cell r="D190">
            <v>1</v>
          </cell>
          <cell r="E190">
            <v>0.23058020026408518</v>
          </cell>
        </row>
        <row r="191">
          <cell r="A191">
            <v>181</v>
          </cell>
          <cell r="B191">
            <v>20</v>
          </cell>
          <cell r="C191" t="str">
            <v>RESI PER.HOME-EMI</v>
          </cell>
          <cell r="D191">
            <v>1</v>
          </cell>
          <cell r="E191">
            <v>7.7130445039635495E-2</v>
          </cell>
        </row>
        <row r="192">
          <cell r="A192">
            <v>182</v>
          </cell>
          <cell r="B192">
            <v>20</v>
          </cell>
          <cell r="C192" t="str">
            <v>TERM LOAN - BUSINESS</v>
          </cell>
          <cell r="D192">
            <v>1</v>
          </cell>
          <cell r="E192">
            <v>1.8361436110444929E-2</v>
          </cell>
        </row>
        <row r="193">
          <cell r="A193">
            <v>183</v>
          </cell>
          <cell r="B193">
            <v>20</v>
          </cell>
          <cell r="C193" t="str">
            <v>CONS FIN BUSN TRM LO</v>
          </cell>
          <cell r="D193">
            <v>1</v>
          </cell>
          <cell r="E193">
            <v>0</v>
          </cell>
        </row>
        <row r="194">
          <cell r="A194">
            <v>184</v>
          </cell>
          <cell r="B194">
            <v>20</v>
          </cell>
          <cell r="C194" t="str">
            <v>BIS/PERHIRE PURCHASE</v>
          </cell>
          <cell r="D194">
            <v>1</v>
          </cell>
          <cell r="E194">
            <v>0.34312557545472194</v>
          </cell>
        </row>
        <row r="195">
          <cell r="A195">
            <v>185</v>
          </cell>
          <cell r="B195">
            <v>20</v>
          </cell>
          <cell r="C195" t="str">
            <v xml:space="preserve">INT CAP TERM LOAN </v>
          </cell>
          <cell r="D195">
            <v>1</v>
          </cell>
          <cell r="E195">
            <v>0</v>
          </cell>
        </row>
        <row r="196">
          <cell r="A196">
            <v>186</v>
          </cell>
          <cell r="B196">
            <v>20</v>
          </cell>
          <cell r="C196" t="str">
            <v>PERSONAL LOAN</v>
          </cell>
          <cell r="D196">
            <v>1</v>
          </cell>
          <cell r="E196">
            <v>0.17132330333363938</v>
          </cell>
        </row>
        <row r="197">
          <cell r="A197">
            <v>187</v>
          </cell>
          <cell r="B197">
            <v>20</v>
          </cell>
          <cell r="C197" t="str">
            <v>MORTGAGE LOAN</v>
          </cell>
          <cell r="D197">
            <v>1</v>
          </cell>
          <cell r="E197">
            <v>9.2405366794877708E-2</v>
          </cell>
        </row>
        <row r="198">
          <cell r="A198">
            <v>188</v>
          </cell>
          <cell r="B198">
            <v>20</v>
          </cell>
          <cell r="C198" t="str">
            <v>LOAN AGAINST FDR</v>
          </cell>
          <cell r="D198">
            <v>1</v>
          </cell>
          <cell r="E198">
            <v>0</v>
          </cell>
        </row>
        <row r="199">
          <cell r="A199">
            <v>189</v>
          </cell>
          <cell r="B199">
            <v>20</v>
          </cell>
          <cell r="C199" t="str">
            <v>RECEIVABLE LOAN</v>
          </cell>
          <cell r="D199">
            <v>1</v>
          </cell>
          <cell r="E199">
            <v>5.1890962850575886E-2</v>
          </cell>
        </row>
        <row r="200">
          <cell r="A200">
            <v>190</v>
          </cell>
          <cell r="B200">
            <v>20</v>
          </cell>
          <cell r="C200" t="str">
            <v>STAFF LOAN</v>
          </cell>
          <cell r="D200">
            <v>1</v>
          </cell>
          <cell r="E200">
            <v>0</v>
          </cell>
        </row>
        <row r="201">
          <cell r="A201">
            <v>191</v>
          </cell>
          <cell r="B201">
            <v>20</v>
          </cell>
          <cell r="C201" t="str">
            <v>AGRICULTURAL LOAN</v>
          </cell>
          <cell r="D201">
            <v>1</v>
          </cell>
          <cell r="E201">
            <v>0</v>
          </cell>
        </row>
        <row r="202">
          <cell r="A202">
            <v>192</v>
          </cell>
          <cell r="B202">
            <v>20</v>
          </cell>
          <cell r="C202" t="str">
            <v>EARTHQUAKE RELIEF LO</v>
          </cell>
          <cell r="D202">
            <v>1</v>
          </cell>
          <cell r="E202">
            <v>0</v>
          </cell>
        </row>
        <row r="203">
          <cell r="A203">
            <v>193</v>
          </cell>
          <cell r="B203">
            <v>20</v>
          </cell>
          <cell r="C203" t="str">
            <v>TOURISM SECTOR LOAN</v>
          </cell>
          <cell r="D203">
            <v>1</v>
          </cell>
          <cell r="E203">
            <v>0</v>
          </cell>
        </row>
        <row r="204">
          <cell r="A204">
            <v>194</v>
          </cell>
          <cell r="B204">
            <v>20</v>
          </cell>
          <cell r="C204" t="str">
            <v>SME LOAN</v>
          </cell>
          <cell r="D204">
            <v>1</v>
          </cell>
          <cell r="E204">
            <v>0</v>
          </cell>
        </row>
        <row r="205">
          <cell r="A205">
            <v>195</v>
          </cell>
          <cell r="B205">
            <v>20</v>
          </cell>
          <cell r="C205" t="str">
            <v>EDUCATIONAL LOAN EMI</v>
          </cell>
          <cell r="D205">
            <v>1</v>
          </cell>
          <cell r="E205">
            <v>0</v>
          </cell>
        </row>
        <row r="206">
          <cell r="A206">
            <v>196</v>
          </cell>
          <cell r="B206">
            <v>20</v>
          </cell>
          <cell r="C206" t="str">
            <v>OVERDRAFT PROFESSION</v>
          </cell>
          <cell r="D206">
            <v>1</v>
          </cell>
          <cell r="E206">
            <v>0</v>
          </cell>
        </row>
        <row r="207">
          <cell r="A207">
            <v>197</v>
          </cell>
          <cell r="B207">
            <v>20</v>
          </cell>
          <cell r="C207" t="str">
            <v>OD PERSONAL LOAN</v>
          </cell>
          <cell r="D207">
            <v>2</v>
          </cell>
          <cell r="E207">
            <v>0.57822000317118905</v>
          </cell>
        </row>
        <row r="208">
          <cell r="A208">
            <v>198</v>
          </cell>
          <cell r="B208">
            <v>20</v>
          </cell>
          <cell r="C208" t="str">
            <v>OD BUSINESS LOAN</v>
          </cell>
          <cell r="D208">
            <v>2</v>
          </cell>
          <cell r="E208">
            <v>0.5356626345153741</v>
          </cell>
        </row>
        <row r="209">
          <cell r="A209">
            <v>199</v>
          </cell>
          <cell r="B209">
            <v>20</v>
          </cell>
          <cell r="C209" t="str">
            <v>OD STAFF LOAN</v>
          </cell>
          <cell r="D209">
            <v>2</v>
          </cell>
          <cell r="E209">
            <v>0</v>
          </cell>
        </row>
        <row r="210">
          <cell r="A210">
            <v>200</v>
          </cell>
          <cell r="B210">
            <v>20</v>
          </cell>
          <cell r="C210" t="str">
            <v>TERM LOAN</v>
          </cell>
          <cell r="D210">
            <v>2</v>
          </cell>
          <cell r="E210">
            <v>0.61494886095745915</v>
          </cell>
        </row>
        <row r="211">
          <cell r="A211">
            <v>201</v>
          </cell>
          <cell r="B211">
            <v>20</v>
          </cell>
          <cell r="C211" t="str">
            <v>WC TRADING/IND LOAN</v>
          </cell>
          <cell r="D211">
            <v>2</v>
          </cell>
          <cell r="E211">
            <v>0.81350714670694879</v>
          </cell>
        </row>
        <row r="212">
          <cell r="A212">
            <v>202</v>
          </cell>
          <cell r="B212">
            <v>20</v>
          </cell>
          <cell r="C212" t="str">
            <v>HOUSING LOAN</v>
          </cell>
          <cell r="D212">
            <v>2</v>
          </cell>
          <cell r="E212">
            <v>0.42679379682116869</v>
          </cell>
        </row>
        <row r="213">
          <cell r="A213">
            <v>203</v>
          </cell>
          <cell r="B213">
            <v>20</v>
          </cell>
          <cell r="C213" t="str">
            <v>RESI REAL EST LOAN</v>
          </cell>
          <cell r="D213">
            <v>2</v>
          </cell>
          <cell r="E213">
            <v>0.98706966990971379</v>
          </cell>
        </row>
        <row r="214">
          <cell r="A214">
            <v>204</v>
          </cell>
          <cell r="B214">
            <v>20</v>
          </cell>
          <cell r="C214" t="str">
            <v>MARGIN NATURE LOAN</v>
          </cell>
          <cell r="D214">
            <v>2</v>
          </cell>
          <cell r="E214">
            <v>0</v>
          </cell>
        </row>
        <row r="215">
          <cell r="A215">
            <v>205</v>
          </cell>
          <cell r="B215">
            <v>20</v>
          </cell>
          <cell r="C215" t="str">
            <v>HIRE PURCHASE LOAN</v>
          </cell>
          <cell r="D215">
            <v>2</v>
          </cell>
          <cell r="E215">
            <v>0.85431584217378231</v>
          </cell>
        </row>
        <row r="216">
          <cell r="A216">
            <v>206</v>
          </cell>
          <cell r="B216">
            <v>20</v>
          </cell>
          <cell r="C216" t="str">
            <v>DEPRIVED SECTOR LOAN</v>
          </cell>
          <cell r="D216">
            <v>2</v>
          </cell>
          <cell r="E216">
            <v>0.79160363529383382</v>
          </cell>
        </row>
        <row r="217">
          <cell r="A217">
            <v>207</v>
          </cell>
          <cell r="B217">
            <v>20</v>
          </cell>
          <cell r="C217" t="str">
            <v>EDUCATIONAL LOAN</v>
          </cell>
          <cell r="D217">
            <v>2</v>
          </cell>
          <cell r="E217">
            <v>0</v>
          </cell>
        </row>
        <row r="218">
          <cell r="A218">
            <v>208</v>
          </cell>
          <cell r="B218">
            <v>20</v>
          </cell>
          <cell r="C218" t="str">
            <v>AGRICULTURE LOAN</v>
          </cell>
          <cell r="D218">
            <v>2</v>
          </cell>
          <cell r="E218">
            <v>0.75908817735479994</v>
          </cell>
        </row>
        <row r="219">
          <cell r="A219">
            <v>209</v>
          </cell>
          <cell r="B219">
            <v>20</v>
          </cell>
          <cell r="C219" t="str">
            <v>RESI PER.HOME-EMI</v>
          </cell>
          <cell r="D219">
            <v>2</v>
          </cell>
          <cell r="E219">
            <v>0.1410123142849882</v>
          </cell>
        </row>
        <row r="220">
          <cell r="A220">
            <v>210</v>
          </cell>
          <cell r="B220">
            <v>20</v>
          </cell>
          <cell r="C220" t="str">
            <v>TERM LOAN - BUSINESS</v>
          </cell>
          <cell r="D220">
            <v>2</v>
          </cell>
          <cell r="E220">
            <v>0.49862861152737853</v>
          </cell>
        </row>
        <row r="221">
          <cell r="A221">
            <v>211</v>
          </cell>
          <cell r="B221">
            <v>20</v>
          </cell>
          <cell r="C221" t="str">
            <v>CONS FIN BUSN TRM LO</v>
          </cell>
          <cell r="D221">
            <v>2</v>
          </cell>
          <cell r="E221">
            <v>0</v>
          </cell>
        </row>
        <row r="222">
          <cell r="A222">
            <v>212</v>
          </cell>
          <cell r="B222">
            <v>20</v>
          </cell>
          <cell r="C222" t="str">
            <v>BIS/PERHIRE PURCHASE</v>
          </cell>
          <cell r="D222">
            <v>2</v>
          </cell>
          <cell r="E222">
            <v>0.60913548767263426</v>
          </cell>
        </row>
        <row r="223">
          <cell r="A223">
            <v>213</v>
          </cell>
          <cell r="B223">
            <v>20</v>
          </cell>
          <cell r="C223" t="str">
            <v xml:space="preserve">INT CAP TERM LOAN </v>
          </cell>
          <cell r="D223">
            <v>2</v>
          </cell>
          <cell r="E223">
            <v>0</v>
          </cell>
        </row>
        <row r="224">
          <cell r="A224">
            <v>214</v>
          </cell>
          <cell r="B224">
            <v>20</v>
          </cell>
          <cell r="C224" t="str">
            <v>PERSONAL LOAN</v>
          </cell>
          <cell r="D224">
            <v>2</v>
          </cell>
          <cell r="E224">
            <v>0.32390185462103555</v>
          </cell>
        </row>
        <row r="225">
          <cell r="A225">
            <v>215</v>
          </cell>
          <cell r="B225">
            <v>20</v>
          </cell>
          <cell r="C225" t="str">
            <v>MORTGAGE LOAN</v>
          </cell>
          <cell r="D225">
            <v>2</v>
          </cell>
          <cell r="E225">
            <v>0.18175977026195164</v>
          </cell>
        </row>
        <row r="226">
          <cell r="A226">
            <v>216</v>
          </cell>
          <cell r="B226">
            <v>20</v>
          </cell>
          <cell r="C226" t="str">
            <v>LOAN AGAINST FDR</v>
          </cell>
          <cell r="D226">
            <v>2</v>
          </cell>
          <cell r="E226">
            <v>0</v>
          </cell>
        </row>
        <row r="227">
          <cell r="A227">
            <v>217</v>
          </cell>
          <cell r="B227">
            <v>20</v>
          </cell>
          <cell r="C227" t="str">
            <v>RECEIVABLE LOAN</v>
          </cell>
          <cell r="D227">
            <v>2</v>
          </cell>
          <cell r="E227">
            <v>0</v>
          </cell>
        </row>
        <row r="228">
          <cell r="A228">
            <v>218</v>
          </cell>
          <cell r="B228">
            <v>20</v>
          </cell>
          <cell r="C228" t="str">
            <v>STAFF LOAN</v>
          </cell>
          <cell r="D228">
            <v>2</v>
          </cell>
          <cell r="E228">
            <v>0</v>
          </cell>
        </row>
        <row r="229">
          <cell r="A229">
            <v>219</v>
          </cell>
          <cell r="B229">
            <v>20</v>
          </cell>
          <cell r="C229" t="str">
            <v>AGRICULTURAL LOAN</v>
          </cell>
          <cell r="D229">
            <v>2</v>
          </cell>
          <cell r="E229">
            <v>0</v>
          </cell>
        </row>
        <row r="230">
          <cell r="A230">
            <v>220</v>
          </cell>
          <cell r="B230">
            <v>20</v>
          </cell>
          <cell r="C230" t="str">
            <v>EARTHQUAKE RELIEF LO</v>
          </cell>
          <cell r="D230">
            <v>2</v>
          </cell>
          <cell r="E230">
            <v>0</v>
          </cell>
        </row>
        <row r="231">
          <cell r="A231">
            <v>221</v>
          </cell>
          <cell r="B231">
            <v>20</v>
          </cell>
          <cell r="C231" t="str">
            <v>TOURISM SECTOR LOAN</v>
          </cell>
          <cell r="D231">
            <v>2</v>
          </cell>
          <cell r="E231">
            <v>0</v>
          </cell>
        </row>
        <row r="232">
          <cell r="A232">
            <v>222</v>
          </cell>
          <cell r="B232">
            <v>20</v>
          </cell>
          <cell r="C232" t="str">
            <v>SME LOAN</v>
          </cell>
          <cell r="D232">
            <v>2</v>
          </cell>
          <cell r="E232">
            <v>0</v>
          </cell>
        </row>
        <row r="233">
          <cell r="A233">
            <v>223</v>
          </cell>
          <cell r="B233">
            <v>20</v>
          </cell>
          <cell r="C233" t="str">
            <v>EDUCATIONAL LOAN EMI</v>
          </cell>
          <cell r="D233">
            <v>2</v>
          </cell>
          <cell r="E233">
            <v>0</v>
          </cell>
        </row>
        <row r="234">
          <cell r="A234">
            <v>224</v>
          </cell>
          <cell r="B234">
            <v>20</v>
          </cell>
          <cell r="C234" t="str">
            <v>OVERDRAFT PROFESSION</v>
          </cell>
          <cell r="D234">
            <v>2</v>
          </cell>
          <cell r="E234">
            <v>0</v>
          </cell>
        </row>
        <row r="235">
          <cell r="A235">
            <v>225</v>
          </cell>
          <cell r="B235">
            <v>19</v>
          </cell>
          <cell r="C235" t="str">
            <v>OD PERSONAL LOAN</v>
          </cell>
          <cell r="D235">
            <v>1</v>
          </cell>
          <cell r="E235">
            <v>0.24855209889701646</v>
          </cell>
        </row>
        <row r="236">
          <cell r="A236">
            <v>226</v>
          </cell>
          <cell r="B236">
            <v>19</v>
          </cell>
          <cell r="C236" t="str">
            <v>OD BUSINESS LOAN</v>
          </cell>
          <cell r="D236">
            <v>1</v>
          </cell>
          <cell r="E236">
            <v>0.13986063032117141</v>
          </cell>
        </row>
        <row r="237">
          <cell r="A237">
            <v>227</v>
          </cell>
          <cell r="B237">
            <v>19</v>
          </cell>
          <cell r="C237" t="str">
            <v>OD STAFF LOAN</v>
          </cell>
          <cell r="D237">
            <v>1</v>
          </cell>
          <cell r="E237">
            <v>0</v>
          </cell>
        </row>
        <row r="238">
          <cell r="A238">
            <v>228</v>
          </cell>
          <cell r="B238">
            <v>19</v>
          </cell>
          <cell r="C238" t="str">
            <v>TERM LOAN</v>
          </cell>
          <cell r="D238">
            <v>1</v>
          </cell>
          <cell r="E238">
            <v>0.13215414863259209</v>
          </cell>
        </row>
        <row r="239">
          <cell r="A239">
            <v>229</v>
          </cell>
          <cell r="B239">
            <v>19</v>
          </cell>
          <cell r="C239" t="str">
            <v>WC TRADING/IND LOAN</v>
          </cell>
          <cell r="D239">
            <v>1</v>
          </cell>
          <cell r="E239">
            <v>0.33017545741837506</v>
          </cell>
        </row>
        <row r="240">
          <cell r="A240">
            <v>230</v>
          </cell>
          <cell r="B240">
            <v>19</v>
          </cell>
          <cell r="C240" t="str">
            <v>HOUSING LOAN</v>
          </cell>
          <cell r="D240">
            <v>1</v>
          </cell>
          <cell r="E240">
            <v>0.18365449655914115</v>
          </cell>
        </row>
        <row r="241">
          <cell r="A241">
            <v>231</v>
          </cell>
          <cell r="B241">
            <v>19</v>
          </cell>
          <cell r="C241" t="str">
            <v>RESI REAL EST LOAN</v>
          </cell>
          <cell r="D241">
            <v>1</v>
          </cell>
          <cell r="E241">
            <v>6.2855123336410412E-2</v>
          </cell>
        </row>
        <row r="242">
          <cell r="A242">
            <v>232</v>
          </cell>
          <cell r="B242">
            <v>19</v>
          </cell>
          <cell r="C242" t="str">
            <v>MARGIN NATURE LOAN</v>
          </cell>
          <cell r="D242">
            <v>1</v>
          </cell>
          <cell r="E242">
            <v>0</v>
          </cell>
        </row>
        <row r="243">
          <cell r="A243">
            <v>233</v>
          </cell>
          <cell r="B243">
            <v>19</v>
          </cell>
          <cell r="C243" t="str">
            <v>HIRE PURCHASE LOAN</v>
          </cell>
          <cell r="D243">
            <v>1</v>
          </cell>
          <cell r="E243">
            <v>0.29428334042869797</v>
          </cell>
        </row>
        <row r="244">
          <cell r="A244">
            <v>234</v>
          </cell>
          <cell r="B244">
            <v>19</v>
          </cell>
          <cell r="C244" t="str">
            <v>DEPRIVED SECTOR LOAN</v>
          </cell>
          <cell r="D244">
            <v>1</v>
          </cell>
          <cell r="E244">
            <v>1.3412929094780885E-2</v>
          </cell>
        </row>
        <row r="245">
          <cell r="A245">
            <v>235</v>
          </cell>
          <cell r="B245">
            <v>19</v>
          </cell>
          <cell r="C245" t="str">
            <v>EDUCATIONAL LOAN</v>
          </cell>
          <cell r="D245">
            <v>1</v>
          </cell>
          <cell r="E245">
            <v>0</v>
          </cell>
        </row>
        <row r="246">
          <cell r="A246">
            <v>236</v>
          </cell>
          <cell r="B246">
            <v>19</v>
          </cell>
          <cell r="C246" t="str">
            <v>AGRICULTURE LOAN</v>
          </cell>
          <cell r="D246">
            <v>1</v>
          </cell>
          <cell r="E246">
            <v>0.23477147848222291</v>
          </cell>
        </row>
        <row r="247">
          <cell r="A247">
            <v>237</v>
          </cell>
          <cell r="B247">
            <v>19</v>
          </cell>
          <cell r="C247" t="str">
            <v>RESI PER.HOME-EMI</v>
          </cell>
          <cell r="D247">
            <v>1</v>
          </cell>
          <cell r="E247">
            <v>0.21982934702454374</v>
          </cell>
        </row>
        <row r="248">
          <cell r="A248">
            <v>238</v>
          </cell>
          <cell r="B248">
            <v>19</v>
          </cell>
          <cell r="C248" t="str">
            <v>TERM LOAN - BUSINESS</v>
          </cell>
          <cell r="D248">
            <v>1</v>
          </cell>
          <cell r="E248">
            <v>0.19476763642741166</v>
          </cell>
        </row>
        <row r="249">
          <cell r="A249">
            <v>239</v>
          </cell>
          <cell r="B249">
            <v>19</v>
          </cell>
          <cell r="C249" t="str">
            <v>CONS FIN BUSN TRM LO</v>
          </cell>
          <cell r="D249">
            <v>1</v>
          </cell>
          <cell r="E249">
            <v>0</v>
          </cell>
        </row>
        <row r="250">
          <cell r="A250">
            <v>240</v>
          </cell>
          <cell r="B250">
            <v>19</v>
          </cell>
          <cell r="C250" t="str">
            <v>BIS/PERHIRE PURCHASE</v>
          </cell>
          <cell r="D250">
            <v>1</v>
          </cell>
          <cell r="E250">
            <v>0.39426865371306768</v>
          </cell>
        </row>
        <row r="251">
          <cell r="A251">
            <v>241</v>
          </cell>
          <cell r="B251">
            <v>19</v>
          </cell>
          <cell r="C251" t="str">
            <v xml:space="preserve">INT CAP TERM LOAN </v>
          </cell>
          <cell r="D251">
            <v>1</v>
          </cell>
          <cell r="E251">
            <v>0</v>
          </cell>
        </row>
        <row r="252">
          <cell r="A252">
            <v>242</v>
          </cell>
          <cell r="B252">
            <v>19</v>
          </cell>
          <cell r="C252" t="str">
            <v>PERSONAL LOAN</v>
          </cell>
          <cell r="D252">
            <v>1</v>
          </cell>
          <cell r="E252">
            <v>0.15216309350310464</v>
          </cell>
        </row>
        <row r="253">
          <cell r="A253">
            <v>243</v>
          </cell>
          <cell r="B253">
            <v>19</v>
          </cell>
          <cell r="C253" t="str">
            <v>MORTGAGE LOAN</v>
          </cell>
          <cell r="D253">
            <v>1</v>
          </cell>
          <cell r="E253">
            <v>2.1206798283260428E-2</v>
          </cell>
        </row>
        <row r="254">
          <cell r="A254">
            <v>244</v>
          </cell>
          <cell r="B254">
            <v>19</v>
          </cell>
          <cell r="C254" t="str">
            <v>LOAN AGAINST FDR</v>
          </cell>
          <cell r="D254">
            <v>1</v>
          </cell>
          <cell r="E254">
            <v>0</v>
          </cell>
        </row>
        <row r="255">
          <cell r="A255">
            <v>245</v>
          </cell>
          <cell r="B255">
            <v>19</v>
          </cell>
          <cell r="C255" t="str">
            <v>RECEIVABLE LOAN</v>
          </cell>
          <cell r="D255">
            <v>1</v>
          </cell>
          <cell r="E255">
            <v>0</v>
          </cell>
        </row>
        <row r="256">
          <cell r="A256">
            <v>246</v>
          </cell>
          <cell r="B256">
            <v>19</v>
          </cell>
          <cell r="C256" t="str">
            <v>STAFF LOAN</v>
          </cell>
          <cell r="D256">
            <v>1</v>
          </cell>
          <cell r="E256">
            <v>0</v>
          </cell>
        </row>
        <row r="257">
          <cell r="A257">
            <v>247</v>
          </cell>
          <cell r="B257">
            <v>19</v>
          </cell>
          <cell r="C257" t="str">
            <v>AGRICULTURAL LOAN</v>
          </cell>
          <cell r="D257">
            <v>1</v>
          </cell>
          <cell r="E257">
            <v>0</v>
          </cell>
        </row>
        <row r="258">
          <cell r="A258">
            <v>248</v>
          </cell>
          <cell r="B258">
            <v>19</v>
          </cell>
          <cell r="C258" t="str">
            <v>EARTHQUAKE RELIEF LO</v>
          </cell>
          <cell r="D258">
            <v>1</v>
          </cell>
          <cell r="E258">
            <v>0</v>
          </cell>
        </row>
        <row r="259">
          <cell r="A259">
            <v>249</v>
          </cell>
          <cell r="B259">
            <v>19</v>
          </cell>
          <cell r="C259" t="str">
            <v>TOURISM SECTOR LOAN</v>
          </cell>
          <cell r="D259">
            <v>1</v>
          </cell>
          <cell r="E259">
            <v>0</v>
          </cell>
        </row>
        <row r="260">
          <cell r="A260">
            <v>250</v>
          </cell>
          <cell r="B260">
            <v>19</v>
          </cell>
          <cell r="C260" t="str">
            <v>SME LOAN</v>
          </cell>
          <cell r="D260">
            <v>1</v>
          </cell>
          <cell r="E260">
            <v>0</v>
          </cell>
        </row>
        <row r="261">
          <cell r="A261">
            <v>251</v>
          </cell>
          <cell r="B261">
            <v>19</v>
          </cell>
          <cell r="C261" t="str">
            <v>EDUCATIONAL LOAN EMI</v>
          </cell>
          <cell r="D261">
            <v>1</v>
          </cell>
          <cell r="E261">
            <v>0</v>
          </cell>
        </row>
        <row r="262">
          <cell r="A262">
            <v>252</v>
          </cell>
          <cell r="B262">
            <v>19</v>
          </cell>
          <cell r="C262" t="str">
            <v>OVERDRAFT PROFESSION</v>
          </cell>
          <cell r="D262">
            <v>1</v>
          </cell>
          <cell r="E262">
            <v>0</v>
          </cell>
        </row>
        <row r="263">
          <cell r="A263">
            <v>253</v>
          </cell>
          <cell r="B263">
            <v>19</v>
          </cell>
          <cell r="C263" t="str">
            <v>OD PERSONAL LOAN</v>
          </cell>
          <cell r="D263">
            <v>2</v>
          </cell>
          <cell r="E263">
            <v>0.25411132574026196</v>
          </cell>
        </row>
        <row r="264">
          <cell r="A264">
            <v>254</v>
          </cell>
          <cell r="B264">
            <v>19</v>
          </cell>
          <cell r="C264" t="str">
            <v>OD BUSINESS LOAN</v>
          </cell>
          <cell r="D264">
            <v>2</v>
          </cell>
          <cell r="E264">
            <v>0.5673860589246198</v>
          </cell>
        </row>
        <row r="265">
          <cell r="A265">
            <v>255</v>
          </cell>
          <cell r="B265">
            <v>19</v>
          </cell>
          <cell r="C265" t="str">
            <v>OD STAFF LOAN</v>
          </cell>
          <cell r="D265">
            <v>2</v>
          </cell>
          <cell r="E265">
            <v>0</v>
          </cell>
        </row>
        <row r="266">
          <cell r="A266">
            <v>256</v>
          </cell>
          <cell r="B266">
            <v>19</v>
          </cell>
          <cell r="C266" t="str">
            <v>TERM LOAN</v>
          </cell>
          <cell r="D266">
            <v>2</v>
          </cell>
          <cell r="E266">
            <v>0.46206754789816262</v>
          </cell>
        </row>
        <row r="267">
          <cell r="A267">
            <v>257</v>
          </cell>
          <cell r="B267">
            <v>19</v>
          </cell>
          <cell r="C267" t="str">
            <v>WC TRADING/IND LOAN</v>
          </cell>
          <cell r="D267">
            <v>2</v>
          </cell>
          <cell r="E267">
            <v>0.49774259389177211</v>
          </cell>
        </row>
        <row r="268">
          <cell r="A268">
            <v>258</v>
          </cell>
          <cell r="B268">
            <v>19</v>
          </cell>
          <cell r="C268" t="str">
            <v>HOUSING LOAN</v>
          </cell>
          <cell r="D268">
            <v>2</v>
          </cell>
          <cell r="E268">
            <v>0.44213080875867872</v>
          </cell>
        </row>
        <row r="269">
          <cell r="A269">
            <v>259</v>
          </cell>
          <cell r="B269">
            <v>19</v>
          </cell>
          <cell r="C269" t="str">
            <v>RESI REAL EST LOAN</v>
          </cell>
          <cell r="D269">
            <v>2</v>
          </cell>
          <cell r="E269">
            <v>6.4383910891994869E-2</v>
          </cell>
        </row>
        <row r="270">
          <cell r="A270">
            <v>260</v>
          </cell>
          <cell r="B270">
            <v>19</v>
          </cell>
          <cell r="C270" t="str">
            <v>MARGIN NATURE LOAN</v>
          </cell>
          <cell r="D270">
            <v>2</v>
          </cell>
          <cell r="E270">
            <v>0</v>
          </cell>
        </row>
        <row r="271">
          <cell r="A271">
            <v>261</v>
          </cell>
          <cell r="B271">
            <v>19</v>
          </cell>
          <cell r="C271" t="str">
            <v>HIRE PURCHASE LOAN</v>
          </cell>
          <cell r="D271">
            <v>2</v>
          </cell>
          <cell r="E271">
            <v>0.65292712031449629</v>
          </cell>
        </row>
        <row r="272">
          <cell r="A272">
            <v>262</v>
          </cell>
          <cell r="B272">
            <v>19</v>
          </cell>
          <cell r="C272" t="str">
            <v>DEPRIVED SECTOR LOAN</v>
          </cell>
          <cell r="D272">
            <v>2</v>
          </cell>
          <cell r="E272">
            <v>0.29460455987793033</v>
          </cell>
        </row>
        <row r="273">
          <cell r="A273">
            <v>263</v>
          </cell>
          <cell r="B273">
            <v>19</v>
          </cell>
          <cell r="C273" t="str">
            <v>EDUCATIONAL LOAN</v>
          </cell>
          <cell r="D273">
            <v>2</v>
          </cell>
          <cell r="E273">
            <v>0.25107138368789617</v>
          </cell>
        </row>
        <row r="274">
          <cell r="A274">
            <v>264</v>
          </cell>
          <cell r="B274">
            <v>19</v>
          </cell>
          <cell r="C274" t="str">
            <v>AGRICULTURE LOAN</v>
          </cell>
          <cell r="D274">
            <v>2</v>
          </cell>
          <cell r="E274">
            <v>0.73223466860459274</v>
          </cell>
        </row>
        <row r="275">
          <cell r="A275">
            <v>265</v>
          </cell>
          <cell r="B275">
            <v>19</v>
          </cell>
          <cell r="C275" t="str">
            <v>RESI PER.HOME-EMI</v>
          </cell>
          <cell r="D275">
            <v>2</v>
          </cell>
          <cell r="E275">
            <v>0.48699854436995321</v>
          </cell>
        </row>
        <row r="276">
          <cell r="A276">
            <v>266</v>
          </cell>
          <cell r="B276">
            <v>19</v>
          </cell>
          <cell r="C276" t="str">
            <v>TERM LOAN - BUSINESS</v>
          </cell>
          <cell r="D276">
            <v>2</v>
          </cell>
          <cell r="E276">
            <v>0.55183300462129625</v>
          </cell>
        </row>
        <row r="277">
          <cell r="A277">
            <v>267</v>
          </cell>
          <cell r="B277">
            <v>19</v>
          </cell>
          <cell r="C277" t="str">
            <v>CONS FIN BUSN TRM LO</v>
          </cell>
          <cell r="D277">
            <v>2</v>
          </cell>
          <cell r="E277">
            <v>0</v>
          </cell>
        </row>
        <row r="278">
          <cell r="A278">
            <v>268</v>
          </cell>
          <cell r="B278">
            <v>19</v>
          </cell>
          <cell r="C278" t="str">
            <v>BIS/PERHIRE PURCHASE</v>
          </cell>
          <cell r="D278">
            <v>2</v>
          </cell>
          <cell r="E278">
            <v>0.78361913215174228</v>
          </cell>
        </row>
        <row r="279">
          <cell r="A279">
            <v>269</v>
          </cell>
          <cell r="B279">
            <v>19</v>
          </cell>
          <cell r="C279" t="str">
            <v xml:space="preserve">INT CAP TERM LOAN </v>
          </cell>
          <cell r="D279">
            <v>2</v>
          </cell>
          <cell r="E279">
            <v>0</v>
          </cell>
        </row>
        <row r="280">
          <cell r="A280">
            <v>270</v>
          </cell>
          <cell r="B280">
            <v>19</v>
          </cell>
          <cell r="C280" t="str">
            <v>PERSONAL LOAN</v>
          </cell>
          <cell r="D280">
            <v>2</v>
          </cell>
          <cell r="E280">
            <v>0.29306487444288426</v>
          </cell>
        </row>
        <row r="281">
          <cell r="A281">
            <v>271</v>
          </cell>
          <cell r="B281">
            <v>19</v>
          </cell>
          <cell r="C281" t="str">
            <v>MORTGAGE LOAN</v>
          </cell>
          <cell r="D281">
            <v>2</v>
          </cell>
          <cell r="E281">
            <v>6.477618321031485E-2</v>
          </cell>
        </row>
        <row r="282">
          <cell r="A282">
            <v>272</v>
          </cell>
          <cell r="B282">
            <v>19</v>
          </cell>
          <cell r="C282" t="str">
            <v>LOAN AGAINST FDR</v>
          </cell>
          <cell r="D282">
            <v>2</v>
          </cell>
          <cell r="E282">
            <v>0</v>
          </cell>
        </row>
        <row r="283">
          <cell r="A283">
            <v>273</v>
          </cell>
          <cell r="B283">
            <v>19</v>
          </cell>
          <cell r="C283" t="str">
            <v>RECEIVABLE LOAN</v>
          </cell>
          <cell r="D283">
            <v>2</v>
          </cell>
          <cell r="E283">
            <v>0</v>
          </cell>
        </row>
        <row r="284">
          <cell r="A284">
            <v>274</v>
          </cell>
          <cell r="B284">
            <v>19</v>
          </cell>
          <cell r="C284" t="str">
            <v>STAFF LOAN</v>
          </cell>
          <cell r="D284">
            <v>2</v>
          </cell>
          <cell r="E284">
            <v>0</v>
          </cell>
        </row>
        <row r="285">
          <cell r="A285">
            <v>275</v>
          </cell>
          <cell r="B285">
            <v>19</v>
          </cell>
          <cell r="C285" t="str">
            <v>AGRICULTURAL LOAN</v>
          </cell>
          <cell r="D285">
            <v>2</v>
          </cell>
          <cell r="E285">
            <v>0</v>
          </cell>
        </row>
        <row r="286">
          <cell r="A286">
            <v>276</v>
          </cell>
          <cell r="B286">
            <v>19</v>
          </cell>
          <cell r="C286" t="str">
            <v>EARTHQUAKE RELIEF LO</v>
          </cell>
          <cell r="D286">
            <v>2</v>
          </cell>
          <cell r="E286">
            <v>0</v>
          </cell>
        </row>
        <row r="287">
          <cell r="A287">
            <v>277</v>
          </cell>
          <cell r="B287">
            <v>19</v>
          </cell>
          <cell r="C287" t="str">
            <v>TOURISM SECTOR LOAN</v>
          </cell>
          <cell r="D287">
            <v>2</v>
          </cell>
          <cell r="E287">
            <v>0</v>
          </cell>
        </row>
        <row r="288">
          <cell r="A288">
            <v>278</v>
          </cell>
          <cell r="B288">
            <v>19</v>
          </cell>
          <cell r="C288" t="str">
            <v>SME LOAN</v>
          </cell>
          <cell r="D288">
            <v>2</v>
          </cell>
          <cell r="E288">
            <v>0</v>
          </cell>
        </row>
        <row r="289">
          <cell r="A289">
            <v>279</v>
          </cell>
          <cell r="B289">
            <v>19</v>
          </cell>
          <cell r="C289" t="str">
            <v>EDUCATIONAL LOAN EMI</v>
          </cell>
          <cell r="D289">
            <v>2</v>
          </cell>
          <cell r="E289">
            <v>0</v>
          </cell>
        </row>
        <row r="290">
          <cell r="A290">
            <v>280</v>
          </cell>
          <cell r="B290">
            <v>19</v>
          </cell>
          <cell r="C290" t="str">
            <v>OVERDRAFT PROFESSION</v>
          </cell>
          <cell r="D290">
            <v>2</v>
          </cell>
          <cell r="E290">
            <v>0</v>
          </cell>
        </row>
        <row r="291">
          <cell r="A291">
            <v>281</v>
          </cell>
          <cell r="B291">
            <v>18</v>
          </cell>
          <cell r="C291" t="str">
            <v>OD PERSONAL LOAN</v>
          </cell>
          <cell r="D291">
            <v>1</v>
          </cell>
          <cell r="E291">
            <v>0.3449783896253581</v>
          </cell>
        </row>
        <row r="292">
          <cell r="A292">
            <v>282</v>
          </cell>
          <cell r="B292">
            <v>18</v>
          </cell>
          <cell r="C292" t="str">
            <v>OD BUSINESS LOAN</v>
          </cell>
          <cell r="D292">
            <v>1</v>
          </cell>
          <cell r="E292">
            <v>0.23708202160529451</v>
          </cell>
        </row>
        <row r="293">
          <cell r="A293">
            <v>283</v>
          </cell>
          <cell r="B293">
            <v>18</v>
          </cell>
          <cell r="C293" t="str">
            <v>OD STAFF LOAN</v>
          </cell>
          <cell r="D293">
            <v>1</v>
          </cell>
          <cell r="E293">
            <v>0</v>
          </cell>
        </row>
        <row r="294">
          <cell r="A294">
            <v>284</v>
          </cell>
          <cell r="B294">
            <v>18</v>
          </cell>
          <cell r="C294" t="str">
            <v>TERM LOAN</v>
          </cell>
          <cell r="D294">
            <v>1</v>
          </cell>
          <cell r="E294">
            <v>0.24389425453700109</v>
          </cell>
        </row>
        <row r="295">
          <cell r="A295">
            <v>285</v>
          </cell>
          <cell r="B295">
            <v>18</v>
          </cell>
          <cell r="C295" t="str">
            <v>WC TRADING/IND LOAN</v>
          </cell>
          <cell r="D295">
            <v>1</v>
          </cell>
          <cell r="E295">
            <v>0.70406307464914908</v>
          </cell>
        </row>
        <row r="296">
          <cell r="A296">
            <v>286</v>
          </cell>
          <cell r="B296">
            <v>18</v>
          </cell>
          <cell r="C296" t="str">
            <v>HOUSING LOAN</v>
          </cell>
          <cell r="D296">
            <v>1</v>
          </cell>
          <cell r="E296">
            <v>0.4314469302268602</v>
          </cell>
        </row>
        <row r="297">
          <cell r="A297">
            <v>287</v>
          </cell>
          <cell r="B297">
            <v>18</v>
          </cell>
          <cell r="C297" t="str">
            <v>RESI REAL EST LOAN</v>
          </cell>
          <cell r="D297">
            <v>1</v>
          </cell>
          <cell r="E297">
            <v>0</v>
          </cell>
        </row>
        <row r="298">
          <cell r="A298">
            <v>288</v>
          </cell>
          <cell r="B298">
            <v>18</v>
          </cell>
          <cell r="C298" t="str">
            <v>MARGIN NATURE LOAN</v>
          </cell>
          <cell r="D298">
            <v>1</v>
          </cell>
          <cell r="E298">
            <v>0</v>
          </cell>
        </row>
        <row r="299">
          <cell r="A299">
            <v>289</v>
          </cell>
          <cell r="B299">
            <v>18</v>
          </cell>
          <cell r="C299" t="str">
            <v>HIRE PURCHASE LOAN</v>
          </cell>
          <cell r="D299">
            <v>1</v>
          </cell>
          <cell r="E299">
            <v>0.85779567387820721</v>
          </cell>
        </row>
        <row r="300">
          <cell r="A300">
            <v>290</v>
          </cell>
          <cell r="B300">
            <v>18</v>
          </cell>
          <cell r="C300" t="str">
            <v>DEPRIVED SECTOR LOAN</v>
          </cell>
          <cell r="D300">
            <v>1</v>
          </cell>
          <cell r="E300">
            <v>1.4108277758695335E-2</v>
          </cell>
        </row>
        <row r="301">
          <cell r="A301">
            <v>291</v>
          </cell>
          <cell r="B301">
            <v>18</v>
          </cell>
          <cell r="C301" t="str">
            <v>EDUCATIONAL LOAN</v>
          </cell>
          <cell r="D301">
            <v>1</v>
          </cell>
          <cell r="E301">
            <v>9.1496255725096801E-3</v>
          </cell>
        </row>
        <row r="302">
          <cell r="A302">
            <v>292</v>
          </cell>
          <cell r="B302">
            <v>18</v>
          </cell>
          <cell r="C302" t="str">
            <v>AGRICULTURE LOAN</v>
          </cell>
          <cell r="D302">
            <v>1</v>
          </cell>
          <cell r="E302">
            <v>0.57822730849912563</v>
          </cell>
        </row>
        <row r="303">
          <cell r="A303">
            <v>293</v>
          </cell>
          <cell r="B303">
            <v>18</v>
          </cell>
          <cell r="C303" t="str">
            <v>RESI PER.HOME-EMI</v>
          </cell>
          <cell r="D303">
            <v>1</v>
          </cell>
          <cell r="E303">
            <v>0.34646628679101787</v>
          </cell>
        </row>
        <row r="304">
          <cell r="A304">
            <v>294</v>
          </cell>
          <cell r="B304">
            <v>18</v>
          </cell>
          <cell r="C304" t="str">
            <v>TERM LOAN - BUSINESS</v>
          </cell>
          <cell r="D304">
            <v>1</v>
          </cell>
          <cell r="E304">
            <v>0.59115399637470745</v>
          </cell>
        </row>
        <row r="305">
          <cell r="A305">
            <v>295</v>
          </cell>
          <cell r="B305">
            <v>18</v>
          </cell>
          <cell r="C305" t="str">
            <v>CONS FIN BUSN TRM LO</v>
          </cell>
          <cell r="D305">
            <v>1</v>
          </cell>
          <cell r="E305">
            <v>0</v>
          </cell>
        </row>
        <row r="306">
          <cell r="A306">
            <v>296</v>
          </cell>
          <cell r="B306">
            <v>18</v>
          </cell>
          <cell r="C306" t="str">
            <v>BIS/PERHIRE PURCHASE</v>
          </cell>
          <cell r="D306">
            <v>1</v>
          </cell>
          <cell r="E306">
            <v>0.40021739433093306</v>
          </cell>
        </row>
        <row r="307">
          <cell r="A307">
            <v>297</v>
          </cell>
          <cell r="B307">
            <v>18</v>
          </cell>
          <cell r="C307" t="str">
            <v xml:space="preserve">INT CAP TERM LOAN </v>
          </cell>
          <cell r="D307">
            <v>1</v>
          </cell>
          <cell r="E307">
            <v>0</v>
          </cell>
        </row>
        <row r="308">
          <cell r="A308">
            <v>298</v>
          </cell>
          <cell r="B308">
            <v>18</v>
          </cell>
          <cell r="C308" t="str">
            <v>PERSONAL LOAN</v>
          </cell>
          <cell r="D308">
            <v>1</v>
          </cell>
          <cell r="E308">
            <v>0.32375171434768502</v>
          </cell>
        </row>
        <row r="309">
          <cell r="A309">
            <v>299</v>
          </cell>
          <cell r="B309">
            <v>18</v>
          </cell>
          <cell r="C309" t="str">
            <v>MORTGAGE LOAN</v>
          </cell>
          <cell r="D309">
            <v>1</v>
          </cell>
          <cell r="E309">
            <v>0.46708850989528555</v>
          </cell>
        </row>
        <row r="310">
          <cell r="A310">
            <v>300</v>
          </cell>
          <cell r="B310">
            <v>18</v>
          </cell>
          <cell r="C310" t="str">
            <v>LOAN AGAINST FDR</v>
          </cell>
          <cell r="D310">
            <v>1</v>
          </cell>
          <cell r="E310">
            <v>0</v>
          </cell>
        </row>
        <row r="311">
          <cell r="A311">
            <v>301</v>
          </cell>
          <cell r="B311">
            <v>18</v>
          </cell>
          <cell r="C311" t="str">
            <v>RECEIVABLE LOAN</v>
          </cell>
          <cell r="D311">
            <v>1</v>
          </cell>
          <cell r="E311">
            <v>0</v>
          </cell>
        </row>
        <row r="312">
          <cell r="A312">
            <v>302</v>
          </cell>
          <cell r="B312">
            <v>18</v>
          </cell>
          <cell r="C312" t="str">
            <v>STAFF LOAN</v>
          </cell>
          <cell r="D312">
            <v>1</v>
          </cell>
          <cell r="E312">
            <v>0</v>
          </cell>
        </row>
        <row r="313">
          <cell r="A313">
            <v>303</v>
          </cell>
          <cell r="B313">
            <v>18</v>
          </cell>
          <cell r="C313" t="str">
            <v>AGRICULTURAL LOAN</v>
          </cell>
          <cell r="D313">
            <v>1</v>
          </cell>
          <cell r="E313">
            <v>8.4534926537409696E-2</v>
          </cell>
        </row>
        <row r="314">
          <cell r="A314">
            <v>304</v>
          </cell>
          <cell r="B314">
            <v>18</v>
          </cell>
          <cell r="C314" t="str">
            <v>EARTHQUAKE RELIEF LO</v>
          </cell>
          <cell r="D314">
            <v>1</v>
          </cell>
          <cell r="E314">
            <v>0</v>
          </cell>
        </row>
        <row r="315">
          <cell r="A315">
            <v>305</v>
          </cell>
          <cell r="B315">
            <v>18</v>
          </cell>
          <cell r="C315" t="str">
            <v>TOURISM SECTOR LOAN</v>
          </cell>
          <cell r="D315">
            <v>1</v>
          </cell>
          <cell r="E315">
            <v>0</v>
          </cell>
        </row>
        <row r="316">
          <cell r="A316">
            <v>306</v>
          </cell>
          <cell r="B316">
            <v>18</v>
          </cell>
          <cell r="C316" t="str">
            <v>SME LOAN</v>
          </cell>
          <cell r="D316">
            <v>1</v>
          </cell>
          <cell r="E316">
            <v>0</v>
          </cell>
        </row>
        <row r="317">
          <cell r="A317">
            <v>307</v>
          </cell>
          <cell r="B317">
            <v>18</v>
          </cell>
          <cell r="C317" t="str">
            <v>EDUCATIONAL LOAN EMI</v>
          </cell>
          <cell r="D317">
            <v>1</v>
          </cell>
          <cell r="E317">
            <v>0</v>
          </cell>
        </row>
        <row r="318">
          <cell r="A318">
            <v>308</v>
          </cell>
          <cell r="B318">
            <v>18</v>
          </cell>
          <cell r="C318" t="str">
            <v>OVERDRAFT PROFESSION</v>
          </cell>
          <cell r="D318">
            <v>1</v>
          </cell>
          <cell r="E318">
            <v>0</v>
          </cell>
        </row>
        <row r="319">
          <cell r="A319">
            <v>309</v>
          </cell>
          <cell r="B319">
            <v>18</v>
          </cell>
          <cell r="C319" t="str">
            <v>OD PERSONAL LOAN</v>
          </cell>
          <cell r="D319">
            <v>2</v>
          </cell>
          <cell r="E319">
            <v>1</v>
          </cell>
        </row>
        <row r="320">
          <cell r="A320">
            <v>310</v>
          </cell>
          <cell r="B320">
            <v>18</v>
          </cell>
          <cell r="C320" t="str">
            <v>OD BUSINESS LOAN</v>
          </cell>
          <cell r="D320">
            <v>2</v>
          </cell>
          <cell r="E320">
            <v>0</v>
          </cell>
        </row>
        <row r="321">
          <cell r="A321">
            <v>311</v>
          </cell>
          <cell r="B321">
            <v>18</v>
          </cell>
          <cell r="C321" t="str">
            <v>OD STAFF LOAN</v>
          </cell>
          <cell r="D321">
            <v>2</v>
          </cell>
          <cell r="E321">
            <v>0</v>
          </cell>
        </row>
        <row r="322">
          <cell r="A322">
            <v>312</v>
          </cell>
          <cell r="B322">
            <v>18</v>
          </cell>
          <cell r="C322" t="str">
            <v>TERM LOAN</v>
          </cell>
          <cell r="D322">
            <v>2</v>
          </cell>
          <cell r="E322">
            <v>0.49139528068964528</v>
          </cell>
        </row>
        <row r="323">
          <cell r="A323">
            <v>313</v>
          </cell>
          <cell r="B323">
            <v>18</v>
          </cell>
          <cell r="C323" t="str">
            <v>WC TRADING/IND LOAN</v>
          </cell>
          <cell r="D323">
            <v>2</v>
          </cell>
          <cell r="E323">
            <v>0.75826984904903272</v>
          </cell>
        </row>
        <row r="324">
          <cell r="A324">
            <v>314</v>
          </cell>
          <cell r="B324">
            <v>18</v>
          </cell>
          <cell r="C324" t="str">
            <v>HOUSING LOAN</v>
          </cell>
          <cell r="D324">
            <v>2</v>
          </cell>
          <cell r="E324">
            <v>0.73638931668264318</v>
          </cell>
        </row>
        <row r="325">
          <cell r="A325">
            <v>315</v>
          </cell>
          <cell r="B325">
            <v>18</v>
          </cell>
          <cell r="C325" t="str">
            <v>RESI REAL EST LOAN</v>
          </cell>
          <cell r="D325">
            <v>2</v>
          </cell>
          <cell r="E325">
            <v>0</v>
          </cell>
        </row>
        <row r="326">
          <cell r="A326">
            <v>316</v>
          </cell>
          <cell r="B326">
            <v>18</v>
          </cell>
          <cell r="C326" t="str">
            <v>MARGIN NATURE LOAN</v>
          </cell>
          <cell r="D326">
            <v>2</v>
          </cell>
          <cell r="E326">
            <v>0</v>
          </cell>
        </row>
        <row r="327">
          <cell r="A327">
            <v>317</v>
          </cell>
          <cell r="B327">
            <v>18</v>
          </cell>
          <cell r="C327" t="str">
            <v>HIRE PURCHASE LOAN</v>
          </cell>
          <cell r="D327">
            <v>2</v>
          </cell>
          <cell r="E327">
            <v>0.98770795699460978</v>
          </cell>
        </row>
        <row r="328">
          <cell r="A328">
            <v>318</v>
          </cell>
          <cell r="B328">
            <v>18</v>
          </cell>
          <cell r="C328" t="str">
            <v>DEPRIVED SECTOR LOAN</v>
          </cell>
          <cell r="D328">
            <v>2</v>
          </cell>
          <cell r="E328">
            <v>0.20971649691495162</v>
          </cell>
        </row>
        <row r="329">
          <cell r="A329">
            <v>319</v>
          </cell>
          <cell r="B329">
            <v>18</v>
          </cell>
          <cell r="C329" t="str">
            <v>EDUCATIONAL LOAN</v>
          </cell>
          <cell r="D329">
            <v>2</v>
          </cell>
          <cell r="E329">
            <v>0</v>
          </cell>
        </row>
        <row r="330">
          <cell r="A330">
            <v>320</v>
          </cell>
          <cell r="B330">
            <v>18</v>
          </cell>
          <cell r="C330" t="str">
            <v>AGRICULTURE LOAN</v>
          </cell>
          <cell r="D330">
            <v>2</v>
          </cell>
          <cell r="E330">
            <v>0.78833475956443033</v>
          </cell>
        </row>
        <row r="331">
          <cell r="A331">
            <v>321</v>
          </cell>
          <cell r="B331">
            <v>18</v>
          </cell>
          <cell r="C331" t="str">
            <v>RESI PER.HOME-EMI</v>
          </cell>
          <cell r="D331">
            <v>2</v>
          </cell>
          <cell r="E331">
            <v>0.57904896043197573</v>
          </cell>
        </row>
        <row r="332">
          <cell r="A332">
            <v>322</v>
          </cell>
          <cell r="B332">
            <v>18</v>
          </cell>
          <cell r="C332" t="str">
            <v>TERM LOAN - BUSINESS</v>
          </cell>
          <cell r="D332">
            <v>2</v>
          </cell>
          <cell r="E332">
            <v>1</v>
          </cell>
        </row>
        <row r="333">
          <cell r="A333">
            <v>323</v>
          </cell>
          <cell r="B333">
            <v>18</v>
          </cell>
          <cell r="C333" t="str">
            <v>CONS FIN BUSN TRM LO</v>
          </cell>
          <cell r="D333">
            <v>2</v>
          </cell>
          <cell r="E333">
            <v>0</v>
          </cell>
        </row>
        <row r="334">
          <cell r="A334">
            <v>324</v>
          </cell>
          <cell r="B334">
            <v>18</v>
          </cell>
          <cell r="C334" t="str">
            <v>BIS/PERHIRE PURCHASE</v>
          </cell>
          <cell r="D334">
            <v>2</v>
          </cell>
          <cell r="E334">
            <v>0.71911505203798565</v>
          </cell>
        </row>
        <row r="335">
          <cell r="A335">
            <v>325</v>
          </cell>
          <cell r="B335">
            <v>18</v>
          </cell>
          <cell r="C335" t="str">
            <v xml:space="preserve">INT CAP TERM LOAN </v>
          </cell>
          <cell r="D335">
            <v>2</v>
          </cell>
          <cell r="E335">
            <v>0</v>
          </cell>
        </row>
        <row r="336">
          <cell r="A336">
            <v>326</v>
          </cell>
          <cell r="B336">
            <v>18</v>
          </cell>
          <cell r="C336" t="str">
            <v>PERSONAL LOAN</v>
          </cell>
          <cell r="D336">
            <v>2</v>
          </cell>
          <cell r="E336">
            <v>0.46495769744555115</v>
          </cell>
        </row>
        <row r="337">
          <cell r="A337">
            <v>327</v>
          </cell>
          <cell r="B337">
            <v>18</v>
          </cell>
          <cell r="C337" t="str">
            <v>MORTGAGE LOAN</v>
          </cell>
          <cell r="D337">
            <v>2</v>
          </cell>
          <cell r="E337">
            <v>0.54339685937727045</v>
          </cell>
        </row>
        <row r="338">
          <cell r="A338">
            <v>328</v>
          </cell>
          <cell r="B338">
            <v>18</v>
          </cell>
          <cell r="C338" t="str">
            <v>LOAN AGAINST FDR</v>
          </cell>
          <cell r="D338">
            <v>2</v>
          </cell>
          <cell r="E338">
            <v>0</v>
          </cell>
        </row>
        <row r="339">
          <cell r="A339">
            <v>329</v>
          </cell>
          <cell r="B339">
            <v>18</v>
          </cell>
          <cell r="C339" t="str">
            <v>RECEIVABLE LOAN</v>
          </cell>
          <cell r="D339">
            <v>2</v>
          </cell>
          <cell r="E339">
            <v>0</v>
          </cell>
        </row>
        <row r="340">
          <cell r="A340">
            <v>330</v>
          </cell>
          <cell r="B340">
            <v>18</v>
          </cell>
          <cell r="C340" t="str">
            <v>STAFF LOAN</v>
          </cell>
          <cell r="D340">
            <v>2</v>
          </cell>
          <cell r="E340">
            <v>0</v>
          </cell>
        </row>
        <row r="341">
          <cell r="A341">
            <v>331</v>
          </cell>
          <cell r="B341">
            <v>18</v>
          </cell>
          <cell r="C341" t="str">
            <v>AGRICULTURAL LOAN</v>
          </cell>
          <cell r="D341">
            <v>2</v>
          </cell>
          <cell r="E341">
            <v>0</v>
          </cell>
        </row>
        <row r="342">
          <cell r="A342">
            <v>332</v>
          </cell>
          <cell r="B342">
            <v>18</v>
          </cell>
          <cell r="C342" t="str">
            <v>EARTHQUAKE RELIEF LO</v>
          </cell>
          <cell r="D342">
            <v>2</v>
          </cell>
          <cell r="E342">
            <v>0</v>
          </cell>
        </row>
        <row r="343">
          <cell r="A343">
            <v>333</v>
          </cell>
          <cell r="B343">
            <v>18</v>
          </cell>
          <cell r="C343" t="str">
            <v>TOURISM SECTOR LOAN</v>
          </cell>
          <cell r="D343">
            <v>2</v>
          </cell>
          <cell r="E343">
            <v>0</v>
          </cell>
        </row>
        <row r="344">
          <cell r="A344">
            <v>334</v>
          </cell>
          <cell r="B344">
            <v>18</v>
          </cell>
          <cell r="C344" t="str">
            <v>SME LOAN</v>
          </cell>
          <cell r="D344">
            <v>2</v>
          </cell>
          <cell r="E344">
            <v>0</v>
          </cell>
        </row>
        <row r="345">
          <cell r="A345">
            <v>335</v>
          </cell>
          <cell r="B345">
            <v>18</v>
          </cell>
          <cell r="C345" t="str">
            <v>EDUCATIONAL LOAN EMI</v>
          </cell>
          <cell r="D345">
            <v>2</v>
          </cell>
          <cell r="E345">
            <v>0</v>
          </cell>
        </row>
        <row r="346">
          <cell r="A346">
            <v>336</v>
          </cell>
          <cell r="B346">
            <v>18</v>
          </cell>
          <cell r="C346" t="str">
            <v>OVERDRAFT PROFESSION</v>
          </cell>
          <cell r="D346">
            <v>2</v>
          </cell>
          <cell r="E346">
            <v>0</v>
          </cell>
        </row>
        <row r="347">
          <cell r="A347">
            <v>337</v>
          </cell>
          <cell r="B347">
            <v>17</v>
          </cell>
          <cell r="C347" t="str">
            <v>OD PERSONAL LOAN</v>
          </cell>
          <cell r="D347">
            <v>1</v>
          </cell>
          <cell r="E347">
            <v>3.4235803014445051E-2</v>
          </cell>
        </row>
        <row r="348">
          <cell r="A348">
            <v>338</v>
          </cell>
          <cell r="B348">
            <v>17</v>
          </cell>
          <cell r="C348" t="str">
            <v>OD BUSINESS LOAN</v>
          </cell>
          <cell r="D348">
            <v>1</v>
          </cell>
          <cell r="E348">
            <v>0</v>
          </cell>
        </row>
        <row r="349">
          <cell r="A349">
            <v>339</v>
          </cell>
          <cell r="B349">
            <v>17</v>
          </cell>
          <cell r="C349" t="str">
            <v>OD STAFF LOAN</v>
          </cell>
          <cell r="D349">
            <v>1</v>
          </cell>
          <cell r="E349">
            <v>0</v>
          </cell>
        </row>
        <row r="350">
          <cell r="A350">
            <v>340</v>
          </cell>
          <cell r="B350">
            <v>17</v>
          </cell>
          <cell r="C350" t="str">
            <v>TERM LOAN</v>
          </cell>
          <cell r="D350">
            <v>1</v>
          </cell>
          <cell r="E350">
            <v>7.6472851048231122E-2</v>
          </cell>
        </row>
        <row r="351">
          <cell r="A351">
            <v>341</v>
          </cell>
          <cell r="B351">
            <v>17</v>
          </cell>
          <cell r="C351" t="str">
            <v>WC TRADING/IND LOAN</v>
          </cell>
          <cell r="D351">
            <v>1</v>
          </cell>
          <cell r="E351">
            <v>0.16340734777391733</v>
          </cell>
        </row>
        <row r="352">
          <cell r="A352">
            <v>342</v>
          </cell>
          <cell r="B352">
            <v>17</v>
          </cell>
          <cell r="C352" t="str">
            <v>HOUSING LOAN</v>
          </cell>
          <cell r="D352">
            <v>1</v>
          </cell>
          <cell r="E352">
            <v>7.9888683411804828E-2</v>
          </cell>
        </row>
        <row r="353">
          <cell r="A353">
            <v>343</v>
          </cell>
          <cell r="B353">
            <v>17</v>
          </cell>
          <cell r="C353" t="str">
            <v>RESI REAL EST LOAN</v>
          </cell>
          <cell r="D353">
            <v>1</v>
          </cell>
          <cell r="E353">
            <v>0</v>
          </cell>
        </row>
        <row r="354">
          <cell r="A354">
            <v>344</v>
          </cell>
          <cell r="B354">
            <v>17</v>
          </cell>
          <cell r="C354" t="str">
            <v>MARGIN NATURE LOAN</v>
          </cell>
          <cell r="D354">
            <v>1</v>
          </cell>
          <cell r="E354">
            <v>0</v>
          </cell>
        </row>
        <row r="355">
          <cell r="A355">
            <v>345</v>
          </cell>
          <cell r="B355">
            <v>17</v>
          </cell>
          <cell r="C355" t="str">
            <v>HIRE PURCHASE LOAN</v>
          </cell>
          <cell r="D355">
            <v>1</v>
          </cell>
          <cell r="E355">
            <v>0.1366339143577992</v>
          </cell>
        </row>
        <row r="356">
          <cell r="A356">
            <v>346</v>
          </cell>
          <cell r="B356">
            <v>17</v>
          </cell>
          <cell r="C356" t="str">
            <v>DEPRIVED SECTOR LOAN</v>
          </cell>
          <cell r="D356">
            <v>1</v>
          </cell>
          <cell r="E356">
            <v>0.23335926548868952</v>
          </cell>
        </row>
        <row r="357">
          <cell r="A357">
            <v>347</v>
          </cell>
          <cell r="B357">
            <v>17</v>
          </cell>
          <cell r="C357" t="str">
            <v>EDUCATIONAL LOAN</v>
          </cell>
          <cell r="D357">
            <v>1</v>
          </cell>
          <cell r="E357">
            <v>0</v>
          </cell>
        </row>
        <row r="358">
          <cell r="A358">
            <v>348</v>
          </cell>
          <cell r="B358">
            <v>17</v>
          </cell>
          <cell r="C358" t="str">
            <v>AGRICULTURE LOAN</v>
          </cell>
          <cell r="D358">
            <v>1</v>
          </cell>
          <cell r="E358">
            <v>0.20683307064262194</v>
          </cell>
        </row>
        <row r="359">
          <cell r="A359">
            <v>349</v>
          </cell>
          <cell r="B359">
            <v>17</v>
          </cell>
          <cell r="C359" t="str">
            <v>RESI PER.HOME-EMI</v>
          </cell>
          <cell r="D359">
            <v>1</v>
          </cell>
          <cell r="E359">
            <v>5.2940396104800426E-2</v>
          </cell>
        </row>
        <row r="360">
          <cell r="A360">
            <v>350</v>
          </cell>
          <cell r="B360">
            <v>17</v>
          </cell>
          <cell r="C360" t="str">
            <v>TERM LOAN - BUSINESS</v>
          </cell>
          <cell r="D360">
            <v>1</v>
          </cell>
          <cell r="E360">
            <v>0</v>
          </cell>
        </row>
        <row r="361">
          <cell r="A361">
            <v>351</v>
          </cell>
          <cell r="B361">
            <v>17</v>
          </cell>
          <cell r="C361" t="str">
            <v>CONS FIN BUSN TRM LO</v>
          </cell>
          <cell r="D361">
            <v>1</v>
          </cell>
          <cell r="E361">
            <v>0</v>
          </cell>
        </row>
        <row r="362">
          <cell r="A362">
            <v>352</v>
          </cell>
          <cell r="B362">
            <v>17</v>
          </cell>
          <cell r="C362" t="str">
            <v>BIS/PERHIRE PURCHASE</v>
          </cell>
          <cell r="D362">
            <v>1</v>
          </cell>
          <cell r="E362">
            <v>0.19782772023998796</v>
          </cell>
        </row>
        <row r="363">
          <cell r="A363">
            <v>353</v>
          </cell>
          <cell r="B363">
            <v>17</v>
          </cell>
          <cell r="C363" t="str">
            <v xml:space="preserve">INT CAP TERM LOAN </v>
          </cell>
          <cell r="D363">
            <v>1</v>
          </cell>
          <cell r="E363">
            <v>0</v>
          </cell>
        </row>
        <row r="364">
          <cell r="A364">
            <v>354</v>
          </cell>
          <cell r="B364">
            <v>17</v>
          </cell>
          <cell r="C364" t="str">
            <v>PERSONAL LOAN</v>
          </cell>
          <cell r="D364">
            <v>1</v>
          </cell>
          <cell r="E364">
            <v>0.14428935643738483</v>
          </cell>
        </row>
        <row r="365">
          <cell r="A365">
            <v>355</v>
          </cell>
          <cell r="B365">
            <v>17</v>
          </cell>
          <cell r="C365" t="str">
            <v>MORTGAGE LOAN</v>
          </cell>
          <cell r="D365">
            <v>1</v>
          </cell>
          <cell r="E365">
            <v>0.18217850985661016</v>
          </cell>
        </row>
        <row r="366">
          <cell r="A366">
            <v>356</v>
          </cell>
          <cell r="B366">
            <v>17</v>
          </cell>
          <cell r="C366" t="str">
            <v>LOAN AGAINST FDR</v>
          </cell>
          <cell r="D366">
            <v>1</v>
          </cell>
          <cell r="E366">
            <v>0</v>
          </cell>
        </row>
        <row r="367">
          <cell r="A367">
            <v>357</v>
          </cell>
          <cell r="B367">
            <v>17</v>
          </cell>
          <cell r="C367" t="str">
            <v>RECEIVABLE LOAN</v>
          </cell>
          <cell r="D367">
            <v>1</v>
          </cell>
          <cell r="E367">
            <v>0</v>
          </cell>
        </row>
        <row r="368">
          <cell r="A368">
            <v>358</v>
          </cell>
          <cell r="B368">
            <v>17</v>
          </cell>
          <cell r="C368" t="str">
            <v>STAFF LOAN</v>
          </cell>
          <cell r="D368">
            <v>1</v>
          </cell>
          <cell r="E368">
            <v>0</v>
          </cell>
        </row>
        <row r="369">
          <cell r="A369">
            <v>359</v>
          </cell>
          <cell r="B369">
            <v>17</v>
          </cell>
          <cell r="C369" t="str">
            <v>AGRICULTURAL LOAN</v>
          </cell>
          <cell r="D369">
            <v>1</v>
          </cell>
          <cell r="E369">
            <v>0</v>
          </cell>
        </row>
        <row r="370">
          <cell r="A370">
            <v>360</v>
          </cell>
          <cell r="B370">
            <v>17</v>
          </cell>
          <cell r="C370" t="str">
            <v>EARTHQUAKE RELIEF LO</v>
          </cell>
          <cell r="D370">
            <v>1</v>
          </cell>
          <cell r="E370">
            <v>0</v>
          </cell>
        </row>
        <row r="371">
          <cell r="A371">
            <v>361</v>
          </cell>
          <cell r="B371">
            <v>17</v>
          </cell>
          <cell r="C371" t="str">
            <v>TOURISM SECTOR LOAN</v>
          </cell>
          <cell r="D371">
            <v>1</v>
          </cell>
          <cell r="E371">
            <v>0</v>
          </cell>
        </row>
        <row r="372">
          <cell r="A372">
            <v>362</v>
          </cell>
          <cell r="B372">
            <v>17</v>
          </cell>
          <cell r="C372" t="str">
            <v>SME LOAN</v>
          </cell>
          <cell r="D372">
            <v>1</v>
          </cell>
          <cell r="E372">
            <v>1</v>
          </cell>
        </row>
        <row r="373">
          <cell r="A373">
            <v>363</v>
          </cell>
          <cell r="B373">
            <v>17</v>
          </cell>
          <cell r="C373" t="str">
            <v>EDUCATIONAL LOAN EMI</v>
          </cell>
          <cell r="D373">
            <v>1</v>
          </cell>
          <cell r="E373">
            <v>0</v>
          </cell>
        </row>
        <row r="374">
          <cell r="A374">
            <v>364</v>
          </cell>
          <cell r="B374">
            <v>17</v>
          </cell>
          <cell r="C374" t="str">
            <v>OVERDRAFT PROFESSION</v>
          </cell>
          <cell r="D374">
            <v>1</v>
          </cell>
          <cell r="E374">
            <v>0</v>
          </cell>
        </row>
        <row r="375">
          <cell r="A375">
            <v>365</v>
          </cell>
          <cell r="B375">
            <v>17</v>
          </cell>
          <cell r="C375" t="str">
            <v>OD PERSONAL LOAN</v>
          </cell>
          <cell r="D375">
            <v>2</v>
          </cell>
          <cell r="E375">
            <v>3.4680823735224464E-2</v>
          </cell>
        </row>
        <row r="376">
          <cell r="A376">
            <v>366</v>
          </cell>
          <cell r="B376">
            <v>17</v>
          </cell>
          <cell r="C376" t="str">
            <v>OD BUSINESS LOAN</v>
          </cell>
          <cell r="D376">
            <v>2</v>
          </cell>
          <cell r="E376">
            <v>0.51562192141164287</v>
          </cell>
        </row>
        <row r="377">
          <cell r="A377">
            <v>367</v>
          </cell>
          <cell r="B377">
            <v>17</v>
          </cell>
          <cell r="C377" t="str">
            <v>OD STAFF LOAN</v>
          </cell>
          <cell r="D377">
            <v>2</v>
          </cell>
          <cell r="E377">
            <v>0</v>
          </cell>
        </row>
        <row r="378">
          <cell r="A378">
            <v>368</v>
          </cell>
          <cell r="B378">
            <v>17</v>
          </cell>
          <cell r="C378" t="str">
            <v>TERM LOAN</v>
          </cell>
          <cell r="D378">
            <v>2</v>
          </cell>
          <cell r="E378">
            <v>0.19938074937408573</v>
          </cell>
        </row>
        <row r="379">
          <cell r="A379">
            <v>369</v>
          </cell>
          <cell r="B379">
            <v>17</v>
          </cell>
          <cell r="C379" t="str">
            <v>WC TRADING/IND LOAN</v>
          </cell>
          <cell r="D379">
            <v>2</v>
          </cell>
          <cell r="E379">
            <v>0.23507369317542906</v>
          </cell>
        </row>
        <row r="380">
          <cell r="A380">
            <v>370</v>
          </cell>
          <cell r="B380">
            <v>17</v>
          </cell>
          <cell r="C380" t="str">
            <v>HOUSING LOAN</v>
          </cell>
          <cell r="D380">
            <v>2</v>
          </cell>
          <cell r="E380">
            <v>0.299538875217217</v>
          </cell>
        </row>
        <row r="381">
          <cell r="A381">
            <v>371</v>
          </cell>
          <cell r="B381">
            <v>17</v>
          </cell>
          <cell r="C381" t="str">
            <v>RESI REAL EST LOAN</v>
          </cell>
          <cell r="D381">
            <v>2</v>
          </cell>
          <cell r="E381">
            <v>0.2193485493111752</v>
          </cell>
        </row>
        <row r="382">
          <cell r="A382">
            <v>372</v>
          </cell>
          <cell r="B382">
            <v>17</v>
          </cell>
          <cell r="C382" t="str">
            <v>MARGIN NATURE LOAN</v>
          </cell>
          <cell r="D382">
            <v>2</v>
          </cell>
          <cell r="E382">
            <v>0</v>
          </cell>
        </row>
        <row r="383">
          <cell r="A383">
            <v>373</v>
          </cell>
          <cell r="B383">
            <v>17</v>
          </cell>
          <cell r="C383" t="str">
            <v>HIRE PURCHASE LOAN</v>
          </cell>
          <cell r="D383">
            <v>2</v>
          </cell>
          <cell r="E383">
            <v>0.28091380822180401</v>
          </cell>
        </row>
        <row r="384">
          <cell r="A384">
            <v>374</v>
          </cell>
          <cell r="B384">
            <v>17</v>
          </cell>
          <cell r="C384" t="str">
            <v>DEPRIVED SECTOR LOAN</v>
          </cell>
          <cell r="D384">
            <v>2</v>
          </cell>
          <cell r="E384">
            <v>0.71990146719034787</v>
          </cell>
        </row>
        <row r="385">
          <cell r="A385">
            <v>375</v>
          </cell>
          <cell r="B385">
            <v>17</v>
          </cell>
          <cell r="C385" t="str">
            <v>EDUCATIONAL LOAN</v>
          </cell>
          <cell r="D385">
            <v>2</v>
          </cell>
          <cell r="E385">
            <v>0</v>
          </cell>
        </row>
        <row r="386">
          <cell r="A386">
            <v>376</v>
          </cell>
          <cell r="B386">
            <v>17</v>
          </cell>
          <cell r="C386" t="str">
            <v>AGRICULTURE LOAN</v>
          </cell>
          <cell r="D386">
            <v>2</v>
          </cell>
          <cell r="E386">
            <v>0.40353145867204587</v>
          </cell>
        </row>
        <row r="387">
          <cell r="A387">
            <v>377</v>
          </cell>
          <cell r="B387">
            <v>17</v>
          </cell>
          <cell r="C387" t="str">
            <v>RESI PER.HOME-EMI</v>
          </cell>
          <cell r="D387">
            <v>2</v>
          </cell>
          <cell r="E387">
            <v>0.19035593155030733</v>
          </cell>
        </row>
        <row r="388">
          <cell r="A388">
            <v>378</v>
          </cell>
          <cell r="B388">
            <v>17</v>
          </cell>
          <cell r="C388" t="str">
            <v>TERM LOAN - BUSINESS</v>
          </cell>
          <cell r="D388">
            <v>2</v>
          </cell>
          <cell r="E388">
            <v>3.4552201563698057E-3</v>
          </cell>
        </row>
        <row r="389">
          <cell r="A389">
            <v>379</v>
          </cell>
          <cell r="B389">
            <v>17</v>
          </cell>
          <cell r="C389" t="str">
            <v>CONS FIN BUSN TRM LO</v>
          </cell>
          <cell r="D389">
            <v>2</v>
          </cell>
          <cell r="E389">
            <v>0</v>
          </cell>
        </row>
        <row r="390">
          <cell r="A390">
            <v>380</v>
          </cell>
          <cell r="B390">
            <v>17</v>
          </cell>
          <cell r="C390" t="str">
            <v>BIS/PERHIRE PURCHASE</v>
          </cell>
          <cell r="D390">
            <v>2</v>
          </cell>
          <cell r="E390">
            <v>0.38113278404329337</v>
          </cell>
        </row>
        <row r="391">
          <cell r="A391">
            <v>381</v>
          </cell>
          <cell r="B391">
            <v>17</v>
          </cell>
          <cell r="C391" t="str">
            <v xml:space="preserve">INT CAP TERM LOAN </v>
          </cell>
          <cell r="D391">
            <v>2</v>
          </cell>
          <cell r="E391">
            <v>0</v>
          </cell>
        </row>
        <row r="392">
          <cell r="A392">
            <v>382</v>
          </cell>
          <cell r="B392">
            <v>17</v>
          </cell>
          <cell r="C392" t="str">
            <v>PERSONAL LOAN</v>
          </cell>
          <cell r="D392">
            <v>2</v>
          </cell>
          <cell r="E392">
            <v>0.23938481341342929</v>
          </cell>
        </row>
        <row r="393">
          <cell r="A393">
            <v>383</v>
          </cell>
          <cell r="B393">
            <v>17</v>
          </cell>
          <cell r="C393" t="str">
            <v>MORTGAGE LOAN</v>
          </cell>
          <cell r="D393">
            <v>2</v>
          </cell>
          <cell r="E393">
            <v>0.21322565571022392</v>
          </cell>
        </row>
        <row r="394">
          <cell r="A394">
            <v>384</v>
          </cell>
          <cell r="B394">
            <v>17</v>
          </cell>
          <cell r="C394" t="str">
            <v>LOAN AGAINST FDR</v>
          </cell>
          <cell r="D394">
            <v>2</v>
          </cell>
          <cell r="E394">
            <v>0</v>
          </cell>
        </row>
        <row r="395">
          <cell r="A395">
            <v>385</v>
          </cell>
          <cell r="B395">
            <v>17</v>
          </cell>
          <cell r="C395" t="str">
            <v>RECEIVABLE LOAN</v>
          </cell>
          <cell r="D395">
            <v>2</v>
          </cell>
          <cell r="E395">
            <v>0</v>
          </cell>
        </row>
        <row r="396">
          <cell r="A396">
            <v>386</v>
          </cell>
          <cell r="B396">
            <v>17</v>
          </cell>
          <cell r="C396" t="str">
            <v>STAFF LOAN</v>
          </cell>
          <cell r="D396">
            <v>2</v>
          </cell>
          <cell r="E396">
            <v>0</v>
          </cell>
        </row>
        <row r="397">
          <cell r="A397">
            <v>387</v>
          </cell>
          <cell r="B397">
            <v>17</v>
          </cell>
          <cell r="C397" t="str">
            <v>AGRICULTURAL LOAN</v>
          </cell>
          <cell r="D397">
            <v>2</v>
          </cell>
          <cell r="E397">
            <v>0</v>
          </cell>
        </row>
        <row r="398">
          <cell r="A398">
            <v>388</v>
          </cell>
          <cell r="B398">
            <v>17</v>
          </cell>
          <cell r="C398" t="str">
            <v>EARTHQUAKE RELIEF LO</v>
          </cell>
          <cell r="D398">
            <v>2</v>
          </cell>
          <cell r="E398">
            <v>0</v>
          </cell>
        </row>
        <row r="399">
          <cell r="A399">
            <v>389</v>
          </cell>
          <cell r="B399">
            <v>17</v>
          </cell>
          <cell r="C399" t="str">
            <v>TOURISM SECTOR LOAN</v>
          </cell>
          <cell r="D399">
            <v>2</v>
          </cell>
          <cell r="E399">
            <v>0</v>
          </cell>
        </row>
        <row r="400">
          <cell r="A400">
            <v>390</v>
          </cell>
          <cell r="B400">
            <v>17</v>
          </cell>
          <cell r="C400" t="str">
            <v>SME LOAN</v>
          </cell>
          <cell r="D400">
            <v>2</v>
          </cell>
          <cell r="E400">
            <v>0</v>
          </cell>
        </row>
        <row r="401">
          <cell r="A401">
            <v>391</v>
          </cell>
          <cell r="B401">
            <v>17</v>
          </cell>
          <cell r="C401" t="str">
            <v>EDUCATIONAL LOAN EMI</v>
          </cell>
          <cell r="D401">
            <v>2</v>
          </cell>
          <cell r="E401">
            <v>0</v>
          </cell>
        </row>
        <row r="402">
          <cell r="A402">
            <v>392</v>
          </cell>
          <cell r="B402">
            <v>17</v>
          </cell>
          <cell r="C402" t="str">
            <v>OVERDRAFT PROFESSION</v>
          </cell>
          <cell r="D402">
            <v>2</v>
          </cell>
          <cell r="E402">
            <v>0</v>
          </cell>
        </row>
        <row r="403">
          <cell r="A403">
            <v>393</v>
          </cell>
          <cell r="B403">
            <v>16</v>
          </cell>
          <cell r="C403" t="str">
            <v>OD PERSONAL LOAN</v>
          </cell>
          <cell r="D403">
            <v>1</v>
          </cell>
          <cell r="E403">
            <v>3.8852619186632707E-2</v>
          </cell>
        </row>
        <row r="404">
          <cell r="A404">
            <v>394</v>
          </cell>
          <cell r="B404">
            <v>16</v>
          </cell>
          <cell r="C404" t="str">
            <v>OD BUSINESS LOAN</v>
          </cell>
          <cell r="D404">
            <v>1</v>
          </cell>
          <cell r="E404">
            <v>0.10673712266082122</v>
          </cell>
        </row>
        <row r="405">
          <cell r="A405">
            <v>395</v>
          </cell>
          <cell r="B405">
            <v>16</v>
          </cell>
          <cell r="C405" t="str">
            <v>OD STAFF LOAN</v>
          </cell>
          <cell r="D405">
            <v>1</v>
          </cell>
          <cell r="E405">
            <v>0</v>
          </cell>
        </row>
        <row r="406">
          <cell r="A406">
            <v>396</v>
          </cell>
          <cell r="B406">
            <v>16</v>
          </cell>
          <cell r="C406" t="str">
            <v>TERM LOAN</v>
          </cell>
          <cell r="D406">
            <v>1</v>
          </cell>
          <cell r="E406">
            <v>0.12891642895682734</v>
          </cell>
        </row>
        <row r="407">
          <cell r="A407">
            <v>397</v>
          </cell>
          <cell r="B407">
            <v>16</v>
          </cell>
          <cell r="C407" t="str">
            <v>WC TRADING/IND LOAN</v>
          </cell>
          <cell r="D407">
            <v>1</v>
          </cell>
          <cell r="E407">
            <v>0.15302725211544127</v>
          </cell>
        </row>
        <row r="408">
          <cell r="A408">
            <v>398</v>
          </cell>
          <cell r="B408">
            <v>16</v>
          </cell>
          <cell r="C408" t="str">
            <v>HOUSING LOAN</v>
          </cell>
          <cell r="D408">
            <v>1</v>
          </cell>
          <cell r="E408">
            <v>0.17918808591385976</v>
          </cell>
        </row>
        <row r="409">
          <cell r="A409">
            <v>399</v>
          </cell>
          <cell r="B409">
            <v>16</v>
          </cell>
          <cell r="C409" t="str">
            <v>RESI REAL EST LOAN</v>
          </cell>
          <cell r="D409">
            <v>1</v>
          </cell>
          <cell r="E409">
            <v>0</v>
          </cell>
        </row>
        <row r="410">
          <cell r="A410">
            <v>400</v>
          </cell>
          <cell r="B410">
            <v>16</v>
          </cell>
          <cell r="C410" t="str">
            <v>MARGIN NATURE LOAN</v>
          </cell>
          <cell r="D410">
            <v>1</v>
          </cell>
          <cell r="E410">
            <v>0</v>
          </cell>
        </row>
        <row r="411">
          <cell r="A411">
            <v>401</v>
          </cell>
          <cell r="B411">
            <v>16</v>
          </cell>
          <cell r="C411" t="str">
            <v>HIRE PURCHASE LOAN</v>
          </cell>
          <cell r="D411">
            <v>1</v>
          </cell>
          <cell r="E411">
            <v>0.41833595707766758</v>
          </cell>
        </row>
        <row r="412">
          <cell r="A412">
            <v>402</v>
          </cell>
          <cell r="B412">
            <v>16</v>
          </cell>
          <cell r="C412" t="str">
            <v>DEPRIVED SECTOR LOAN</v>
          </cell>
          <cell r="D412">
            <v>1</v>
          </cell>
          <cell r="E412">
            <v>5.662731617438313E-3</v>
          </cell>
        </row>
        <row r="413">
          <cell r="A413">
            <v>403</v>
          </cell>
          <cell r="B413">
            <v>16</v>
          </cell>
          <cell r="C413" t="str">
            <v>EDUCATIONAL LOAN</v>
          </cell>
          <cell r="D413">
            <v>1</v>
          </cell>
          <cell r="E413">
            <v>9.7910518567752458E-2</v>
          </cell>
        </row>
        <row r="414">
          <cell r="A414">
            <v>404</v>
          </cell>
          <cell r="B414">
            <v>16</v>
          </cell>
          <cell r="C414" t="str">
            <v>AGRICULTURE LOAN</v>
          </cell>
          <cell r="D414">
            <v>1</v>
          </cell>
          <cell r="E414">
            <v>0.13091883098310353</v>
          </cell>
        </row>
        <row r="415">
          <cell r="A415">
            <v>405</v>
          </cell>
          <cell r="B415">
            <v>16</v>
          </cell>
          <cell r="C415" t="str">
            <v>RESI PER.HOME-EMI</v>
          </cell>
          <cell r="D415">
            <v>1</v>
          </cell>
          <cell r="E415">
            <v>4.4565972213570906E-2</v>
          </cell>
        </row>
        <row r="416">
          <cell r="A416">
            <v>406</v>
          </cell>
          <cell r="B416">
            <v>16</v>
          </cell>
          <cell r="C416" t="str">
            <v>TERM LOAN - BUSINESS</v>
          </cell>
          <cell r="D416">
            <v>1</v>
          </cell>
          <cell r="E416">
            <v>0</v>
          </cell>
        </row>
        <row r="417">
          <cell r="A417">
            <v>407</v>
          </cell>
          <cell r="B417">
            <v>16</v>
          </cell>
          <cell r="C417" t="str">
            <v>CONS FIN BUSN TRM LO</v>
          </cell>
          <cell r="D417">
            <v>1</v>
          </cell>
          <cell r="E417">
            <v>0</v>
          </cell>
        </row>
        <row r="418">
          <cell r="A418">
            <v>408</v>
          </cell>
          <cell r="B418">
            <v>16</v>
          </cell>
          <cell r="C418" t="str">
            <v>BIS/PERHIRE PURCHASE</v>
          </cell>
          <cell r="D418">
            <v>1</v>
          </cell>
          <cell r="E418">
            <v>0.2120793988147151</v>
          </cell>
        </row>
        <row r="419">
          <cell r="A419">
            <v>409</v>
          </cell>
          <cell r="B419">
            <v>16</v>
          </cell>
          <cell r="C419" t="str">
            <v xml:space="preserve">INT CAP TERM LOAN </v>
          </cell>
          <cell r="D419">
            <v>1</v>
          </cell>
          <cell r="E419">
            <v>0</v>
          </cell>
        </row>
        <row r="420">
          <cell r="A420">
            <v>410</v>
          </cell>
          <cell r="B420">
            <v>16</v>
          </cell>
          <cell r="C420" t="str">
            <v>PERSONAL LOAN</v>
          </cell>
          <cell r="D420">
            <v>1</v>
          </cell>
          <cell r="E420">
            <v>0.10836416531430079</v>
          </cell>
        </row>
        <row r="421">
          <cell r="A421">
            <v>411</v>
          </cell>
          <cell r="B421">
            <v>16</v>
          </cell>
          <cell r="C421" t="str">
            <v>MORTGAGE LOAN</v>
          </cell>
          <cell r="D421">
            <v>1</v>
          </cell>
          <cell r="E421">
            <v>8.1989229578233597E-2</v>
          </cell>
        </row>
        <row r="422">
          <cell r="A422">
            <v>412</v>
          </cell>
          <cell r="B422">
            <v>16</v>
          </cell>
          <cell r="C422" t="str">
            <v>LOAN AGAINST FDR</v>
          </cell>
          <cell r="D422">
            <v>1</v>
          </cell>
          <cell r="E422">
            <v>0</v>
          </cell>
        </row>
        <row r="423">
          <cell r="A423">
            <v>413</v>
          </cell>
          <cell r="B423">
            <v>16</v>
          </cell>
          <cell r="C423" t="str">
            <v>RECEIVABLE LOAN</v>
          </cell>
          <cell r="D423">
            <v>1</v>
          </cell>
          <cell r="E423">
            <v>0</v>
          </cell>
        </row>
        <row r="424">
          <cell r="A424">
            <v>414</v>
          </cell>
          <cell r="B424">
            <v>16</v>
          </cell>
          <cell r="C424" t="str">
            <v>STAFF LOAN</v>
          </cell>
          <cell r="D424">
            <v>1</v>
          </cell>
          <cell r="E424">
            <v>0</v>
          </cell>
        </row>
        <row r="425">
          <cell r="A425">
            <v>415</v>
          </cell>
          <cell r="B425">
            <v>16</v>
          </cell>
          <cell r="C425" t="str">
            <v>AGRICULTURAL LOAN</v>
          </cell>
          <cell r="D425">
            <v>1</v>
          </cell>
          <cell r="E425">
            <v>0</v>
          </cell>
        </row>
        <row r="426">
          <cell r="A426">
            <v>416</v>
          </cell>
          <cell r="B426">
            <v>16</v>
          </cell>
          <cell r="C426" t="str">
            <v>EARTHQUAKE RELIEF LO</v>
          </cell>
          <cell r="D426">
            <v>1</v>
          </cell>
          <cell r="E426">
            <v>0</v>
          </cell>
        </row>
        <row r="427">
          <cell r="A427">
            <v>417</v>
          </cell>
          <cell r="B427">
            <v>16</v>
          </cell>
          <cell r="C427" t="str">
            <v>TOURISM SECTOR LOAN</v>
          </cell>
          <cell r="D427">
            <v>1</v>
          </cell>
          <cell r="E427">
            <v>0</v>
          </cell>
        </row>
        <row r="428">
          <cell r="A428">
            <v>418</v>
          </cell>
          <cell r="B428">
            <v>16</v>
          </cell>
          <cell r="C428" t="str">
            <v>SME LOAN</v>
          </cell>
          <cell r="D428">
            <v>1</v>
          </cell>
          <cell r="E428">
            <v>0</v>
          </cell>
        </row>
        <row r="429">
          <cell r="A429">
            <v>419</v>
          </cell>
          <cell r="B429">
            <v>16</v>
          </cell>
          <cell r="C429" t="str">
            <v>EDUCATIONAL LOAN EMI</v>
          </cell>
          <cell r="D429">
            <v>1</v>
          </cell>
          <cell r="E429">
            <v>0</v>
          </cell>
        </row>
        <row r="430">
          <cell r="A430">
            <v>420</v>
          </cell>
          <cell r="B430">
            <v>16</v>
          </cell>
          <cell r="C430" t="str">
            <v>OVERDRAFT PROFESSION</v>
          </cell>
          <cell r="D430">
            <v>1</v>
          </cell>
          <cell r="E430">
            <v>0</v>
          </cell>
        </row>
        <row r="431">
          <cell r="A431">
            <v>421</v>
          </cell>
          <cell r="B431">
            <v>16</v>
          </cell>
          <cell r="C431" t="str">
            <v>OD PERSONAL LOAN</v>
          </cell>
          <cell r="D431">
            <v>2</v>
          </cell>
          <cell r="E431">
            <v>3.9906376557314847E-2</v>
          </cell>
        </row>
        <row r="432">
          <cell r="A432">
            <v>422</v>
          </cell>
          <cell r="B432">
            <v>16</v>
          </cell>
          <cell r="C432" t="str">
            <v>OD BUSINESS LOAN</v>
          </cell>
          <cell r="D432">
            <v>2</v>
          </cell>
          <cell r="E432">
            <v>0.15087909601832744</v>
          </cell>
        </row>
        <row r="433">
          <cell r="A433">
            <v>423</v>
          </cell>
          <cell r="B433">
            <v>16</v>
          </cell>
          <cell r="C433" t="str">
            <v>OD STAFF LOAN</v>
          </cell>
          <cell r="D433">
            <v>2</v>
          </cell>
          <cell r="E433">
            <v>0</v>
          </cell>
        </row>
        <row r="434">
          <cell r="A434">
            <v>424</v>
          </cell>
          <cell r="B434">
            <v>16</v>
          </cell>
          <cell r="C434" t="str">
            <v>TERM LOAN</v>
          </cell>
          <cell r="D434">
            <v>2</v>
          </cell>
          <cell r="E434">
            <v>0.30474756816702786</v>
          </cell>
        </row>
        <row r="435">
          <cell r="A435">
            <v>425</v>
          </cell>
          <cell r="B435">
            <v>16</v>
          </cell>
          <cell r="C435" t="str">
            <v>WC TRADING/IND LOAN</v>
          </cell>
          <cell r="D435">
            <v>2</v>
          </cell>
          <cell r="E435">
            <v>0.30941419116730828</v>
          </cell>
        </row>
        <row r="436">
          <cell r="A436">
            <v>426</v>
          </cell>
          <cell r="B436">
            <v>16</v>
          </cell>
          <cell r="C436" t="str">
            <v>HOUSING LOAN</v>
          </cell>
          <cell r="D436">
            <v>2</v>
          </cell>
          <cell r="E436">
            <v>0.5820056263983987</v>
          </cell>
        </row>
        <row r="437">
          <cell r="A437">
            <v>427</v>
          </cell>
          <cell r="B437">
            <v>16</v>
          </cell>
          <cell r="C437" t="str">
            <v>RESI REAL EST LOAN</v>
          </cell>
          <cell r="D437">
            <v>2</v>
          </cell>
          <cell r="E437">
            <v>0</v>
          </cell>
        </row>
        <row r="438">
          <cell r="A438">
            <v>428</v>
          </cell>
          <cell r="B438">
            <v>16</v>
          </cell>
          <cell r="C438" t="str">
            <v>MARGIN NATURE LOAN</v>
          </cell>
          <cell r="D438">
            <v>2</v>
          </cell>
          <cell r="E438">
            <v>0</v>
          </cell>
        </row>
        <row r="439">
          <cell r="A439">
            <v>429</v>
          </cell>
          <cell r="B439">
            <v>16</v>
          </cell>
          <cell r="C439" t="str">
            <v>HIRE PURCHASE LOAN</v>
          </cell>
          <cell r="D439">
            <v>2</v>
          </cell>
          <cell r="E439">
            <v>0.52776928605666407</v>
          </cell>
        </row>
        <row r="440">
          <cell r="A440">
            <v>430</v>
          </cell>
          <cell r="B440">
            <v>16</v>
          </cell>
          <cell r="C440" t="str">
            <v>DEPRIVED SECTOR LOAN</v>
          </cell>
          <cell r="D440">
            <v>2</v>
          </cell>
          <cell r="E440">
            <v>1.3185511298953272E-2</v>
          </cell>
        </row>
        <row r="441">
          <cell r="A441">
            <v>431</v>
          </cell>
          <cell r="B441">
            <v>16</v>
          </cell>
          <cell r="C441" t="str">
            <v>EDUCATIONAL LOAN</v>
          </cell>
          <cell r="D441">
            <v>2</v>
          </cell>
          <cell r="E441">
            <v>0.96449211647096966</v>
          </cell>
        </row>
        <row r="442">
          <cell r="A442">
            <v>432</v>
          </cell>
          <cell r="B442">
            <v>16</v>
          </cell>
          <cell r="C442" t="str">
            <v>AGRICULTURE LOAN</v>
          </cell>
          <cell r="D442">
            <v>2</v>
          </cell>
          <cell r="E442">
            <v>0.21303766935412796</v>
          </cell>
        </row>
        <row r="443">
          <cell r="A443">
            <v>433</v>
          </cell>
          <cell r="B443">
            <v>16</v>
          </cell>
          <cell r="C443" t="str">
            <v>RESI PER.HOME-EMI</v>
          </cell>
          <cell r="D443">
            <v>2</v>
          </cell>
          <cell r="E443">
            <v>5.5510118853846588E-2</v>
          </cell>
        </row>
        <row r="444">
          <cell r="A444">
            <v>434</v>
          </cell>
          <cell r="B444">
            <v>16</v>
          </cell>
          <cell r="C444" t="str">
            <v>TERM LOAN - BUSINESS</v>
          </cell>
          <cell r="D444">
            <v>2</v>
          </cell>
          <cell r="E444">
            <v>0</v>
          </cell>
        </row>
        <row r="445">
          <cell r="A445">
            <v>435</v>
          </cell>
          <cell r="B445">
            <v>16</v>
          </cell>
          <cell r="C445" t="str">
            <v>CONS FIN BUSN TRM LO</v>
          </cell>
          <cell r="D445">
            <v>2</v>
          </cell>
          <cell r="E445">
            <v>0</v>
          </cell>
        </row>
        <row r="446">
          <cell r="A446">
            <v>436</v>
          </cell>
          <cell r="B446">
            <v>16</v>
          </cell>
          <cell r="C446" t="str">
            <v>BIS/PERHIRE PURCHASE</v>
          </cell>
          <cell r="D446">
            <v>2</v>
          </cell>
          <cell r="E446">
            <v>0.43476511862509271</v>
          </cell>
        </row>
        <row r="447">
          <cell r="A447">
            <v>437</v>
          </cell>
          <cell r="B447">
            <v>16</v>
          </cell>
          <cell r="C447" t="str">
            <v xml:space="preserve">INT CAP TERM LOAN </v>
          </cell>
          <cell r="D447">
            <v>2</v>
          </cell>
          <cell r="E447">
            <v>0</v>
          </cell>
        </row>
        <row r="448">
          <cell r="A448">
            <v>438</v>
          </cell>
          <cell r="B448">
            <v>16</v>
          </cell>
          <cell r="C448" t="str">
            <v>PERSONAL LOAN</v>
          </cell>
          <cell r="D448">
            <v>2</v>
          </cell>
          <cell r="E448">
            <v>0.24467888790305314</v>
          </cell>
        </row>
        <row r="449">
          <cell r="A449">
            <v>439</v>
          </cell>
          <cell r="B449">
            <v>16</v>
          </cell>
          <cell r="C449" t="str">
            <v>MORTGAGE LOAN</v>
          </cell>
          <cell r="D449">
            <v>2</v>
          </cell>
          <cell r="E449">
            <v>2.9929615434595987E-2</v>
          </cell>
        </row>
        <row r="450">
          <cell r="A450">
            <v>440</v>
          </cell>
          <cell r="B450">
            <v>16</v>
          </cell>
          <cell r="C450" t="str">
            <v>LOAN AGAINST FDR</v>
          </cell>
          <cell r="D450">
            <v>2</v>
          </cell>
          <cell r="E450">
            <v>0</v>
          </cell>
        </row>
        <row r="451">
          <cell r="A451">
            <v>441</v>
          </cell>
          <cell r="B451">
            <v>16</v>
          </cell>
          <cell r="C451" t="str">
            <v>RECEIVABLE LOAN</v>
          </cell>
          <cell r="D451">
            <v>2</v>
          </cell>
          <cell r="E451">
            <v>0</v>
          </cell>
        </row>
        <row r="452">
          <cell r="A452">
            <v>442</v>
          </cell>
          <cell r="B452">
            <v>16</v>
          </cell>
          <cell r="C452" t="str">
            <v>STAFF LOAN</v>
          </cell>
          <cell r="D452">
            <v>2</v>
          </cell>
          <cell r="E452">
            <v>0</v>
          </cell>
        </row>
        <row r="453">
          <cell r="A453">
            <v>443</v>
          </cell>
          <cell r="B453">
            <v>16</v>
          </cell>
          <cell r="C453" t="str">
            <v>AGRICULTURAL LOAN</v>
          </cell>
          <cell r="D453">
            <v>2</v>
          </cell>
          <cell r="E453">
            <v>0</v>
          </cell>
        </row>
        <row r="454">
          <cell r="A454">
            <v>444</v>
          </cell>
          <cell r="B454">
            <v>16</v>
          </cell>
          <cell r="C454" t="str">
            <v>EARTHQUAKE RELIEF LO</v>
          </cell>
          <cell r="D454">
            <v>2</v>
          </cell>
          <cell r="E454">
            <v>0</v>
          </cell>
        </row>
        <row r="455">
          <cell r="A455">
            <v>445</v>
          </cell>
          <cell r="B455">
            <v>16</v>
          </cell>
          <cell r="C455" t="str">
            <v>TOURISM SECTOR LOAN</v>
          </cell>
          <cell r="D455">
            <v>2</v>
          </cell>
          <cell r="E455">
            <v>0</v>
          </cell>
        </row>
        <row r="456">
          <cell r="A456">
            <v>446</v>
          </cell>
          <cell r="B456">
            <v>16</v>
          </cell>
          <cell r="C456" t="str">
            <v>SME LOAN</v>
          </cell>
          <cell r="D456">
            <v>2</v>
          </cell>
          <cell r="E456">
            <v>0</v>
          </cell>
        </row>
        <row r="457">
          <cell r="A457">
            <v>447</v>
          </cell>
          <cell r="B457">
            <v>16</v>
          </cell>
          <cell r="C457" t="str">
            <v>EDUCATIONAL LOAN EMI</v>
          </cell>
          <cell r="D457">
            <v>2</v>
          </cell>
          <cell r="E457">
            <v>0</v>
          </cell>
        </row>
        <row r="458">
          <cell r="A458">
            <v>448</v>
          </cell>
          <cell r="B458">
            <v>16</v>
          </cell>
          <cell r="C458" t="str">
            <v>OVERDRAFT PROFESSION</v>
          </cell>
          <cell r="D458">
            <v>2</v>
          </cell>
          <cell r="E458">
            <v>0</v>
          </cell>
        </row>
        <row r="459">
          <cell r="A459">
            <v>449</v>
          </cell>
          <cell r="B459">
            <v>15</v>
          </cell>
          <cell r="C459" t="str">
            <v>OD PERSONAL LOAN</v>
          </cell>
          <cell r="D459">
            <v>1</v>
          </cell>
          <cell r="E459">
            <v>2.702758136971993E-2</v>
          </cell>
        </row>
        <row r="460">
          <cell r="A460">
            <v>450</v>
          </cell>
          <cell r="B460">
            <v>15</v>
          </cell>
          <cell r="C460" t="str">
            <v>OD BUSINESS LOAN</v>
          </cell>
          <cell r="D460">
            <v>1</v>
          </cell>
          <cell r="E460">
            <v>1.3928383126171444E-2</v>
          </cell>
        </row>
        <row r="461">
          <cell r="A461">
            <v>451</v>
          </cell>
          <cell r="B461">
            <v>15</v>
          </cell>
          <cell r="C461" t="str">
            <v>OD STAFF LOAN</v>
          </cell>
          <cell r="D461">
            <v>1</v>
          </cell>
          <cell r="E461">
            <v>0</v>
          </cell>
        </row>
        <row r="462">
          <cell r="A462">
            <v>452</v>
          </cell>
          <cell r="B462">
            <v>15</v>
          </cell>
          <cell r="C462" t="str">
            <v>TERM LOAN</v>
          </cell>
          <cell r="D462">
            <v>1</v>
          </cell>
          <cell r="E462">
            <v>9.5214995417441495E-2</v>
          </cell>
        </row>
        <row r="463">
          <cell r="A463">
            <v>453</v>
          </cell>
          <cell r="B463">
            <v>15</v>
          </cell>
          <cell r="C463" t="str">
            <v>WC TRADING/IND LOAN</v>
          </cell>
          <cell r="D463">
            <v>1</v>
          </cell>
          <cell r="E463">
            <v>0.23309613639966617</v>
          </cell>
        </row>
        <row r="464">
          <cell r="A464">
            <v>454</v>
          </cell>
          <cell r="B464">
            <v>15</v>
          </cell>
          <cell r="C464" t="str">
            <v>HOUSING LOAN</v>
          </cell>
          <cell r="D464">
            <v>1</v>
          </cell>
          <cell r="E464">
            <v>4.5749025707799623E-2</v>
          </cell>
        </row>
        <row r="465">
          <cell r="A465">
            <v>455</v>
          </cell>
          <cell r="B465">
            <v>15</v>
          </cell>
          <cell r="C465" t="str">
            <v>RESI REAL EST LOAN</v>
          </cell>
          <cell r="D465">
            <v>1</v>
          </cell>
          <cell r="E465">
            <v>9.1624733193187771E-2</v>
          </cell>
        </row>
        <row r="466">
          <cell r="A466">
            <v>456</v>
          </cell>
          <cell r="B466">
            <v>15</v>
          </cell>
          <cell r="C466" t="str">
            <v>MARGIN NATURE LOAN</v>
          </cell>
          <cell r="D466">
            <v>1</v>
          </cell>
          <cell r="E466">
            <v>0</v>
          </cell>
        </row>
        <row r="467">
          <cell r="A467">
            <v>457</v>
          </cell>
          <cell r="B467">
            <v>15</v>
          </cell>
          <cell r="C467" t="str">
            <v>HIRE PURCHASE LOAN</v>
          </cell>
          <cell r="D467">
            <v>1</v>
          </cell>
          <cell r="E467">
            <v>0.31367852257879114</v>
          </cell>
        </row>
        <row r="468">
          <cell r="A468">
            <v>458</v>
          </cell>
          <cell r="B468">
            <v>15</v>
          </cell>
          <cell r="C468" t="str">
            <v>DEPRIVED SECTOR LOAN</v>
          </cell>
          <cell r="D468">
            <v>1</v>
          </cell>
          <cell r="E468">
            <v>8.1696848841921656E-3</v>
          </cell>
        </row>
        <row r="469">
          <cell r="A469">
            <v>459</v>
          </cell>
          <cell r="B469">
            <v>15</v>
          </cell>
          <cell r="C469" t="str">
            <v>EDUCATIONAL LOAN</v>
          </cell>
          <cell r="D469">
            <v>1</v>
          </cell>
          <cell r="E469">
            <v>5.7758276414934884E-3</v>
          </cell>
        </row>
        <row r="470">
          <cell r="A470">
            <v>460</v>
          </cell>
          <cell r="B470">
            <v>15</v>
          </cell>
          <cell r="C470" t="str">
            <v>AGRICULTURE LOAN</v>
          </cell>
          <cell r="D470">
            <v>1</v>
          </cell>
          <cell r="E470">
            <v>0.18013319685871892</v>
          </cell>
        </row>
        <row r="471">
          <cell r="A471">
            <v>461</v>
          </cell>
          <cell r="B471">
            <v>15</v>
          </cell>
          <cell r="C471" t="str">
            <v>RESI PER.HOME-EMI</v>
          </cell>
          <cell r="D471">
            <v>1</v>
          </cell>
          <cell r="E471">
            <v>6.8679630437924577E-2</v>
          </cell>
        </row>
        <row r="472">
          <cell r="A472">
            <v>462</v>
          </cell>
          <cell r="B472">
            <v>15</v>
          </cell>
          <cell r="C472" t="str">
            <v>TERM LOAN - BUSINESS</v>
          </cell>
          <cell r="D472">
            <v>1</v>
          </cell>
          <cell r="E472">
            <v>0</v>
          </cell>
        </row>
        <row r="473">
          <cell r="A473">
            <v>463</v>
          </cell>
          <cell r="B473">
            <v>15</v>
          </cell>
          <cell r="C473" t="str">
            <v>CONS FIN BUSN TRM LO</v>
          </cell>
          <cell r="D473">
            <v>1</v>
          </cell>
          <cell r="E473">
            <v>0</v>
          </cell>
        </row>
        <row r="474">
          <cell r="A474">
            <v>464</v>
          </cell>
          <cell r="B474">
            <v>15</v>
          </cell>
          <cell r="C474" t="str">
            <v>BIS/PERHIRE PURCHASE</v>
          </cell>
          <cell r="D474">
            <v>1</v>
          </cell>
          <cell r="E474">
            <v>0.3785983034793427</v>
          </cell>
        </row>
        <row r="475">
          <cell r="A475">
            <v>465</v>
          </cell>
          <cell r="B475">
            <v>15</v>
          </cell>
          <cell r="C475" t="str">
            <v xml:space="preserve">INT CAP TERM LOAN </v>
          </cell>
          <cell r="D475">
            <v>1</v>
          </cell>
          <cell r="E475">
            <v>0</v>
          </cell>
        </row>
        <row r="476">
          <cell r="A476">
            <v>466</v>
          </cell>
          <cell r="B476">
            <v>15</v>
          </cell>
          <cell r="C476" t="str">
            <v>PERSONAL LOAN</v>
          </cell>
          <cell r="D476">
            <v>1</v>
          </cell>
          <cell r="E476">
            <v>8.1652539491002069E-2</v>
          </cell>
        </row>
        <row r="477">
          <cell r="A477">
            <v>467</v>
          </cell>
          <cell r="B477">
            <v>15</v>
          </cell>
          <cell r="C477" t="str">
            <v>MORTGAGE LOAN</v>
          </cell>
          <cell r="D477">
            <v>1</v>
          </cell>
          <cell r="E477">
            <v>2.7880249750878598E-2</v>
          </cell>
        </row>
        <row r="478">
          <cell r="A478">
            <v>468</v>
          </cell>
          <cell r="B478">
            <v>15</v>
          </cell>
          <cell r="C478" t="str">
            <v>LOAN AGAINST FDR</v>
          </cell>
          <cell r="D478">
            <v>1</v>
          </cell>
          <cell r="E478">
            <v>0</v>
          </cell>
        </row>
        <row r="479">
          <cell r="A479">
            <v>469</v>
          </cell>
          <cell r="B479">
            <v>15</v>
          </cell>
          <cell r="C479" t="str">
            <v>RECEIVABLE LOAN</v>
          </cell>
          <cell r="D479">
            <v>1</v>
          </cell>
          <cell r="E479">
            <v>0</v>
          </cell>
        </row>
        <row r="480">
          <cell r="A480">
            <v>470</v>
          </cell>
          <cell r="B480">
            <v>15</v>
          </cell>
          <cell r="C480" t="str">
            <v>STAFF LOAN</v>
          </cell>
          <cell r="D480">
            <v>1</v>
          </cell>
          <cell r="E480">
            <v>0</v>
          </cell>
        </row>
        <row r="481">
          <cell r="A481">
            <v>471</v>
          </cell>
          <cell r="B481">
            <v>15</v>
          </cell>
          <cell r="C481" t="str">
            <v>AGRICULTURAL LOAN</v>
          </cell>
          <cell r="D481">
            <v>1</v>
          </cell>
          <cell r="E481">
            <v>0</v>
          </cell>
        </row>
        <row r="482">
          <cell r="A482">
            <v>472</v>
          </cell>
          <cell r="B482">
            <v>15</v>
          </cell>
          <cell r="C482" t="str">
            <v>EARTHQUAKE RELIEF LO</v>
          </cell>
          <cell r="D482">
            <v>1</v>
          </cell>
          <cell r="E482">
            <v>0</v>
          </cell>
        </row>
        <row r="483">
          <cell r="A483">
            <v>473</v>
          </cell>
          <cell r="B483">
            <v>15</v>
          </cell>
          <cell r="C483" t="str">
            <v>TOURISM SECTOR LOAN</v>
          </cell>
          <cell r="D483">
            <v>1</v>
          </cell>
          <cell r="E483">
            <v>0</v>
          </cell>
        </row>
        <row r="484">
          <cell r="A484">
            <v>474</v>
          </cell>
          <cell r="B484">
            <v>15</v>
          </cell>
          <cell r="C484" t="str">
            <v>SME LOAN</v>
          </cell>
          <cell r="D484">
            <v>1</v>
          </cell>
          <cell r="E484">
            <v>0</v>
          </cell>
        </row>
        <row r="485">
          <cell r="A485">
            <v>475</v>
          </cell>
          <cell r="B485">
            <v>15</v>
          </cell>
          <cell r="C485" t="str">
            <v>EDUCATIONAL LOAN EMI</v>
          </cell>
          <cell r="D485">
            <v>1</v>
          </cell>
          <cell r="E485">
            <v>0</v>
          </cell>
        </row>
        <row r="486">
          <cell r="A486">
            <v>476</v>
          </cell>
          <cell r="B486">
            <v>15</v>
          </cell>
          <cell r="C486" t="str">
            <v>OVERDRAFT PROFESSION</v>
          </cell>
          <cell r="D486">
            <v>1</v>
          </cell>
          <cell r="E486">
            <v>0</v>
          </cell>
        </row>
        <row r="487">
          <cell r="A487">
            <v>477</v>
          </cell>
          <cell r="B487">
            <v>15</v>
          </cell>
          <cell r="C487" t="str">
            <v>OD PERSONAL LOAN</v>
          </cell>
          <cell r="D487">
            <v>2</v>
          </cell>
          <cell r="E487">
            <v>2.5476331535166527E-2</v>
          </cell>
        </row>
        <row r="488">
          <cell r="A488">
            <v>478</v>
          </cell>
          <cell r="B488">
            <v>15</v>
          </cell>
          <cell r="C488" t="str">
            <v>OD BUSINESS LOAN</v>
          </cell>
          <cell r="D488">
            <v>2</v>
          </cell>
          <cell r="E488">
            <v>1.4832916515960519E-2</v>
          </cell>
        </row>
        <row r="489">
          <cell r="A489">
            <v>479</v>
          </cell>
          <cell r="B489">
            <v>15</v>
          </cell>
          <cell r="C489" t="str">
            <v>OD STAFF LOAN</v>
          </cell>
          <cell r="D489">
            <v>2</v>
          </cell>
          <cell r="E489">
            <v>0</v>
          </cell>
        </row>
        <row r="490">
          <cell r="A490">
            <v>480</v>
          </cell>
          <cell r="B490">
            <v>15</v>
          </cell>
          <cell r="C490" t="str">
            <v>TERM LOAN</v>
          </cell>
          <cell r="D490">
            <v>2</v>
          </cell>
          <cell r="E490">
            <v>0.21149840134605746</v>
          </cell>
        </row>
        <row r="491">
          <cell r="A491">
            <v>481</v>
          </cell>
          <cell r="B491">
            <v>15</v>
          </cell>
          <cell r="C491" t="str">
            <v>WC TRADING/IND LOAN</v>
          </cell>
          <cell r="D491">
            <v>2</v>
          </cell>
          <cell r="E491">
            <v>0.24925814758271797</v>
          </cell>
        </row>
        <row r="492">
          <cell r="A492">
            <v>482</v>
          </cell>
          <cell r="B492">
            <v>15</v>
          </cell>
          <cell r="C492" t="str">
            <v>HOUSING LOAN</v>
          </cell>
          <cell r="D492">
            <v>2</v>
          </cell>
          <cell r="E492">
            <v>0.16189072365200377</v>
          </cell>
        </row>
        <row r="493">
          <cell r="A493">
            <v>483</v>
          </cell>
          <cell r="B493">
            <v>15</v>
          </cell>
          <cell r="C493" t="str">
            <v>RESI REAL EST LOAN</v>
          </cell>
          <cell r="D493">
            <v>2</v>
          </cell>
          <cell r="E493">
            <v>0.52921260441781759</v>
          </cell>
        </row>
        <row r="494">
          <cell r="A494">
            <v>484</v>
          </cell>
          <cell r="B494">
            <v>15</v>
          </cell>
          <cell r="C494" t="str">
            <v>MARGIN NATURE LOAN</v>
          </cell>
          <cell r="D494">
            <v>2</v>
          </cell>
          <cell r="E494">
            <v>0</v>
          </cell>
        </row>
        <row r="495">
          <cell r="A495">
            <v>485</v>
          </cell>
          <cell r="B495">
            <v>15</v>
          </cell>
          <cell r="C495" t="str">
            <v>HIRE PURCHASE LOAN</v>
          </cell>
          <cell r="D495">
            <v>2</v>
          </cell>
          <cell r="E495">
            <v>0.64086120843811101</v>
          </cell>
        </row>
        <row r="496">
          <cell r="A496">
            <v>486</v>
          </cell>
          <cell r="B496">
            <v>15</v>
          </cell>
          <cell r="C496" t="str">
            <v>DEPRIVED SECTOR LOAN</v>
          </cell>
          <cell r="D496">
            <v>2</v>
          </cell>
          <cell r="E496">
            <v>0.12461378596897005</v>
          </cell>
        </row>
        <row r="497">
          <cell r="A497">
            <v>487</v>
          </cell>
          <cell r="B497">
            <v>15</v>
          </cell>
          <cell r="C497" t="str">
            <v>EDUCATIONAL LOAN</v>
          </cell>
          <cell r="D497">
            <v>2</v>
          </cell>
          <cell r="E497">
            <v>4.5499682926874304E-3</v>
          </cell>
        </row>
        <row r="498">
          <cell r="A498">
            <v>488</v>
          </cell>
          <cell r="B498">
            <v>15</v>
          </cell>
          <cell r="C498" t="str">
            <v>AGRICULTURE LOAN</v>
          </cell>
          <cell r="D498">
            <v>2</v>
          </cell>
          <cell r="E498">
            <v>0.23870577833676404</v>
          </cell>
        </row>
        <row r="499">
          <cell r="A499">
            <v>489</v>
          </cell>
          <cell r="B499">
            <v>15</v>
          </cell>
          <cell r="C499" t="str">
            <v>RESI PER.HOME-EMI</v>
          </cell>
          <cell r="D499">
            <v>2</v>
          </cell>
          <cell r="E499">
            <v>0.29212519769326917</v>
          </cell>
        </row>
        <row r="500">
          <cell r="A500">
            <v>490</v>
          </cell>
          <cell r="B500">
            <v>15</v>
          </cell>
          <cell r="C500" t="str">
            <v>TERM LOAN - BUSINESS</v>
          </cell>
          <cell r="D500">
            <v>2</v>
          </cell>
          <cell r="E500">
            <v>0</v>
          </cell>
        </row>
        <row r="501">
          <cell r="A501">
            <v>491</v>
          </cell>
          <cell r="B501">
            <v>15</v>
          </cell>
          <cell r="C501" t="str">
            <v>CONS FIN BUSN TRM LO</v>
          </cell>
          <cell r="D501">
            <v>2</v>
          </cell>
          <cell r="E501">
            <v>0</v>
          </cell>
        </row>
        <row r="502">
          <cell r="A502">
            <v>492</v>
          </cell>
          <cell r="B502">
            <v>15</v>
          </cell>
          <cell r="C502" t="str">
            <v>BIS/PERHIRE PURCHASE</v>
          </cell>
          <cell r="D502">
            <v>2</v>
          </cell>
          <cell r="E502">
            <v>0.62399972541202142</v>
          </cell>
        </row>
        <row r="503">
          <cell r="A503">
            <v>493</v>
          </cell>
          <cell r="B503">
            <v>15</v>
          </cell>
          <cell r="C503" t="str">
            <v xml:space="preserve">INT CAP TERM LOAN </v>
          </cell>
          <cell r="D503">
            <v>2</v>
          </cell>
          <cell r="E503">
            <v>0</v>
          </cell>
        </row>
        <row r="504">
          <cell r="A504">
            <v>494</v>
          </cell>
          <cell r="B504">
            <v>15</v>
          </cell>
          <cell r="C504" t="str">
            <v>PERSONAL LOAN</v>
          </cell>
          <cell r="D504">
            <v>2</v>
          </cell>
          <cell r="E504">
            <v>0.13299493223216566</v>
          </cell>
        </row>
        <row r="505">
          <cell r="A505">
            <v>495</v>
          </cell>
          <cell r="B505">
            <v>15</v>
          </cell>
          <cell r="C505" t="str">
            <v>MORTGAGE LOAN</v>
          </cell>
          <cell r="D505">
            <v>2</v>
          </cell>
          <cell r="E505">
            <v>0.30629594341622823</v>
          </cell>
        </row>
        <row r="506">
          <cell r="A506">
            <v>496</v>
          </cell>
          <cell r="B506">
            <v>15</v>
          </cell>
          <cell r="C506" t="str">
            <v>LOAN AGAINST FDR</v>
          </cell>
          <cell r="D506">
            <v>2</v>
          </cell>
          <cell r="E506">
            <v>0</v>
          </cell>
        </row>
        <row r="507">
          <cell r="A507">
            <v>497</v>
          </cell>
          <cell r="B507">
            <v>15</v>
          </cell>
          <cell r="C507" t="str">
            <v>RECEIVABLE LOAN</v>
          </cell>
          <cell r="D507">
            <v>2</v>
          </cell>
          <cell r="E507">
            <v>0</v>
          </cell>
        </row>
        <row r="508">
          <cell r="A508">
            <v>498</v>
          </cell>
          <cell r="B508">
            <v>15</v>
          </cell>
          <cell r="C508" t="str">
            <v>STAFF LOAN</v>
          </cell>
          <cell r="D508">
            <v>2</v>
          </cell>
          <cell r="E508">
            <v>0</v>
          </cell>
        </row>
        <row r="509">
          <cell r="A509">
            <v>499</v>
          </cell>
          <cell r="B509">
            <v>15</v>
          </cell>
          <cell r="C509" t="str">
            <v>AGRICULTURAL LOAN</v>
          </cell>
          <cell r="D509">
            <v>2</v>
          </cell>
          <cell r="E509">
            <v>0</v>
          </cell>
        </row>
        <row r="510">
          <cell r="A510">
            <v>500</v>
          </cell>
          <cell r="B510">
            <v>15</v>
          </cell>
          <cell r="C510" t="str">
            <v>EARTHQUAKE RELIEF LO</v>
          </cell>
          <cell r="D510">
            <v>2</v>
          </cell>
          <cell r="E510">
            <v>0</v>
          </cell>
        </row>
        <row r="511">
          <cell r="A511">
            <v>501</v>
          </cell>
          <cell r="B511">
            <v>15</v>
          </cell>
          <cell r="C511" t="str">
            <v>TOURISM SECTOR LOAN</v>
          </cell>
          <cell r="D511">
            <v>2</v>
          </cell>
          <cell r="E511">
            <v>0</v>
          </cell>
        </row>
        <row r="512">
          <cell r="A512">
            <v>502</v>
          </cell>
          <cell r="B512">
            <v>15</v>
          </cell>
          <cell r="C512" t="str">
            <v>SME LOAN</v>
          </cell>
          <cell r="D512">
            <v>2</v>
          </cell>
          <cell r="E512">
            <v>0</v>
          </cell>
        </row>
        <row r="513">
          <cell r="A513">
            <v>503</v>
          </cell>
          <cell r="B513">
            <v>15</v>
          </cell>
          <cell r="C513" t="str">
            <v>EDUCATIONAL LOAN EMI</v>
          </cell>
          <cell r="D513">
            <v>2</v>
          </cell>
          <cell r="E513">
            <v>0</v>
          </cell>
        </row>
        <row r="514">
          <cell r="A514">
            <v>504</v>
          </cell>
          <cell r="B514">
            <v>15</v>
          </cell>
          <cell r="C514" t="str">
            <v>OVERDRAFT PROFESSION</v>
          </cell>
          <cell r="D514">
            <v>2</v>
          </cell>
          <cell r="E514">
            <v>0</v>
          </cell>
        </row>
        <row r="515">
          <cell r="A515">
            <v>505</v>
          </cell>
          <cell r="B515">
            <v>14</v>
          </cell>
          <cell r="C515" t="str">
            <v>OD PERSONAL LOAN</v>
          </cell>
          <cell r="D515">
            <v>1</v>
          </cell>
          <cell r="E515">
            <v>0</v>
          </cell>
        </row>
        <row r="516">
          <cell r="A516">
            <v>506</v>
          </cell>
          <cell r="B516">
            <v>14</v>
          </cell>
          <cell r="C516" t="str">
            <v>OD BUSINESS LOAN</v>
          </cell>
          <cell r="D516">
            <v>1</v>
          </cell>
          <cell r="E516">
            <v>0</v>
          </cell>
        </row>
        <row r="517">
          <cell r="A517">
            <v>507</v>
          </cell>
          <cell r="B517">
            <v>14</v>
          </cell>
          <cell r="C517" t="str">
            <v>OD STAFF LOAN</v>
          </cell>
          <cell r="D517">
            <v>1</v>
          </cell>
          <cell r="E517">
            <v>0</v>
          </cell>
        </row>
        <row r="518">
          <cell r="A518">
            <v>508</v>
          </cell>
          <cell r="B518">
            <v>14</v>
          </cell>
          <cell r="C518" t="str">
            <v>TERM LOAN</v>
          </cell>
          <cell r="D518">
            <v>1</v>
          </cell>
          <cell r="E518">
            <v>0.17664745790190461</v>
          </cell>
        </row>
        <row r="519">
          <cell r="A519">
            <v>509</v>
          </cell>
          <cell r="B519">
            <v>14</v>
          </cell>
          <cell r="C519" t="str">
            <v>WC TRADING/IND LOAN</v>
          </cell>
          <cell r="D519">
            <v>1</v>
          </cell>
          <cell r="E519">
            <v>0.22493363841068717</v>
          </cell>
        </row>
        <row r="520">
          <cell r="A520">
            <v>510</v>
          </cell>
          <cell r="B520">
            <v>14</v>
          </cell>
          <cell r="C520" t="str">
            <v>HOUSING LOAN</v>
          </cell>
          <cell r="D520">
            <v>1</v>
          </cell>
          <cell r="E520">
            <v>0.2599501930809297</v>
          </cell>
        </row>
        <row r="521">
          <cell r="A521">
            <v>511</v>
          </cell>
          <cell r="B521">
            <v>14</v>
          </cell>
          <cell r="C521" t="str">
            <v>RESI REAL EST LOAN</v>
          </cell>
          <cell r="D521">
            <v>1</v>
          </cell>
          <cell r="E521">
            <v>0.1955161514188288</v>
          </cell>
        </row>
        <row r="522">
          <cell r="A522">
            <v>512</v>
          </cell>
          <cell r="B522">
            <v>14</v>
          </cell>
          <cell r="C522" t="str">
            <v>MARGIN NATURE LOAN</v>
          </cell>
          <cell r="D522">
            <v>1</v>
          </cell>
          <cell r="E522">
            <v>0</v>
          </cell>
        </row>
        <row r="523">
          <cell r="A523">
            <v>513</v>
          </cell>
          <cell r="B523">
            <v>14</v>
          </cell>
          <cell r="C523" t="str">
            <v>HIRE PURCHASE LOAN</v>
          </cell>
          <cell r="D523">
            <v>1</v>
          </cell>
          <cell r="E523">
            <v>0.47648156878262682</v>
          </cell>
        </row>
        <row r="524">
          <cell r="A524">
            <v>514</v>
          </cell>
          <cell r="B524">
            <v>14</v>
          </cell>
          <cell r="C524" t="str">
            <v>DEPRIVED SECTOR LOAN</v>
          </cell>
          <cell r="D524">
            <v>1</v>
          </cell>
          <cell r="E524">
            <v>7.1693071412729948E-3</v>
          </cell>
        </row>
        <row r="525">
          <cell r="A525">
            <v>515</v>
          </cell>
          <cell r="B525">
            <v>14</v>
          </cell>
          <cell r="C525" t="str">
            <v>EDUCATIONAL LOAN</v>
          </cell>
          <cell r="D525">
            <v>1</v>
          </cell>
          <cell r="E525">
            <v>7.2513712073597775E-2</v>
          </cell>
        </row>
        <row r="526">
          <cell r="A526">
            <v>516</v>
          </cell>
          <cell r="B526">
            <v>14</v>
          </cell>
          <cell r="C526" t="str">
            <v>AGRICULTURE LOAN</v>
          </cell>
          <cell r="D526">
            <v>1</v>
          </cell>
          <cell r="E526">
            <v>0.16945083036275255</v>
          </cell>
        </row>
        <row r="527">
          <cell r="A527">
            <v>517</v>
          </cell>
          <cell r="B527">
            <v>14</v>
          </cell>
          <cell r="C527" t="str">
            <v>RESI PER.HOME-EMI</v>
          </cell>
          <cell r="D527">
            <v>1</v>
          </cell>
          <cell r="E527">
            <v>0.40946726061312905</v>
          </cell>
        </row>
        <row r="528">
          <cell r="A528">
            <v>518</v>
          </cell>
          <cell r="B528">
            <v>14</v>
          </cell>
          <cell r="C528" t="str">
            <v>TERM LOAN - BUSINESS</v>
          </cell>
          <cell r="D528">
            <v>1</v>
          </cell>
          <cell r="E528">
            <v>0</v>
          </cell>
        </row>
        <row r="529">
          <cell r="A529">
            <v>519</v>
          </cell>
          <cell r="B529">
            <v>14</v>
          </cell>
          <cell r="C529" t="str">
            <v>CONS FIN BUSN TRM LO</v>
          </cell>
          <cell r="D529">
            <v>1</v>
          </cell>
          <cell r="E529">
            <v>0</v>
          </cell>
        </row>
        <row r="530">
          <cell r="A530">
            <v>520</v>
          </cell>
          <cell r="B530">
            <v>14</v>
          </cell>
          <cell r="C530" t="str">
            <v>BIS/PERHIRE PURCHASE</v>
          </cell>
          <cell r="D530">
            <v>1</v>
          </cell>
          <cell r="E530">
            <v>0.22496243853810552</v>
          </cell>
        </row>
        <row r="531">
          <cell r="A531">
            <v>521</v>
          </cell>
          <cell r="B531">
            <v>14</v>
          </cell>
          <cell r="C531" t="str">
            <v xml:space="preserve">INT CAP TERM LOAN </v>
          </cell>
          <cell r="D531">
            <v>1</v>
          </cell>
          <cell r="E531">
            <v>0</v>
          </cell>
        </row>
        <row r="532">
          <cell r="A532">
            <v>522</v>
          </cell>
          <cell r="B532">
            <v>14</v>
          </cell>
          <cell r="C532" t="str">
            <v>PERSONAL LOAN</v>
          </cell>
          <cell r="D532">
            <v>1</v>
          </cell>
          <cell r="E532">
            <v>0.18513857386759361</v>
          </cell>
        </row>
        <row r="533">
          <cell r="A533">
            <v>523</v>
          </cell>
          <cell r="B533">
            <v>14</v>
          </cell>
          <cell r="C533" t="str">
            <v>MORTGAGE LOAN</v>
          </cell>
          <cell r="D533">
            <v>1</v>
          </cell>
          <cell r="E533">
            <v>0.10478751107475855</v>
          </cell>
        </row>
        <row r="534">
          <cell r="A534">
            <v>524</v>
          </cell>
          <cell r="B534">
            <v>14</v>
          </cell>
          <cell r="C534" t="str">
            <v>LOAN AGAINST FDR</v>
          </cell>
          <cell r="D534">
            <v>1</v>
          </cell>
          <cell r="E534">
            <v>0</v>
          </cell>
        </row>
        <row r="535">
          <cell r="A535">
            <v>525</v>
          </cell>
          <cell r="B535">
            <v>14</v>
          </cell>
          <cell r="C535" t="str">
            <v>RECEIVABLE LOAN</v>
          </cell>
          <cell r="D535">
            <v>1</v>
          </cell>
          <cell r="E535">
            <v>0</v>
          </cell>
        </row>
        <row r="536">
          <cell r="A536">
            <v>526</v>
          </cell>
          <cell r="B536">
            <v>14</v>
          </cell>
          <cell r="C536" t="str">
            <v>STAFF LOAN</v>
          </cell>
          <cell r="D536">
            <v>1</v>
          </cell>
          <cell r="E536">
            <v>0</v>
          </cell>
        </row>
        <row r="537">
          <cell r="A537">
            <v>527</v>
          </cell>
          <cell r="B537">
            <v>14</v>
          </cell>
          <cell r="C537" t="str">
            <v>AGRICULTURAL LOAN</v>
          </cell>
          <cell r="D537">
            <v>1</v>
          </cell>
          <cell r="E537">
            <v>0</v>
          </cell>
        </row>
        <row r="538">
          <cell r="A538">
            <v>528</v>
          </cell>
          <cell r="B538">
            <v>14</v>
          </cell>
          <cell r="C538" t="str">
            <v>EARTHQUAKE RELIEF LO</v>
          </cell>
          <cell r="D538">
            <v>1</v>
          </cell>
          <cell r="E538">
            <v>0</v>
          </cell>
        </row>
        <row r="539">
          <cell r="A539">
            <v>529</v>
          </cell>
          <cell r="B539">
            <v>14</v>
          </cell>
          <cell r="C539" t="str">
            <v>TOURISM SECTOR LOAN</v>
          </cell>
          <cell r="D539">
            <v>1</v>
          </cell>
          <cell r="E539">
            <v>0</v>
          </cell>
        </row>
        <row r="540">
          <cell r="A540">
            <v>530</v>
          </cell>
          <cell r="B540">
            <v>14</v>
          </cell>
          <cell r="C540" t="str">
            <v>SME LOAN</v>
          </cell>
          <cell r="D540">
            <v>1</v>
          </cell>
          <cell r="E540">
            <v>0</v>
          </cell>
        </row>
        <row r="541">
          <cell r="A541">
            <v>531</v>
          </cell>
          <cell r="B541">
            <v>14</v>
          </cell>
          <cell r="C541" t="str">
            <v>EDUCATIONAL LOAN EMI</v>
          </cell>
          <cell r="D541">
            <v>1</v>
          </cell>
          <cell r="E541">
            <v>0</v>
          </cell>
        </row>
        <row r="542">
          <cell r="A542">
            <v>532</v>
          </cell>
          <cell r="B542">
            <v>14</v>
          </cell>
          <cell r="C542" t="str">
            <v>OVERDRAFT PROFESSION</v>
          </cell>
          <cell r="D542">
            <v>1</v>
          </cell>
          <cell r="E542">
            <v>0</v>
          </cell>
        </row>
        <row r="543">
          <cell r="A543">
            <v>533</v>
          </cell>
          <cell r="B543">
            <v>14</v>
          </cell>
          <cell r="C543" t="str">
            <v>OD PERSONAL LOAN</v>
          </cell>
          <cell r="D543">
            <v>2</v>
          </cell>
          <cell r="E543">
            <v>0</v>
          </cell>
        </row>
        <row r="544">
          <cell r="A544">
            <v>534</v>
          </cell>
          <cell r="B544">
            <v>14</v>
          </cell>
          <cell r="C544" t="str">
            <v>OD BUSINESS LOAN</v>
          </cell>
          <cell r="D544">
            <v>2</v>
          </cell>
          <cell r="E544">
            <v>0</v>
          </cell>
        </row>
        <row r="545">
          <cell r="A545">
            <v>535</v>
          </cell>
          <cell r="B545">
            <v>14</v>
          </cell>
          <cell r="C545" t="str">
            <v>OD STAFF LOAN</v>
          </cell>
          <cell r="D545">
            <v>2</v>
          </cell>
          <cell r="E545">
            <v>0</v>
          </cell>
        </row>
        <row r="546">
          <cell r="A546">
            <v>536</v>
          </cell>
          <cell r="B546">
            <v>14</v>
          </cell>
          <cell r="C546" t="str">
            <v>TERM LOAN</v>
          </cell>
          <cell r="D546">
            <v>2</v>
          </cell>
          <cell r="E546">
            <v>0.36297445939466771</v>
          </cell>
        </row>
        <row r="547">
          <cell r="A547">
            <v>537</v>
          </cell>
          <cell r="B547">
            <v>14</v>
          </cell>
          <cell r="C547" t="str">
            <v>WC TRADING/IND LOAN</v>
          </cell>
          <cell r="D547">
            <v>2</v>
          </cell>
          <cell r="E547">
            <v>0.21538869018984633</v>
          </cell>
        </row>
        <row r="548">
          <cell r="A548">
            <v>538</v>
          </cell>
          <cell r="B548">
            <v>14</v>
          </cell>
          <cell r="C548" t="str">
            <v>HOUSING LOAN</v>
          </cell>
          <cell r="D548">
            <v>2</v>
          </cell>
          <cell r="E548">
            <v>0.38989197017707589</v>
          </cell>
        </row>
        <row r="549">
          <cell r="A549">
            <v>539</v>
          </cell>
          <cell r="B549">
            <v>14</v>
          </cell>
          <cell r="C549" t="str">
            <v>RESI REAL EST LOAN</v>
          </cell>
          <cell r="D549">
            <v>2</v>
          </cell>
          <cell r="E549">
            <v>2.5468979702669162E-2</v>
          </cell>
        </row>
        <row r="550">
          <cell r="A550">
            <v>540</v>
          </cell>
          <cell r="B550">
            <v>14</v>
          </cell>
          <cell r="C550" t="str">
            <v>MARGIN NATURE LOAN</v>
          </cell>
          <cell r="D550">
            <v>2</v>
          </cell>
          <cell r="E550">
            <v>0</v>
          </cell>
        </row>
        <row r="551">
          <cell r="A551">
            <v>541</v>
          </cell>
          <cell r="B551">
            <v>14</v>
          </cell>
          <cell r="C551" t="str">
            <v>HIRE PURCHASE LOAN</v>
          </cell>
          <cell r="D551">
            <v>2</v>
          </cell>
          <cell r="E551">
            <v>0.66383940214447257</v>
          </cell>
        </row>
        <row r="552">
          <cell r="A552">
            <v>542</v>
          </cell>
          <cell r="B552">
            <v>14</v>
          </cell>
          <cell r="C552" t="str">
            <v>DEPRIVED SECTOR LOAN</v>
          </cell>
          <cell r="D552">
            <v>2</v>
          </cell>
          <cell r="E552">
            <v>0.11835973113586012</v>
          </cell>
        </row>
        <row r="553">
          <cell r="A553">
            <v>543</v>
          </cell>
          <cell r="B553">
            <v>14</v>
          </cell>
          <cell r="C553" t="str">
            <v>EDUCATIONAL LOAN</v>
          </cell>
          <cell r="D553">
            <v>2</v>
          </cell>
          <cell r="E553">
            <v>0.11462825396681414</v>
          </cell>
        </row>
        <row r="554">
          <cell r="A554">
            <v>544</v>
          </cell>
          <cell r="B554">
            <v>14</v>
          </cell>
          <cell r="C554" t="str">
            <v>AGRICULTURE LOAN</v>
          </cell>
          <cell r="D554">
            <v>2</v>
          </cell>
          <cell r="E554">
            <v>0.24411049792967154</v>
          </cell>
        </row>
        <row r="555">
          <cell r="A555">
            <v>545</v>
          </cell>
          <cell r="B555">
            <v>14</v>
          </cell>
          <cell r="C555" t="str">
            <v>RESI PER.HOME-EMI</v>
          </cell>
          <cell r="D555">
            <v>2</v>
          </cell>
          <cell r="E555">
            <v>0.72686074209428031</v>
          </cell>
        </row>
        <row r="556">
          <cell r="A556">
            <v>546</v>
          </cell>
          <cell r="B556">
            <v>14</v>
          </cell>
          <cell r="C556" t="str">
            <v>TERM LOAN - BUSINESS</v>
          </cell>
          <cell r="D556">
            <v>2</v>
          </cell>
          <cell r="E556">
            <v>0</v>
          </cell>
        </row>
        <row r="557">
          <cell r="A557">
            <v>547</v>
          </cell>
          <cell r="B557">
            <v>14</v>
          </cell>
          <cell r="C557" t="str">
            <v>CONS FIN BUSN TRM LO</v>
          </cell>
          <cell r="D557">
            <v>2</v>
          </cell>
          <cell r="E557">
            <v>0</v>
          </cell>
        </row>
        <row r="558">
          <cell r="A558">
            <v>548</v>
          </cell>
          <cell r="B558">
            <v>14</v>
          </cell>
          <cell r="C558" t="str">
            <v>BIS/PERHIRE PURCHASE</v>
          </cell>
          <cell r="D558">
            <v>2</v>
          </cell>
          <cell r="E558">
            <v>0.36191516053357575</v>
          </cell>
        </row>
        <row r="559">
          <cell r="A559">
            <v>549</v>
          </cell>
          <cell r="B559">
            <v>14</v>
          </cell>
          <cell r="C559" t="str">
            <v xml:space="preserve">INT CAP TERM LOAN </v>
          </cell>
          <cell r="D559">
            <v>2</v>
          </cell>
          <cell r="E559">
            <v>0</v>
          </cell>
        </row>
        <row r="560">
          <cell r="A560">
            <v>550</v>
          </cell>
          <cell r="B560">
            <v>14</v>
          </cell>
          <cell r="C560" t="str">
            <v>PERSONAL LOAN</v>
          </cell>
          <cell r="D560">
            <v>2</v>
          </cell>
          <cell r="E560">
            <v>0.21812764804578569</v>
          </cell>
        </row>
        <row r="561">
          <cell r="A561">
            <v>551</v>
          </cell>
          <cell r="B561">
            <v>14</v>
          </cell>
          <cell r="C561" t="str">
            <v>MORTGAGE LOAN</v>
          </cell>
          <cell r="D561">
            <v>2</v>
          </cell>
          <cell r="E561">
            <v>5.9269883464250675E-2</v>
          </cell>
        </row>
        <row r="562">
          <cell r="A562">
            <v>552</v>
          </cell>
          <cell r="B562">
            <v>14</v>
          </cell>
          <cell r="C562" t="str">
            <v>LOAN AGAINST FDR</v>
          </cell>
          <cell r="D562">
            <v>2</v>
          </cell>
          <cell r="E562">
            <v>0</v>
          </cell>
        </row>
        <row r="563">
          <cell r="A563">
            <v>553</v>
          </cell>
          <cell r="B563">
            <v>14</v>
          </cell>
          <cell r="C563" t="str">
            <v>RECEIVABLE LOAN</v>
          </cell>
          <cell r="D563">
            <v>2</v>
          </cell>
          <cell r="E563">
            <v>0</v>
          </cell>
        </row>
        <row r="564">
          <cell r="A564">
            <v>554</v>
          </cell>
          <cell r="B564">
            <v>14</v>
          </cell>
          <cell r="C564" t="str">
            <v>STAFF LOAN</v>
          </cell>
          <cell r="D564">
            <v>2</v>
          </cell>
          <cell r="E564">
            <v>0</v>
          </cell>
        </row>
        <row r="565">
          <cell r="A565">
            <v>555</v>
          </cell>
          <cell r="B565">
            <v>14</v>
          </cell>
          <cell r="C565" t="str">
            <v>AGRICULTURAL LOAN</v>
          </cell>
          <cell r="D565">
            <v>2</v>
          </cell>
          <cell r="E565">
            <v>0</v>
          </cell>
        </row>
        <row r="566">
          <cell r="A566">
            <v>556</v>
          </cell>
          <cell r="B566">
            <v>14</v>
          </cell>
          <cell r="C566" t="str">
            <v>EARTHQUAKE RELIEF LO</v>
          </cell>
          <cell r="D566">
            <v>2</v>
          </cell>
          <cell r="E566">
            <v>0</v>
          </cell>
        </row>
        <row r="567">
          <cell r="A567">
            <v>557</v>
          </cell>
          <cell r="B567">
            <v>14</v>
          </cell>
          <cell r="C567" t="str">
            <v>TOURISM SECTOR LOAN</v>
          </cell>
          <cell r="D567">
            <v>2</v>
          </cell>
          <cell r="E567">
            <v>0</v>
          </cell>
        </row>
        <row r="568">
          <cell r="A568">
            <v>558</v>
          </cell>
          <cell r="B568">
            <v>14</v>
          </cell>
          <cell r="C568" t="str">
            <v>SME LOAN</v>
          </cell>
          <cell r="D568">
            <v>2</v>
          </cell>
          <cell r="E568">
            <v>0</v>
          </cell>
        </row>
        <row r="569">
          <cell r="A569">
            <v>559</v>
          </cell>
          <cell r="B569">
            <v>14</v>
          </cell>
          <cell r="C569" t="str">
            <v>EDUCATIONAL LOAN EMI</v>
          </cell>
          <cell r="D569">
            <v>2</v>
          </cell>
          <cell r="E569">
            <v>0</v>
          </cell>
        </row>
        <row r="570">
          <cell r="A570">
            <v>560</v>
          </cell>
          <cell r="B570">
            <v>14</v>
          </cell>
          <cell r="C570" t="str">
            <v>OVERDRAFT PROFESSION</v>
          </cell>
          <cell r="D570">
            <v>2</v>
          </cell>
          <cell r="E570">
            <v>0</v>
          </cell>
        </row>
        <row r="571">
          <cell r="A571">
            <v>561</v>
          </cell>
          <cell r="B571">
            <v>13</v>
          </cell>
          <cell r="C571" t="str">
            <v>OD PERSONAL LOAN</v>
          </cell>
          <cell r="D571">
            <v>1</v>
          </cell>
          <cell r="E571">
            <v>0</v>
          </cell>
        </row>
        <row r="572">
          <cell r="A572">
            <v>562</v>
          </cell>
          <cell r="B572">
            <v>13</v>
          </cell>
          <cell r="C572" t="str">
            <v>OD BUSINESS LOAN</v>
          </cell>
          <cell r="D572">
            <v>1</v>
          </cell>
          <cell r="E572">
            <v>0</v>
          </cell>
        </row>
        <row r="573">
          <cell r="A573">
            <v>563</v>
          </cell>
          <cell r="B573">
            <v>13</v>
          </cell>
          <cell r="C573" t="str">
            <v>OD STAFF LOAN</v>
          </cell>
          <cell r="D573">
            <v>1</v>
          </cell>
          <cell r="E573">
            <v>0</v>
          </cell>
        </row>
        <row r="574">
          <cell r="A574">
            <v>564</v>
          </cell>
          <cell r="B574">
            <v>13</v>
          </cell>
          <cell r="C574" t="str">
            <v>TERM LOAN</v>
          </cell>
          <cell r="D574">
            <v>1</v>
          </cell>
          <cell r="E574">
            <v>0</v>
          </cell>
        </row>
        <row r="575">
          <cell r="A575">
            <v>565</v>
          </cell>
          <cell r="B575">
            <v>13</v>
          </cell>
          <cell r="C575" t="str">
            <v>WC TRADING/IND LOAN</v>
          </cell>
          <cell r="D575">
            <v>1</v>
          </cell>
          <cell r="E575">
            <v>0</v>
          </cell>
        </row>
        <row r="576">
          <cell r="A576">
            <v>566</v>
          </cell>
          <cell r="B576">
            <v>13</v>
          </cell>
          <cell r="C576" t="str">
            <v>HOUSING LOAN</v>
          </cell>
          <cell r="D576">
            <v>1</v>
          </cell>
          <cell r="E576">
            <v>0</v>
          </cell>
        </row>
        <row r="577">
          <cell r="A577">
            <v>567</v>
          </cell>
          <cell r="B577">
            <v>13</v>
          </cell>
          <cell r="C577" t="str">
            <v>RESI REAL EST LOAN</v>
          </cell>
          <cell r="D577">
            <v>1</v>
          </cell>
          <cell r="E577">
            <v>0</v>
          </cell>
        </row>
        <row r="578">
          <cell r="A578">
            <v>568</v>
          </cell>
          <cell r="B578">
            <v>13</v>
          </cell>
          <cell r="C578" t="str">
            <v>MARGIN NATURE LOAN</v>
          </cell>
          <cell r="D578">
            <v>1</v>
          </cell>
          <cell r="E578">
            <v>0</v>
          </cell>
        </row>
        <row r="579">
          <cell r="A579">
            <v>569</v>
          </cell>
          <cell r="B579">
            <v>13</v>
          </cell>
          <cell r="C579" t="str">
            <v>HIRE PURCHASE LOAN</v>
          </cell>
          <cell r="D579">
            <v>1</v>
          </cell>
          <cell r="E579">
            <v>0</v>
          </cell>
        </row>
        <row r="580">
          <cell r="A580">
            <v>570</v>
          </cell>
          <cell r="B580">
            <v>13</v>
          </cell>
          <cell r="C580" t="str">
            <v>DEPRIVED SECTOR LOAN</v>
          </cell>
          <cell r="D580">
            <v>1</v>
          </cell>
          <cell r="E580">
            <v>0</v>
          </cell>
        </row>
        <row r="581">
          <cell r="A581">
            <v>571</v>
          </cell>
          <cell r="B581">
            <v>13</v>
          </cell>
          <cell r="C581" t="str">
            <v>EDUCATIONAL LOAN</v>
          </cell>
          <cell r="D581">
            <v>1</v>
          </cell>
          <cell r="E581">
            <v>0</v>
          </cell>
        </row>
        <row r="582">
          <cell r="A582">
            <v>572</v>
          </cell>
          <cell r="B582">
            <v>13</v>
          </cell>
          <cell r="C582" t="str">
            <v>AGRICULTURE LOAN</v>
          </cell>
          <cell r="D582">
            <v>1</v>
          </cell>
          <cell r="E582">
            <v>0</v>
          </cell>
        </row>
        <row r="583">
          <cell r="A583">
            <v>573</v>
          </cell>
          <cell r="B583">
            <v>13</v>
          </cell>
          <cell r="C583" t="str">
            <v>RESI PER.HOME-EMI</v>
          </cell>
          <cell r="D583">
            <v>1</v>
          </cell>
          <cell r="E583">
            <v>0</v>
          </cell>
        </row>
        <row r="584">
          <cell r="A584">
            <v>574</v>
          </cell>
          <cell r="B584">
            <v>13</v>
          </cell>
          <cell r="C584" t="str">
            <v>TERM LOAN - BUSINESS</v>
          </cell>
          <cell r="D584">
            <v>1</v>
          </cell>
          <cell r="E584">
            <v>0</v>
          </cell>
        </row>
        <row r="585">
          <cell r="A585">
            <v>575</v>
          </cell>
          <cell r="B585">
            <v>13</v>
          </cell>
          <cell r="C585" t="str">
            <v>CONS FIN BUSN TRM LO</v>
          </cell>
          <cell r="D585">
            <v>1</v>
          </cell>
          <cell r="E585">
            <v>0</v>
          </cell>
        </row>
        <row r="586">
          <cell r="A586">
            <v>576</v>
          </cell>
          <cell r="B586">
            <v>13</v>
          </cell>
          <cell r="C586" t="str">
            <v>BIS/PERHIRE PURCHASE</v>
          </cell>
          <cell r="D586">
            <v>1</v>
          </cell>
          <cell r="E586">
            <v>0</v>
          </cell>
        </row>
        <row r="587">
          <cell r="A587">
            <v>577</v>
          </cell>
          <cell r="B587">
            <v>13</v>
          </cell>
          <cell r="C587" t="str">
            <v xml:space="preserve">INT CAP TERM LOAN </v>
          </cell>
          <cell r="D587">
            <v>1</v>
          </cell>
          <cell r="E587">
            <v>0</v>
          </cell>
        </row>
        <row r="588">
          <cell r="A588">
            <v>578</v>
          </cell>
          <cell r="B588">
            <v>13</v>
          </cell>
          <cell r="C588" t="str">
            <v>PERSONAL LOAN</v>
          </cell>
          <cell r="D588">
            <v>1</v>
          </cell>
          <cell r="E588">
            <v>0</v>
          </cell>
        </row>
        <row r="589">
          <cell r="A589">
            <v>579</v>
          </cell>
          <cell r="B589">
            <v>13</v>
          </cell>
          <cell r="C589" t="str">
            <v>MORTGAGE LOAN</v>
          </cell>
          <cell r="D589">
            <v>1</v>
          </cell>
          <cell r="E589">
            <v>0</v>
          </cell>
        </row>
        <row r="590">
          <cell r="A590">
            <v>580</v>
          </cell>
          <cell r="B590">
            <v>13</v>
          </cell>
          <cell r="C590" t="str">
            <v>LOAN AGAINST FDR</v>
          </cell>
          <cell r="D590">
            <v>1</v>
          </cell>
          <cell r="E590">
            <v>0</v>
          </cell>
        </row>
        <row r="591">
          <cell r="A591">
            <v>581</v>
          </cell>
          <cell r="B591">
            <v>13</v>
          </cell>
          <cell r="C591" t="str">
            <v>RECEIVABLE LOAN</v>
          </cell>
          <cell r="D591">
            <v>1</v>
          </cell>
          <cell r="E591">
            <v>0</v>
          </cell>
        </row>
        <row r="592">
          <cell r="A592">
            <v>582</v>
          </cell>
          <cell r="B592">
            <v>13</v>
          </cell>
          <cell r="C592" t="str">
            <v>STAFF LOAN</v>
          </cell>
          <cell r="D592">
            <v>1</v>
          </cell>
          <cell r="E592">
            <v>0</v>
          </cell>
        </row>
        <row r="593">
          <cell r="A593">
            <v>583</v>
          </cell>
          <cell r="B593">
            <v>13</v>
          </cell>
          <cell r="C593" t="str">
            <v>AGRICULTURAL LOAN</v>
          </cell>
          <cell r="D593">
            <v>1</v>
          </cell>
          <cell r="E593">
            <v>0</v>
          </cell>
        </row>
        <row r="594">
          <cell r="A594">
            <v>584</v>
          </cell>
          <cell r="B594">
            <v>13</v>
          </cell>
          <cell r="C594" t="str">
            <v>EARTHQUAKE RELIEF LO</v>
          </cell>
          <cell r="D594">
            <v>1</v>
          </cell>
          <cell r="E594">
            <v>0</v>
          </cell>
        </row>
        <row r="595">
          <cell r="A595">
            <v>585</v>
          </cell>
          <cell r="B595">
            <v>13</v>
          </cell>
          <cell r="C595" t="str">
            <v>TOURISM SECTOR LOAN</v>
          </cell>
          <cell r="D595">
            <v>1</v>
          </cell>
          <cell r="E595">
            <v>0</v>
          </cell>
        </row>
        <row r="596">
          <cell r="A596">
            <v>586</v>
          </cell>
          <cell r="B596">
            <v>13</v>
          </cell>
          <cell r="C596" t="str">
            <v>SME LOAN</v>
          </cell>
          <cell r="D596">
            <v>1</v>
          </cell>
          <cell r="E596">
            <v>0</v>
          </cell>
        </row>
        <row r="597">
          <cell r="A597">
            <v>587</v>
          </cell>
          <cell r="B597">
            <v>13</v>
          </cell>
          <cell r="C597" t="str">
            <v>EDUCATIONAL LOAN EMI</v>
          </cell>
          <cell r="D597">
            <v>1</v>
          </cell>
          <cell r="E597">
            <v>0</v>
          </cell>
        </row>
        <row r="598">
          <cell r="A598">
            <v>588</v>
          </cell>
          <cell r="B598">
            <v>13</v>
          </cell>
          <cell r="C598" t="str">
            <v>OVERDRAFT PROFESSION</v>
          </cell>
          <cell r="D598">
            <v>1</v>
          </cell>
          <cell r="E598">
            <v>0</v>
          </cell>
        </row>
        <row r="599">
          <cell r="A599">
            <v>589</v>
          </cell>
          <cell r="B599">
            <v>13</v>
          </cell>
          <cell r="C599" t="str">
            <v>OD PERSONAL LOAN</v>
          </cell>
          <cell r="D599">
            <v>2</v>
          </cell>
          <cell r="E599">
            <v>0</v>
          </cell>
        </row>
        <row r="600">
          <cell r="A600">
            <v>590</v>
          </cell>
          <cell r="B600">
            <v>13</v>
          </cell>
          <cell r="C600" t="str">
            <v>OD BUSINESS LOAN</v>
          </cell>
          <cell r="D600">
            <v>2</v>
          </cell>
          <cell r="E600">
            <v>0</v>
          </cell>
        </row>
        <row r="601">
          <cell r="A601">
            <v>591</v>
          </cell>
          <cell r="B601">
            <v>13</v>
          </cell>
          <cell r="C601" t="str">
            <v>OD STAFF LOAN</v>
          </cell>
          <cell r="D601">
            <v>2</v>
          </cell>
          <cell r="E601">
            <v>0</v>
          </cell>
        </row>
        <row r="602">
          <cell r="A602">
            <v>592</v>
          </cell>
          <cell r="B602">
            <v>13</v>
          </cell>
          <cell r="C602" t="str">
            <v>TERM LOAN</v>
          </cell>
          <cell r="D602">
            <v>2</v>
          </cell>
          <cell r="E602">
            <v>0</v>
          </cell>
        </row>
        <row r="603">
          <cell r="A603">
            <v>593</v>
          </cell>
          <cell r="B603">
            <v>13</v>
          </cell>
          <cell r="C603" t="str">
            <v>WC TRADING/IND LOAN</v>
          </cell>
          <cell r="D603">
            <v>2</v>
          </cell>
          <cell r="E603">
            <v>0</v>
          </cell>
        </row>
        <row r="604">
          <cell r="A604">
            <v>594</v>
          </cell>
          <cell r="B604">
            <v>13</v>
          </cell>
          <cell r="C604" t="str">
            <v>HOUSING LOAN</v>
          </cell>
          <cell r="D604">
            <v>2</v>
          </cell>
          <cell r="E604">
            <v>0</v>
          </cell>
        </row>
        <row r="605">
          <cell r="A605">
            <v>595</v>
          </cell>
          <cell r="B605">
            <v>13</v>
          </cell>
          <cell r="C605" t="str">
            <v>RESI REAL EST LOAN</v>
          </cell>
          <cell r="D605">
            <v>2</v>
          </cell>
          <cell r="E605">
            <v>0</v>
          </cell>
        </row>
        <row r="606">
          <cell r="A606">
            <v>596</v>
          </cell>
          <cell r="B606">
            <v>13</v>
          </cell>
          <cell r="C606" t="str">
            <v>MARGIN NATURE LOAN</v>
          </cell>
          <cell r="D606">
            <v>2</v>
          </cell>
          <cell r="E606">
            <v>0</v>
          </cell>
        </row>
        <row r="607">
          <cell r="A607">
            <v>597</v>
          </cell>
          <cell r="B607">
            <v>13</v>
          </cell>
          <cell r="C607" t="str">
            <v>HIRE PURCHASE LOAN</v>
          </cell>
          <cell r="D607">
            <v>2</v>
          </cell>
          <cell r="E607">
            <v>0</v>
          </cell>
        </row>
        <row r="608">
          <cell r="A608">
            <v>598</v>
          </cell>
          <cell r="B608">
            <v>13</v>
          </cell>
          <cell r="C608" t="str">
            <v>DEPRIVED SECTOR LOAN</v>
          </cell>
          <cell r="D608">
            <v>2</v>
          </cell>
          <cell r="E608">
            <v>0</v>
          </cell>
        </row>
        <row r="609">
          <cell r="A609">
            <v>599</v>
          </cell>
          <cell r="B609">
            <v>13</v>
          </cell>
          <cell r="C609" t="str">
            <v>EDUCATIONAL LOAN</v>
          </cell>
          <cell r="D609">
            <v>2</v>
          </cell>
          <cell r="E609">
            <v>0</v>
          </cell>
        </row>
        <row r="610">
          <cell r="A610">
            <v>600</v>
          </cell>
          <cell r="B610">
            <v>13</v>
          </cell>
          <cell r="C610" t="str">
            <v>AGRICULTURE LOAN</v>
          </cell>
          <cell r="D610">
            <v>2</v>
          </cell>
          <cell r="E610">
            <v>0</v>
          </cell>
        </row>
        <row r="611">
          <cell r="A611">
            <v>601</v>
          </cell>
          <cell r="B611">
            <v>13</v>
          </cell>
          <cell r="C611" t="str">
            <v>RESI PER.HOME-EMI</v>
          </cell>
          <cell r="D611">
            <v>2</v>
          </cell>
          <cell r="E611">
            <v>0</v>
          </cell>
        </row>
        <row r="612">
          <cell r="A612">
            <v>602</v>
          </cell>
          <cell r="B612">
            <v>13</v>
          </cell>
          <cell r="C612" t="str">
            <v>TERM LOAN - BUSINESS</v>
          </cell>
          <cell r="D612">
            <v>2</v>
          </cell>
          <cell r="E612">
            <v>0</v>
          </cell>
        </row>
        <row r="613">
          <cell r="A613">
            <v>603</v>
          </cell>
          <cell r="B613">
            <v>13</v>
          </cell>
          <cell r="C613" t="str">
            <v>CONS FIN BUSN TRM LO</v>
          </cell>
          <cell r="D613">
            <v>2</v>
          </cell>
          <cell r="E613">
            <v>0</v>
          </cell>
        </row>
        <row r="614">
          <cell r="A614">
            <v>604</v>
          </cell>
          <cell r="B614">
            <v>13</v>
          </cell>
          <cell r="C614" t="str">
            <v>BIS/PERHIRE PURCHASE</v>
          </cell>
          <cell r="D614">
            <v>2</v>
          </cell>
          <cell r="E614">
            <v>0</v>
          </cell>
        </row>
        <row r="615">
          <cell r="A615">
            <v>605</v>
          </cell>
          <cell r="B615">
            <v>13</v>
          </cell>
          <cell r="C615" t="str">
            <v xml:space="preserve">INT CAP TERM LOAN </v>
          </cell>
          <cell r="D615">
            <v>2</v>
          </cell>
          <cell r="E615">
            <v>0</v>
          </cell>
        </row>
        <row r="616">
          <cell r="A616">
            <v>606</v>
          </cell>
          <cell r="B616">
            <v>13</v>
          </cell>
          <cell r="C616" t="str">
            <v>PERSONAL LOAN</v>
          </cell>
          <cell r="D616">
            <v>2</v>
          </cell>
          <cell r="E616">
            <v>0</v>
          </cell>
        </row>
        <row r="617">
          <cell r="A617">
            <v>607</v>
          </cell>
          <cell r="B617">
            <v>13</v>
          </cell>
          <cell r="C617" t="str">
            <v>MORTGAGE LOAN</v>
          </cell>
          <cell r="D617">
            <v>2</v>
          </cell>
          <cell r="E617">
            <v>0</v>
          </cell>
        </row>
        <row r="618">
          <cell r="A618">
            <v>608</v>
          </cell>
          <cell r="B618">
            <v>13</v>
          </cell>
          <cell r="C618" t="str">
            <v>LOAN AGAINST FDR</v>
          </cell>
          <cell r="D618">
            <v>2</v>
          </cell>
          <cell r="E618">
            <v>0</v>
          </cell>
        </row>
        <row r="619">
          <cell r="A619">
            <v>609</v>
          </cell>
          <cell r="B619">
            <v>13</v>
          </cell>
          <cell r="C619" t="str">
            <v>RECEIVABLE LOAN</v>
          </cell>
          <cell r="D619">
            <v>2</v>
          </cell>
          <cell r="E619">
            <v>0</v>
          </cell>
        </row>
        <row r="620">
          <cell r="A620">
            <v>610</v>
          </cell>
          <cell r="B620">
            <v>13</v>
          </cell>
          <cell r="C620" t="str">
            <v>STAFF LOAN</v>
          </cell>
          <cell r="D620">
            <v>2</v>
          </cell>
          <cell r="E620">
            <v>0</v>
          </cell>
        </row>
        <row r="621">
          <cell r="A621">
            <v>611</v>
          </cell>
          <cell r="B621">
            <v>13</v>
          </cell>
          <cell r="C621" t="str">
            <v>AGRICULTURAL LOAN</v>
          </cell>
          <cell r="D621">
            <v>2</v>
          </cell>
          <cell r="E621">
            <v>0</v>
          </cell>
        </row>
        <row r="622">
          <cell r="A622">
            <v>612</v>
          </cell>
          <cell r="B622">
            <v>13</v>
          </cell>
          <cell r="C622" t="str">
            <v>EARTHQUAKE RELIEF LO</v>
          </cell>
          <cell r="D622">
            <v>2</v>
          </cell>
          <cell r="E622">
            <v>0</v>
          </cell>
        </row>
        <row r="623">
          <cell r="A623">
            <v>613</v>
          </cell>
          <cell r="B623">
            <v>13</v>
          </cell>
          <cell r="C623" t="str">
            <v>TOURISM SECTOR LOAN</v>
          </cell>
          <cell r="D623">
            <v>2</v>
          </cell>
          <cell r="E623">
            <v>0</v>
          </cell>
        </row>
        <row r="624">
          <cell r="A624">
            <v>614</v>
          </cell>
          <cell r="B624">
            <v>13</v>
          </cell>
          <cell r="C624" t="str">
            <v>SME LOAN</v>
          </cell>
          <cell r="D624">
            <v>2</v>
          </cell>
          <cell r="E624">
            <v>0</v>
          </cell>
        </row>
        <row r="625">
          <cell r="A625">
            <v>615</v>
          </cell>
          <cell r="B625">
            <v>13</v>
          </cell>
          <cell r="C625" t="str">
            <v>EDUCATIONAL LOAN EMI</v>
          </cell>
          <cell r="D625">
            <v>2</v>
          </cell>
          <cell r="E625">
            <v>0</v>
          </cell>
        </row>
        <row r="626">
          <cell r="A626">
            <v>616</v>
          </cell>
          <cell r="B626">
            <v>13</v>
          </cell>
          <cell r="C626" t="str">
            <v>OVERDRAFT PROFESSION</v>
          </cell>
          <cell r="D626">
            <v>2</v>
          </cell>
          <cell r="E626">
            <v>0</v>
          </cell>
        </row>
        <row r="627">
          <cell r="A627">
            <v>617</v>
          </cell>
          <cell r="B627">
            <v>12</v>
          </cell>
          <cell r="C627" t="str">
            <v>OD PERSONAL LOAN</v>
          </cell>
          <cell r="D627">
            <v>1</v>
          </cell>
          <cell r="E627">
            <v>0</v>
          </cell>
        </row>
        <row r="628">
          <cell r="A628">
            <v>618</v>
          </cell>
          <cell r="B628">
            <v>12</v>
          </cell>
          <cell r="C628" t="str">
            <v>OD BUSINESS LOAN</v>
          </cell>
          <cell r="D628">
            <v>1</v>
          </cell>
          <cell r="E628">
            <v>0</v>
          </cell>
        </row>
        <row r="629">
          <cell r="A629">
            <v>619</v>
          </cell>
          <cell r="B629">
            <v>12</v>
          </cell>
          <cell r="C629" t="str">
            <v>OD STAFF LOAN</v>
          </cell>
          <cell r="D629">
            <v>1</v>
          </cell>
          <cell r="E629">
            <v>0</v>
          </cell>
        </row>
        <row r="630">
          <cell r="A630">
            <v>620</v>
          </cell>
          <cell r="B630">
            <v>12</v>
          </cell>
          <cell r="C630" t="str">
            <v>TERM LOAN</v>
          </cell>
          <cell r="D630">
            <v>1</v>
          </cell>
          <cell r="E630">
            <v>2.6116740788248209E-2</v>
          </cell>
        </row>
        <row r="631">
          <cell r="A631">
            <v>621</v>
          </cell>
          <cell r="B631">
            <v>12</v>
          </cell>
          <cell r="C631" t="str">
            <v>WC TRADING/IND LOAN</v>
          </cell>
          <cell r="D631">
            <v>1</v>
          </cell>
          <cell r="E631">
            <v>0.30284171395330939</v>
          </cell>
        </row>
        <row r="632">
          <cell r="A632">
            <v>622</v>
          </cell>
          <cell r="B632">
            <v>12</v>
          </cell>
          <cell r="C632" t="str">
            <v>HOUSING LOAN</v>
          </cell>
          <cell r="D632">
            <v>1</v>
          </cell>
          <cell r="E632">
            <v>9.378122434643589E-2</v>
          </cell>
        </row>
        <row r="633">
          <cell r="A633">
            <v>623</v>
          </cell>
          <cell r="B633">
            <v>12</v>
          </cell>
          <cell r="C633" t="str">
            <v>RESI REAL EST LOAN</v>
          </cell>
          <cell r="D633">
            <v>1</v>
          </cell>
          <cell r="E633">
            <v>9.3040092970364169E-2</v>
          </cell>
        </row>
        <row r="634">
          <cell r="A634">
            <v>624</v>
          </cell>
          <cell r="B634">
            <v>12</v>
          </cell>
          <cell r="C634" t="str">
            <v>MARGIN NATURE LOAN</v>
          </cell>
          <cell r="D634">
            <v>1</v>
          </cell>
          <cell r="E634">
            <v>0</v>
          </cell>
        </row>
        <row r="635">
          <cell r="A635">
            <v>625</v>
          </cell>
          <cell r="B635">
            <v>12</v>
          </cell>
          <cell r="C635" t="str">
            <v>HIRE PURCHASE LOAN</v>
          </cell>
          <cell r="D635">
            <v>1</v>
          </cell>
          <cell r="E635">
            <v>0.31996635473430218</v>
          </cell>
        </row>
        <row r="636">
          <cell r="A636">
            <v>626</v>
          </cell>
          <cell r="B636">
            <v>12</v>
          </cell>
          <cell r="C636" t="str">
            <v>DEPRIVED SECTOR LOAN</v>
          </cell>
          <cell r="D636">
            <v>1</v>
          </cell>
          <cell r="E636">
            <v>8.066016212799048E-3</v>
          </cell>
        </row>
        <row r="637">
          <cell r="A637">
            <v>627</v>
          </cell>
          <cell r="B637">
            <v>12</v>
          </cell>
          <cell r="C637" t="str">
            <v>EDUCATIONAL LOAN</v>
          </cell>
          <cell r="D637">
            <v>1</v>
          </cell>
          <cell r="E637">
            <v>8.6892186152471532E-2</v>
          </cell>
        </row>
        <row r="638">
          <cell r="A638">
            <v>628</v>
          </cell>
          <cell r="B638">
            <v>12</v>
          </cell>
          <cell r="C638" t="str">
            <v>AGRICULTURE LOAN</v>
          </cell>
          <cell r="D638">
            <v>1</v>
          </cell>
          <cell r="E638">
            <v>6.9080667415324995E-2</v>
          </cell>
        </row>
        <row r="639">
          <cell r="A639">
            <v>629</v>
          </cell>
          <cell r="B639">
            <v>12</v>
          </cell>
          <cell r="C639" t="str">
            <v>RESI PER.HOME-EMI</v>
          </cell>
          <cell r="D639">
            <v>1</v>
          </cell>
          <cell r="E639">
            <v>2.6413352749386061E-2</v>
          </cell>
        </row>
        <row r="640">
          <cell r="A640">
            <v>630</v>
          </cell>
          <cell r="B640">
            <v>12</v>
          </cell>
          <cell r="C640" t="str">
            <v>TERM LOAN - BUSINESS</v>
          </cell>
          <cell r="D640">
            <v>1</v>
          </cell>
          <cell r="E640">
            <v>0</v>
          </cell>
        </row>
        <row r="641">
          <cell r="A641">
            <v>631</v>
          </cell>
          <cell r="B641">
            <v>12</v>
          </cell>
          <cell r="C641" t="str">
            <v>CONS FIN BUSN TRM LO</v>
          </cell>
          <cell r="D641">
            <v>1</v>
          </cell>
          <cell r="E641">
            <v>0</v>
          </cell>
        </row>
        <row r="642">
          <cell r="A642">
            <v>632</v>
          </cell>
          <cell r="B642">
            <v>12</v>
          </cell>
          <cell r="C642" t="str">
            <v>BIS/PERHIRE PURCHASE</v>
          </cell>
          <cell r="D642">
            <v>1</v>
          </cell>
          <cell r="E642">
            <v>9.0656629478304579E-2</v>
          </cell>
        </row>
        <row r="643">
          <cell r="A643">
            <v>633</v>
          </cell>
          <cell r="B643">
            <v>12</v>
          </cell>
          <cell r="C643" t="str">
            <v xml:space="preserve">INT CAP TERM LOAN </v>
          </cell>
          <cell r="D643">
            <v>1</v>
          </cell>
          <cell r="E643">
            <v>0</v>
          </cell>
        </row>
        <row r="644">
          <cell r="A644">
            <v>634</v>
          </cell>
          <cell r="B644">
            <v>12</v>
          </cell>
          <cell r="C644" t="str">
            <v>PERSONAL LOAN</v>
          </cell>
          <cell r="D644">
            <v>1</v>
          </cell>
          <cell r="E644">
            <v>7.1279148854983945E-2</v>
          </cell>
        </row>
        <row r="645">
          <cell r="A645">
            <v>635</v>
          </cell>
          <cell r="B645">
            <v>12</v>
          </cell>
          <cell r="C645" t="str">
            <v>MORTGAGE LOAN</v>
          </cell>
          <cell r="D645">
            <v>1</v>
          </cell>
          <cell r="E645">
            <v>0</v>
          </cell>
        </row>
        <row r="646">
          <cell r="A646">
            <v>636</v>
          </cell>
          <cell r="B646">
            <v>12</v>
          </cell>
          <cell r="C646" t="str">
            <v>LOAN AGAINST FDR</v>
          </cell>
          <cell r="D646">
            <v>1</v>
          </cell>
          <cell r="E646">
            <v>0</v>
          </cell>
        </row>
        <row r="647">
          <cell r="A647">
            <v>637</v>
          </cell>
          <cell r="B647">
            <v>12</v>
          </cell>
          <cell r="C647" t="str">
            <v>RECEIVABLE LOAN</v>
          </cell>
          <cell r="D647">
            <v>1</v>
          </cell>
          <cell r="E647">
            <v>0</v>
          </cell>
        </row>
        <row r="648">
          <cell r="A648">
            <v>638</v>
          </cell>
          <cell r="B648">
            <v>12</v>
          </cell>
          <cell r="C648" t="str">
            <v>STAFF LOAN</v>
          </cell>
          <cell r="D648">
            <v>1</v>
          </cell>
          <cell r="E648">
            <v>0</v>
          </cell>
        </row>
        <row r="649">
          <cell r="A649">
            <v>639</v>
          </cell>
          <cell r="B649">
            <v>12</v>
          </cell>
          <cell r="C649" t="str">
            <v>AGRICULTURAL LOAN</v>
          </cell>
          <cell r="D649">
            <v>1</v>
          </cell>
          <cell r="E649">
            <v>0</v>
          </cell>
        </row>
        <row r="650">
          <cell r="A650">
            <v>640</v>
          </cell>
          <cell r="B650">
            <v>12</v>
          </cell>
          <cell r="C650" t="str">
            <v>EARTHQUAKE RELIEF LO</v>
          </cell>
          <cell r="D650">
            <v>1</v>
          </cell>
          <cell r="E650">
            <v>0</v>
          </cell>
        </row>
        <row r="651">
          <cell r="A651">
            <v>641</v>
          </cell>
          <cell r="B651">
            <v>12</v>
          </cell>
          <cell r="C651" t="str">
            <v>TOURISM SECTOR LOAN</v>
          </cell>
          <cell r="D651">
            <v>1</v>
          </cell>
          <cell r="E651">
            <v>0</v>
          </cell>
        </row>
        <row r="652">
          <cell r="A652">
            <v>642</v>
          </cell>
          <cell r="B652">
            <v>12</v>
          </cell>
          <cell r="C652" t="str">
            <v>SME LOAN</v>
          </cell>
          <cell r="D652">
            <v>1</v>
          </cell>
          <cell r="E652">
            <v>0</v>
          </cell>
        </row>
        <row r="653">
          <cell r="A653">
            <v>643</v>
          </cell>
          <cell r="B653">
            <v>12</v>
          </cell>
          <cell r="C653" t="str">
            <v>EDUCATIONAL LOAN EMI</v>
          </cell>
          <cell r="D653">
            <v>1</v>
          </cell>
          <cell r="E653">
            <v>0</v>
          </cell>
        </row>
        <row r="654">
          <cell r="A654">
            <v>644</v>
          </cell>
          <cell r="B654">
            <v>12</v>
          </cell>
          <cell r="C654" t="str">
            <v>OVERDRAFT PROFESSION</v>
          </cell>
          <cell r="D654">
            <v>1</v>
          </cell>
          <cell r="E654">
            <v>0</v>
          </cell>
        </row>
        <row r="655">
          <cell r="A655">
            <v>645</v>
          </cell>
          <cell r="B655">
            <v>12</v>
          </cell>
          <cell r="C655" t="str">
            <v>OD PERSONAL LOAN</v>
          </cell>
          <cell r="D655">
            <v>2</v>
          </cell>
          <cell r="E655">
            <v>0</v>
          </cell>
        </row>
        <row r="656">
          <cell r="A656">
            <v>646</v>
          </cell>
          <cell r="B656">
            <v>12</v>
          </cell>
          <cell r="C656" t="str">
            <v>OD BUSINESS LOAN</v>
          </cell>
          <cell r="D656">
            <v>2</v>
          </cell>
          <cell r="E656">
            <v>0</v>
          </cell>
        </row>
        <row r="657">
          <cell r="A657">
            <v>647</v>
          </cell>
          <cell r="B657">
            <v>12</v>
          </cell>
          <cell r="C657" t="str">
            <v>OD STAFF LOAN</v>
          </cell>
          <cell r="D657">
            <v>2</v>
          </cell>
          <cell r="E657">
            <v>0</v>
          </cell>
        </row>
        <row r="658">
          <cell r="A658">
            <v>648</v>
          </cell>
          <cell r="B658">
            <v>12</v>
          </cell>
          <cell r="C658" t="str">
            <v>TERM LOAN</v>
          </cell>
          <cell r="D658">
            <v>2</v>
          </cell>
          <cell r="E658">
            <v>2.7046901387768461E-2</v>
          </cell>
        </row>
        <row r="659">
          <cell r="A659">
            <v>649</v>
          </cell>
          <cell r="B659">
            <v>12</v>
          </cell>
          <cell r="C659" t="str">
            <v>WC TRADING/IND LOAN</v>
          </cell>
          <cell r="D659">
            <v>2</v>
          </cell>
          <cell r="E659">
            <v>0.29502601784493832</v>
          </cell>
        </row>
        <row r="660">
          <cell r="A660">
            <v>650</v>
          </cell>
          <cell r="B660">
            <v>12</v>
          </cell>
          <cell r="C660" t="str">
            <v>HOUSING LOAN</v>
          </cell>
          <cell r="D660">
            <v>2</v>
          </cell>
          <cell r="E660">
            <v>7.5813443960422819E-2</v>
          </cell>
        </row>
        <row r="661">
          <cell r="A661">
            <v>651</v>
          </cell>
          <cell r="B661">
            <v>12</v>
          </cell>
          <cell r="C661" t="str">
            <v>RESI REAL EST LOAN</v>
          </cell>
          <cell r="D661">
            <v>2</v>
          </cell>
          <cell r="E661">
            <v>0.12019914418013097</v>
          </cell>
        </row>
        <row r="662">
          <cell r="A662">
            <v>652</v>
          </cell>
          <cell r="B662">
            <v>12</v>
          </cell>
          <cell r="C662" t="str">
            <v>MARGIN NATURE LOAN</v>
          </cell>
          <cell r="D662">
            <v>2</v>
          </cell>
          <cell r="E662">
            <v>0</v>
          </cell>
        </row>
        <row r="663">
          <cell r="A663">
            <v>653</v>
          </cell>
          <cell r="B663">
            <v>12</v>
          </cell>
          <cell r="C663" t="str">
            <v>HIRE PURCHASE LOAN</v>
          </cell>
          <cell r="D663">
            <v>2</v>
          </cell>
          <cell r="E663">
            <v>0.62472163421012705</v>
          </cell>
        </row>
        <row r="664">
          <cell r="A664">
            <v>654</v>
          </cell>
          <cell r="B664">
            <v>12</v>
          </cell>
          <cell r="C664" t="str">
            <v>DEPRIVED SECTOR LOAN</v>
          </cell>
          <cell r="D664">
            <v>2</v>
          </cell>
          <cell r="E664">
            <v>1.0580560636042917E-2</v>
          </cell>
        </row>
        <row r="665">
          <cell r="A665">
            <v>655</v>
          </cell>
          <cell r="B665">
            <v>12</v>
          </cell>
          <cell r="C665" t="str">
            <v>EDUCATIONAL LOAN</v>
          </cell>
          <cell r="D665">
            <v>2</v>
          </cell>
          <cell r="E665">
            <v>0.10959995551890482</v>
          </cell>
        </row>
        <row r="666">
          <cell r="A666">
            <v>656</v>
          </cell>
          <cell r="B666">
            <v>12</v>
          </cell>
          <cell r="C666" t="str">
            <v>AGRICULTURE LOAN</v>
          </cell>
          <cell r="D666">
            <v>2</v>
          </cell>
          <cell r="E666">
            <v>4.9421922650027539E-2</v>
          </cell>
        </row>
        <row r="667">
          <cell r="A667">
            <v>657</v>
          </cell>
          <cell r="B667">
            <v>12</v>
          </cell>
          <cell r="C667" t="str">
            <v>RESI PER.HOME-EMI</v>
          </cell>
          <cell r="D667">
            <v>2</v>
          </cell>
          <cell r="E667">
            <v>6.4799365659608449E-2</v>
          </cell>
        </row>
        <row r="668">
          <cell r="A668">
            <v>658</v>
          </cell>
          <cell r="B668">
            <v>12</v>
          </cell>
          <cell r="C668" t="str">
            <v>TERM LOAN - BUSINESS</v>
          </cell>
          <cell r="D668">
            <v>2</v>
          </cell>
          <cell r="E668">
            <v>0</v>
          </cell>
        </row>
        <row r="669">
          <cell r="A669">
            <v>659</v>
          </cell>
          <cell r="B669">
            <v>12</v>
          </cell>
          <cell r="C669" t="str">
            <v>CONS FIN BUSN TRM LO</v>
          </cell>
          <cell r="D669">
            <v>2</v>
          </cell>
          <cell r="E669">
            <v>0</v>
          </cell>
        </row>
        <row r="670">
          <cell r="A670">
            <v>660</v>
          </cell>
          <cell r="B670">
            <v>12</v>
          </cell>
          <cell r="C670" t="str">
            <v>BIS/PERHIRE PURCHASE</v>
          </cell>
          <cell r="D670">
            <v>2</v>
          </cell>
          <cell r="E670">
            <v>0.20374174845682214</v>
          </cell>
        </row>
        <row r="671">
          <cell r="A671">
            <v>661</v>
          </cell>
          <cell r="B671">
            <v>12</v>
          </cell>
          <cell r="C671" t="str">
            <v xml:space="preserve">INT CAP TERM LOAN </v>
          </cell>
          <cell r="D671">
            <v>2</v>
          </cell>
          <cell r="E671">
            <v>0</v>
          </cell>
        </row>
        <row r="672">
          <cell r="A672">
            <v>662</v>
          </cell>
          <cell r="B672">
            <v>12</v>
          </cell>
          <cell r="C672" t="str">
            <v>PERSONAL LOAN</v>
          </cell>
          <cell r="D672">
            <v>2</v>
          </cell>
          <cell r="E672">
            <v>6.9625445399834188E-2</v>
          </cell>
        </row>
        <row r="673">
          <cell r="A673">
            <v>663</v>
          </cell>
          <cell r="B673">
            <v>12</v>
          </cell>
          <cell r="C673" t="str">
            <v>MORTGAGE LOAN</v>
          </cell>
          <cell r="D673">
            <v>2</v>
          </cell>
          <cell r="E673">
            <v>0</v>
          </cell>
        </row>
        <row r="674">
          <cell r="A674">
            <v>664</v>
          </cell>
          <cell r="B674">
            <v>12</v>
          </cell>
          <cell r="C674" t="str">
            <v>LOAN AGAINST FDR</v>
          </cell>
          <cell r="D674">
            <v>2</v>
          </cell>
          <cell r="E674">
            <v>0</v>
          </cell>
        </row>
        <row r="675">
          <cell r="A675">
            <v>665</v>
          </cell>
          <cell r="B675">
            <v>12</v>
          </cell>
          <cell r="C675" t="str">
            <v>RECEIVABLE LOAN</v>
          </cell>
          <cell r="D675">
            <v>2</v>
          </cell>
          <cell r="E675">
            <v>0</v>
          </cell>
        </row>
        <row r="676">
          <cell r="A676">
            <v>666</v>
          </cell>
          <cell r="B676">
            <v>12</v>
          </cell>
          <cell r="C676" t="str">
            <v>STAFF LOAN</v>
          </cell>
          <cell r="D676">
            <v>2</v>
          </cell>
          <cell r="E676">
            <v>0</v>
          </cell>
        </row>
        <row r="677">
          <cell r="A677">
            <v>667</v>
          </cell>
          <cell r="B677">
            <v>12</v>
          </cell>
          <cell r="C677" t="str">
            <v>AGRICULTURAL LOAN</v>
          </cell>
          <cell r="D677">
            <v>2</v>
          </cell>
          <cell r="E677">
            <v>0</v>
          </cell>
        </row>
        <row r="678">
          <cell r="A678">
            <v>668</v>
          </cell>
          <cell r="B678">
            <v>12</v>
          </cell>
          <cell r="C678" t="str">
            <v>EARTHQUAKE RELIEF LO</v>
          </cell>
          <cell r="D678">
            <v>2</v>
          </cell>
          <cell r="E678">
            <v>0</v>
          </cell>
        </row>
        <row r="679">
          <cell r="A679">
            <v>669</v>
          </cell>
          <cell r="B679">
            <v>12</v>
          </cell>
          <cell r="C679" t="str">
            <v>TOURISM SECTOR LOAN</v>
          </cell>
          <cell r="D679">
            <v>2</v>
          </cell>
          <cell r="E679">
            <v>0</v>
          </cell>
        </row>
        <row r="680">
          <cell r="A680">
            <v>670</v>
          </cell>
          <cell r="B680">
            <v>12</v>
          </cell>
          <cell r="C680" t="str">
            <v>SME LOAN</v>
          </cell>
          <cell r="D680">
            <v>2</v>
          </cell>
          <cell r="E680">
            <v>0</v>
          </cell>
        </row>
        <row r="681">
          <cell r="A681">
            <v>671</v>
          </cell>
          <cell r="B681">
            <v>12</v>
          </cell>
          <cell r="C681" t="str">
            <v>EDUCATIONAL LOAN EMI</v>
          </cell>
          <cell r="D681">
            <v>2</v>
          </cell>
          <cell r="E681">
            <v>0</v>
          </cell>
        </row>
        <row r="682">
          <cell r="A682">
            <v>672</v>
          </cell>
          <cell r="B682">
            <v>12</v>
          </cell>
          <cell r="C682" t="str">
            <v>OVERDRAFT PROFESSION</v>
          </cell>
          <cell r="D682">
            <v>2</v>
          </cell>
          <cell r="E682">
            <v>0</v>
          </cell>
        </row>
        <row r="683">
          <cell r="A683">
            <v>673</v>
          </cell>
          <cell r="B683">
            <v>11</v>
          </cell>
          <cell r="C683" t="str">
            <v>OD PERSONAL LOAN</v>
          </cell>
          <cell r="D683">
            <v>1</v>
          </cell>
          <cell r="E683">
            <v>0</v>
          </cell>
        </row>
        <row r="684">
          <cell r="A684">
            <v>674</v>
          </cell>
          <cell r="B684">
            <v>11</v>
          </cell>
          <cell r="C684" t="str">
            <v>OD BUSINESS LOAN</v>
          </cell>
          <cell r="D684">
            <v>1</v>
          </cell>
          <cell r="E684">
            <v>0</v>
          </cell>
        </row>
        <row r="685">
          <cell r="A685">
            <v>675</v>
          </cell>
          <cell r="B685">
            <v>11</v>
          </cell>
          <cell r="C685" t="str">
            <v>OD STAFF LOAN</v>
          </cell>
          <cell r="D685">
            <v>1</v>
          </cell>
          <cell r="E685">
            <v>0</v>
          </cell>
        </row>
        <row r="686">
          <cell r="A686">
            <v>676</v>
          </cell>
          <cell r="B686">
            <v>11</v>
          </cell>
          <cell r="C686" t="str">
            <v>TERM LOAN</v>
          </cell>
          <cell r="D686">
            <v>1</v>
          </cell>
          <cell r="E686">
            <v>1.9584101091558601E-2</v>
          </cell>
        </row>
        <row r="687">
          <cell r="A687">
            <v>677</v>
          </cell>
          <cell r="B687">
            <v>11</v>
          </cell>
          <cell r="C687" t="str">
            <v>WC TRADING/IND LOAN</v>
          </cell>
          <cell r="D687">
            <v>1</v>
          </cell>
          <cell r="E687">
            <v>4.35052274979134E-3</v>
          </cell>
        </row>
        <row r="688">
          <cell r="A688">
            <v>678</v>
          </cell>
          <cell r="B688">
            <v>11</v>
          </cell>
          <cell r="C688" t="str">
            <v>HOUSING LOAN</v>
          </cell>
          <cell r="D688">
            <v>1</v>
          </cell>
          <cell r="E688">
            <v>7.7936830428050885E-3</v>
          </cell>
        </row>
        <row r="689">
          <cell r="A689">
            <v>679</v>
          </cell>
          <cell r="B689">
            <v>11</v>
          </cell>
          <cell r="C689" t="str">
            <v>RESI REAL EST LOAN</v>
          </cell>
          <cell r="D689">
            <v>1</v>
          </cell>
          <cell r="E689">
            <v>0</v>
          </cell>
        </row>
        <row r="690">
          <cell r="A690">
            <v>680</v>
          </cell>
          <cell r="B690">
            <v>11</v>
          </cell>
          <cell r="C690" t="str">
            <v>MARGIN NATURE LOAN</v>
          </cell>
          <cell r="D690">
            <v>1</v>
          </cell>
          <cell r="E690">
            <v>0</v>
          </cell>
        </row>
        <row r="691">
          <cell r="A691">
            <v>681</v>
          </cell>
          <cell r="B691">
            <v>11</v>
          </cell>
          <cell r="C691" t="str">
            <v>HIRE PURCHASE LOAN</v>
          </cell>
          <cell r="D691">
            <v>1</v>
          </cell>
          <cell r="E691">
            <v>0.15295318455856344</v>
          </cell>
        </row>
        <row r="692">
          <cell r="A692">
            <v>682</v>
          </cell>
          <cell r="B692">
            <v>11</v>
          </cell>
          <cell r="C692" t="str">
            <v>DEPRIVED SECTOR LOAN</v>
          </cell>
          <cell r="D692">
            <v>1</v>
          </cell>
          <cell r="E692">
            <v>3.958648511592347E-3</v>
          </cell>
        </row>
        <row r="693">
          <cell r="A693">
            <v>683</v>
          </cell>
          <cell r="B693">
            <v>11</v>
          </cell>
          <cell r="C693" t="str">
            <v>EDUCATIONAL LOAN</v>
          </cell>
          <cell r="D693">
            <v>1</v>
          </cell>
          <cell r="E693">
            <v>4.7997158300209015E-2</v>
          </cell>
        </row>
        <row r="694">
          <cell r="A694">
            <v>684</v>
          </cell>
          <cell r="B694">
            <v>11</v>
          </cell>
          <cell r="C694" t="str">
            <v>AGRICULTURE LOAN</v>
          </cell>
          <cell r="D694">
            <v>1</v>
          </cell>
          <cell r="E694">
            <v>4.1715373241307703E-3</v>
          </cell>
        </row>
        <row r="695">
          <cell r="A695">
            <v>685</v>
          </cell>
          <cell r="B695">
            <v>11</v>
          </cell>
          <cell r="C695" t="str">
            <v>RESI PER.HOME-EMI</v>
          </cell>
          <cell r="D695">
            <v>1</v>
          </cell>
          <cell r="E695">
            <v>1.0583214896988021E-2</v>
          </cell>
        </row>
        <row r="696">
          <cell r="A696">
            <v>686</v>
          </cell>
          <cell r="B696">
            <v>11</v>
          </cell>
          <cell r="C696" t="str">
            <v>TERM LOAN - BUSINESS</v>
          </cell>
          <cell r="D696">
            <v>1</v>
          </cell>
          <cell r="E696">
            <v>0</v>
          </cell>
        </row>
        <row r="697">
          <cell r="A697">
            <v>687</v>
          </cell>
          <cell r="B697">
            <v>11</v>
          </cell>
          <cell r="C697" t="str">
            <v>CONS FIN BUSN TRM LO</v>
          </cell>
          <cell r="D697">
            <v>1</v>
          </cell>
          <cell r="E697">
            <v>0</v>
          </cell>
        </row>
        <row r="698">
          <cell r="A698">
            <v>688</v>
          </cell>
          <cell r="B698">
            <v>11</v>
          </cell>
          <cell r="C698" t="str">
            <v>BIS/PERHIRE PURCHASE</v>
          </cell>
          <cell r="D698">
            <v>1</v>
          </cell>
          <cell r="E698">
            <v>2.7487408055034586E-2</v>
          </cell>
        </row>
        <row r="699">
          <cell r="A699">
            <v>689</v>
          </cell>
          <cell r="B699">
            <v>11</v>
          </cell>
          <cell r="C699" t="str">
            <v xml:space="preserve">INT CAP TERM LOAN </v>
          </cell>
          <cell r="D699">
            <v>1</v>
          </cell>
          <cell r="E699">
            <v>0</v>
          </cell>
        </row>
        <row r="700">
          <cell r="A700">
            <v>690</v>
          </cell>
          <cell r="B700">
            <v>11</v>
          </cell>
          <cell r="C700" t="str">
            <v>PERSONAL LOAN</v>
          </cell>
          <cell r="D700">
            <v>1</v>
          </cell>
          <cell r="E700">
            <v>5.8998506386391779E-3</v>
          </cell>
        </row>
        <row r="701">
          <cell r="A701">
            <v>691</v>
          </cell>
          <cell r="B701">
            <v>11</v>
          </cell>
          <cell r="C701" t="str">
            <v>MORTGAGE LOAN</v>
          </cell>
          <cell r="D701">
            <v>1</v>
          </cell>
          <cell r="E701">
            <v>0</v>
          </cell>
        </row>
        <row r="702">
          <cell r="A702">
            <v>692</v>
          </cell>
          <cell r="B702">
            <v>11</v>
          </cell>
          <cell r="C702" t="str">
            <v>LOAN AGAINST FDR</v>
          </cell>
          <cell r="D702">
            <v>1</v>
          </cell>
          <cell r="E702">
            <v>0</v>
          </cell>
        </row>
        <row r="703">
          <cell r="A703">
            <v>693</v>
          </cell>
          <cell r="B703">
            <v>11</v>
          </cell>
          <cell r="C703" t="str">
            <v>RECEIVABLE LOAN</v>
          </cell>
          <cell r="D703">
            <v>1</v>
          </cell>
          <cell r="E703">
            <v>0</v>
          </cell>
        </row>
        <row r="704">
          <cell r="A704">
            <v>694</v>
          </cell>
          <cell r="B704">
            <v>11</v>
          </cell>
          <cell r="C704" t="str">
            <v>STAFF LOAN</v>
          </cell>
          <cell r="D704">
            <v>1</v>
          </cell>
          <cell r="E704">
            <v>0</v>
          </cell>
        </row>
        <row r="705">
          <cell r="A705">
            <v>695</v>
          </cell>
          <cell r="B705">
            <v>11</v>
          </cell>
          <cell r="C705" t="str">
            <v>AGRICULTURAL LOAN</v>
          </cell>
          <cell r="D705">
            <v>1</v>
          </cell>
          <cell r="E705">
            <v>0</v>
          </cell>
        </row>
        <row r="706">
          <cell r="A706">
            <v>696</v>
          </cell>
          <cell r="B706">
            <v>11</v>
          </cell>
          <cell r="C706" t="str">
            <v>EARTHQUAKE RELIEF LO</v>
          </cell>
          <cell r="D706">
            <v>1</v>
          </cell>
          <cell r="E706">
            <v>0</v>
          </cell>
        </row>
        <row r="707">
          <cell r="A707">
            <v>697</v>
          </cell>
          <cell r="B707">
            <v>11</v>
          </cell>
          <cell r="C707" t="str">
            <v>TOURISM SECTOR LOAN</v>
          </cell>
          <cell r="D707">
            <v>1</v>
          </cell>
          <cell r="E707">
            <v>0</v>
          </cell>
        </row>
        <row r="708">
          <cell r="A708">
            <v>698</v>
          </cell>
          <cell r="B708">
            <v>11</v>
          </cell>
          <cell r="C708" t="str">
            <v>SME LOAN</v>
          </cell>
          <cell r="D708">
            <v>1</v>
          </cell>
          <cell r="E708">
            <v>0</v>
          </cell>
        </row>
        <row r="709">
          <cell r="A709">
            <v>699</v>
          </cell>
          <cell r="B709">
            <v>11</v>
          </cell>
          <cell r="C709" t="str">
            <v>EDUCATIONAL LOAN EMI</v>
          </cell>
          <cell r="D709">
            <v>1</v>
          </cell>
          <cell r="E709">
            <v>0</v>
          </cell>
        </row>
        <row r="710">
          <cell r="A710">
            <v>700</v>
          </cell>
          <cell r="B710">
            <v>11</v>
          </cell>
          <cell r="C710" t="str">
            <v>OVERDRAFT PROFESSION</v>
          </cell>
          <cell r="D710">
            <v>1</v>
          </cell>
          <cell r="E710">
            <v>0</v>
          </cell>
        </row>
        <row r="711">
          <cell r="A711">
            <v>701</v>
          </cell>
          <cell r="B711">
            <v>11</v>
          </cell>
          <cell r="C711" t="str">
            <v>OD PERSONAL LOAN</v>
          </cell>
          <cell r="D711">
            <v>2</v>
          </cell>
          <cell r="E711">
            <v>0</v>
          </cell>
        </row>
        <row r="712">
          <cell r="A712">
            <v>702</v>
          </cell>
          <cell r="B712">
            <v>11</v>
          </cell>
          <cell r="C712" t="str">
            <v>OD BUSINESS LOAN</v>
          </cell>
          <cell r="D712">
            <v>2</v>
          </cell>
          <cell r="E712">
            <v>0</v>
          </cell>
        </row>
        <row r="713">
          <cell r="A713">
            <v>703</v>
          </cell>
          <cell r="B713">
            <v>11</v>
          </cell>
          <cell r="C713" t="str">
            <v>OD STAFF LOAN</v>
          </cell>
          <cell r="D713">
            <v>2</v>
          </cell>
          <cell r="E713">
            <v>0</v>
          </cell>
        </row>
        <row r="714">
          <cell r="A714">
            <v>704</v>
          </cell>
          <cell r="B714">
            <v>11</v>
          </cell>
          <cell r="C714" t="str">
            <v>TERM LOAN</v>
          </cell>
          <cell r="D714">
            <v>2</v>
          </cell>
          <cell r="E714">
            <v>6.7521952260243934E-2</v>
          </cell>
        </row>
        <row r="715">
          <cell r="A715">
            <v>705</v>
          </cell>
          <cell r="B715">
            <v>11</v>
          </cell>
          <cell r="C715" t="str">
            <v>WC TRADING/IND LOAN</v>
          </cell>
          <cell r="D715">
            <v>2</v>
          </cell>
          <cell r="E715">
            <v>7.3660123995579838E-3</v>
          </cell>
        </row>
        <row r="716">
          <cell r="A716">
            <v>706</v>
          </cell>
          <cell r="B716">
            <v>11</v>
          </cell>
          <cell r="C716" t="str">
            <v>HOUSING LOAN</v>
          </cell>
          <cell r="D716">
            <v>2</v>
          </cell>
          <cell r="E716">
            <v>9.6438547939504404E-3</v>
          </cell>
        </row>
        <row r="717">
          <cell r="A717">
            <v>707</v>
          </cell>
          <cell r="B717">
            <v>11</v>
          </cell>
          <cell r="C717" t="str">
            <v>RESI REAL EST LOAN</v>
          </cell>
          <cell r="D717">
            <v>2</v>
          </cell>
          <cell r="E717">
            <v>0</v>
          </cell>
        </row>
        <row r="718">
          <cell r="A718">
            <v>708</v>
          </cell>
          <cell r="B718">
            <v>11</v>
          </cell>
          <cell r="C718" t="str">
            <v>MARGIN NATURE LOAN</v>
          </cell>
          <cell r="D718">
            <v>2</v>
          </cell>
          <cell r="E718">
            <v>0</v>
          </cell>
        </row>
        <row r="719">
          <cell r="A719">
            <v>709</v>
          </cell>
          <cell r="B719">
            <v>11</v>
          </cell>
          <cell r="C719" t="str">
            <v>HIRE PURCHASE LOAN</v>
          </cell>
          <cell r="D719">
            <v>2</v>
          </cell>
          <cell r="E719">
            <v>0.23742315786773371</v>
          </cell>
        </row>
        <row r="720">
          <cell r="A720">
            <v>710</v>
          </cell>
          <cell r="B720">
            <v>11</v>
          </cell>
          <cell r="C720" t="str">
            <v>DEPRIVED SECTOR LOAN</v>
          </cell>
          <cell r="D720">
            <v>2</v>
          </cell>
          <cell r="E720">
            <v>4.9943214942318535E-2</v>
          </cell>
        </row>
        <row r="721">
          <cell r="A721">
            <v>711</v>
          </cell>
          <cell r="B721">
            <v>11</v>
          </cell>
          <cell r="C721" t="str">
            <v>EDUCATIONAL LOAN</v>
          </cell>
          <cell r="D721">
            <v>2</v>
          </cell>
          <cell r="E721">
            <v>5.2042543742629926E-2</v>
          </cell>
        </row>
        <row r="722">
          <cell r="A722">
            <v>712</v>
          </cell>
          <cell r="B722">
            <v>11</v>
          </cell>
          <cell r="C722" t="str">
            <v>AGRICULTURE LOAN</v>
          </cell>
          <cell r="D722">
            <v>2</v>
          </cell>
          <cell r="E722">
            <v>5.2747147843885789E-2</v>
          </cell>
        </row>
        <row r="723">
          <cell r="A723">
            <v>713</v>
          </cell>
          <cell r="B723">
            <v>11</v>
          </cell>
          <cell r="C723" t="str">
            <v>RESI PER.HOME-EMI</v>
          </cell>
          <cell r="D723">
            <v>2</v>
          </cell>
          <cell r="E723">
            <v>8.0585677217618577E-3</v>
          </cell>
        </row>
        <row r="724">
          <cell r="A724">
            <v>714</v>
          </cell>
          <cell r="B724">
            <v>11</v>
          </cell>
          <cell r="C724" t="str">
            <v>TERM LOAN - BUSINESS</v>
          </cell>
          <cell r="D724">
            <v>2</v>
          </cell>
          <cell r="E724">
            <v>0</v>
          </cell>
        </row>
        <row r="725">
          <cell r="A725">
            <v>715</v>
          </cell>
          <cell r="B725">
            <v>11</v>
          </cell>
          <cell r="C725" t="str">
            <v>CONS FIN BUSN TRM LO</v>
          </cell>
          <cell r="D725">
            <v>2</v>
          </cell>
          <cell r="E725">
            <v>0</v>
          </cell>
        </row>
        <row r="726">
          <cell r="A726">
            <v>716</v>
          </cell>
          <cell r="B726">
            <v>11</v>
          </cell>
          <cell r="C726" t="str">
            <v>BIS/PERHIRE PURCHASE</v>
          </cell>
          <cell r="D726">
            <v>2</v>
          </cell>
          <cell r="E726">
            <v>2.9274801884688503E-2</v>
          </cell>
        </row>
        <row r="727">
          <cell r="A727">
            <v>717</v>
          </cell>
          <cell r="B727">
            <v>11</v>
          </cell>
          <cell r="C727" t="str">
            <v xml:space="preserve">INT CAP TERM LOAN </v>
          </cell>
          <cell r="D727">
            <v>2</v>
          </cell>
          <cell r="E727">
            <v>0</v>
          </cell>
        </row>
        <row r="728">
          <cell r="A728">
            <v>718</v>
          </cell>
          <cell r="B728">
            <v>11</v>
          </cell>
          <cell r="C728" t="str">
            <v>PERSONAL LOAN</v>
          </cell>
          <cell r="D728">
            <v>2</v>
          </cell>
          <cell r="E728">
            <v>9.7077293811186696E-3</v>
          </cell>
        </row>
        <row r="729">
          <cell r="A729">
            <v>719</v>
          </cell>
          <cell r="B729">
            <v>11</v>
          </cell>
          <cell r="C729" t="str">
            <v>MORTGAGE LOAN</v>
          </cell>
          <cell r="D729">
            <v>2</v>
          </cell>
          <cell r="E729">
            <v>0</v>
          </cell>
        </row>
        <row r="730">
          <cell r="A730">
            <v>720</v>
          </cell>
          <cell r="B730">
            <v>11</v>
          </cell>
          <cell r="C730" t="str">
            <v>LOAN AGAINST FDR</v>
          </cell>
          <cell r="D730">
            <v>2</v>
          </cell>
          <cell r="E730">
            <v>0</v>
          </cell>
        </row>
        <row r="731">
          <cell r="A731">
            <v>721</v>
          </cell>
          <cell r="B731">
            <v>11</v>
          </cell>
          <cell r="C731" t="str">
            <v>RECEIVABLE LOAN</v>
          </cell>
          <cell r="D731">
            <v>2</v>
          </cell>
          <cell r="E731">
            <v>0</v>
          </cell>
        </row>
        <row r="732">
          <cell r="A732">
            <v>722</v>
          </cell>
          <cell r="B732">
            <v>11</v>
          </cell>
          <cell r="C732" t="str">
            <v>STAFF LOAN</v>
          </cell>
          <cell r="D732">
            <v>2</v>
          </cell>
          <cell r="E732">
            <v>0</v>
          </cell>
        </row>
        <row r="733">
          <cell r="A733">
            <v>723</v>
          </cell>
          <cell r="B733">
            <v>11</v>
          </cell>
          <cell r="C733" t="str">
            <v>AGRICULTURAL LOAN</v>
          </cell>
          <cell r="D733">
            <v>2</v>
          </cell>
          <cell r="E733">
            <v>0</v>
          </cell>
        </row>
        <row r="734">
          <cell r="A734">
            <v>724</v>
          </cell>
          <cell r="B734">
            <v>11</v>
          </cell>
          <cell r="C734" t="str">
            <v>EARTHQUAKE RELIEF LO</v>
          </cell>
          <cell r="D734">
            <v>2</v>
          </cell>
          <cell r="E734">
            <v>0</v>
          </cell>
        </row>
        <row r="735">
          <cell r="A735">
            <v>725</v>
          </cell>
          <cell r="B735">
            <v>11</v>
          </cell>
          <cell r="C735" t="str">
            <v>TOURISM SECTOR LOAN</v>
          </cell>
          <cell r="D735">
            <v>2</v>
          </cell>
          <cell r="E735">
            <v>0</v>
          </cell>
        </row>
        <row r="736">
          <cell r="A736">
            <v>726</v>
          </cell>
          <cell r="B736">
            <v>11</v>
          </cell>
          <cell r="C736" t="str">
            <v>SME LOAN</v>
          </cell>
          <cell r="D736">
            <v>2</v>
          </cell>
          <cell r="E736">
            <v>0</v>
          </cell>
        </row>
        <row r="737">
          <cell r="A737">
            <v>727</v>
          </cell>
          <cell r="B737">
            <v>11</v>
          </cell>
          <cell r="C737" t="str">
            <v>EDUCATIONAL LOAN EMI</v>
          </cell>
          <cell r="D737">
            <v>2</v>
          </cell>
          <cell r="E737">
            <v>0</v>
          </cell>
        </row>
        <row r="738">
          <cell r="A738">
            <v>728</v>
          </cell>
          <cell r="B738">
            <v>11</v>
          </cell>
          <cell r="C738" t="str">
            <v>OVERDRAFT PROFESSION</v>
          </cell>
          <cell r="D738">
            <v>2</v>
          </cell>
          <cell r="E738">
            <v>0</v>
          </cell>
        </row>
        <row r="739">
          <cell r="A739">
            <v>729</v>
          </cell>
          <cell r="B739">
            <v>10</v>
          </cell>
          <cell r="C739" t="str">
            <v>OD PERSONAL LOAN</v>
          </cell>
          <cell r="D739">
            <v>1</v>
          </cell>
          <cell r="E739">
            <v>1.9760377067548792E-2</v>
          </cell>
        </row>
        <row r="740">
          <cell r="A740">
            <v>730</v>
          </cell>
          <cell r="B740">
            <v>10</v>
          </cell>
          <cell r="C740" t="str">
            <v>OD BUSINESS LOAN</v>
          </cell>
          <cell r="D740">
            <v>1</v>
          </cell>
          <cell r="E740">
            <v>0</v>
          </cell>
        </row>
        <row r="741">
          <cell r="A741">
            <v>731</v>
          </cell>
          <cell r="B741">
            <v>10</v>
          </cell>
          <cell r="C741" t="str">
            <v>OD STAFF LOAN</v>
          </cell>
          <cell r="D741">
            <v>1</v>
          </cell>
          <cell r="E741">
            <v>0</v>
          </cell>
        </row>
        <row r="742">
          <cell r="A742">
            <v>732</v>
          </cell>
          <cell r="B742">
            <v>10</v>
          </cell>
          <cell r="C742" t="str">
            <v>TERM LOAN</v>
          </cell>
          <cell r="D742">
            <v>1</v>
          </cell>
          <cell r="E742">
            <v>0.11609070608799857</v>
          </cell>
        </row>
        <row r="743">
          <cell r="A743">
            <v>733</v>
          </cell>
          <cell r="B743">
            <v>10</v>
          </cell>
          <cell r="C743" t="str">
            <v>WC TRADING/IND LOAN</v>
          </cell>
          <cell r="D743">
            <v>1</v>
          </cell>
          <cell r="E743">
            <v>0.12414486149460957</v>
          </cell>
        </row>
        <row r="744">
          <cell r="A744">
            <v>734</v>
          </cell>
          <cell r="B744">
            <v>10</v>
          </cell>
          <cell r="C744" t="str">
            <v>HOUSING LOAN</v>
          </cell>
          <cell r="D744">
            <v>1</v>
          </cell>
          <cell r="E744">
            <v>0.3361288775246134</v>
          </cell>
        </row>
        <row r="745">
          <cell r="A745">
            <v>735</v>
          </cell>
          <cell r="B745">
            <v>10</v>
          </cell>
          <cell r="C745" t="str">
            <v>RESI REAL EST LOAN</v>
          </cell>
          <cell r="D745">
            <v>1</v>
          </cell>
          <cell r="E745">
            <v>0.1222352457976764</v>
          </cell>
        </row>
        <row r="746">
          <cell r="A746">
            <v>736</v>
          </cell>
          <cell r="B746">
            <v>10</v>
          </cell>
          <cell r="C746" t="str">
            <v>MARGIN NATURE LOAN</v>
          </cell>
          <cell r="D746">
            <v>1</v>
          </cell>
          <cell r="E746">
            <v>0</v>
          </cell>
        </row>
        <row r="747">
          <cell r="A747">
            <v>737</v>
          </cell>
          <cell r="B747">
            <v>10</v>
          </cell>
          <cell r="C747" t="str">
            <v>HIRE PURCHASE LOAN</v>
          </cell>
          <cell r="D747">
            <v>1</v>
          </cell>
          <cell r="E747">
            <v>0.43823215515940117</v>
          </cell>
        </row>
        <row r="748">
          <cell r="A748">
            <v>738</v>
          </cell>
          <cell r="B748">
            <v>10</v>
          </cell>
          <cell r="C748" t="str">
            <v>DEPRIVED SECTOR LOAN</v>
          </cell>
          <cell r="D748">
            <v>1</v>
          </cell>
          <cell r="E748">
            <v>3.4917074215836008E-2</v>
          </cell>
        </row>
        <row r="749">
          <cell r="A749">
            <v>739</v>
          </cell>
          <cell r="B749">
            <v>10</v>
          </cell>
          <cell r="C749" t="str">
            <v>EDUCATIONAL LOAN</v>
          </cell>
          <cell r="D749">
            <v>1</v>
          </cell>
          <cell r="E749">
            <v>3.2070569583022956E-2</v>
          </cell>
        </row>
        <row r="750">
          <cell r="A750">
            <v>740</v>
          </cell>
          <cell r="B750">
            <v>10</v>
          </cell>
          <cell r="C750" t="str">
            <v>AGRICULTURE LOAN</v>
          </cell>
          <cell r="D750">
            <v>1</v>
          </cell>
          <cell r="E750">
            <v>0.29064097242593034</v>
          </cell>
        </row>
        <row r="751">
          <cell r="A751">
            <v>741</v>
          </cell>
          <cell r="B751">
            <v>10</v>
          </cell>
          <cell r="C751" t="str">
            <v>RESI PER.HOME-EMI</v>
          </cell>
          <cell r="D751">
            <v>1</v>
          </cell>
          <cell r="E751">
            <v>0.22612373334896574</v>
          </cell>
        </row>
        <row r="752">
          <cell r="A752">
            <v>742</v>
          </cell>
          <cell r="B752">
            <v>10</v>
          </cell>
          <cell r="C752" t="str">
            <v>TERM LOAN - BUSINESS</v>
          </cell>
          <cell r="D752">
            <v>1</v>
          </cell>
          <cell r="E752">
            <v>0</v>
          </cell>
        </row>
        <row r="753">
          <cell r="A753">
            <v>743</v>
          </cell>
          <cell r="B753">
            <v>10</v>
          </cell>
          <cell r="C753" t="str">
            <v>CONS FIN BUSN TRM LO</v>
          </cell>
          <cell r="D753">
            <v>1</v>
          </cell>
          <cell r="E753">
            <v>0</v>
          </cell>
        </row>
        <row r="754">
          <cell r="A754">
            <v>744</v>
          </cell>
          <cell r="B754">
            <v>10</v>
          </cell>
          <cell r="C754" t="str">
            <v>BIS/PERHIRE PURCHASE</v>
          </cell>
          <cell r="D754">
            <v>1</v>
          </cell>
          <cell r="E754">
            <v>0.26435363713476151</v>
          </cell>
        </row>
        <row r="755">
          <cell r="A755">
            <v>745</v>
          </cell>
          <cell r="B755">
            <v>10</v>
          </cell>
          <cell r="C755" t="str">
            <v xml:space="preserve">INT CAP TERM LOAN </v>
          </cell>
          <cell r="D755">
            <v>1</v>
          </cell>
          <cell r="E755">
            <v>0</v>
          </cell>
        </row>
        <row r="756">
          <cell r="A756">
            <v>746</v>
          </cell>
          <cell r="B756">
            <v>10</v>
          </cell>
          <cell r="C756" t="str">
            <v>PERSONAL LOAN</v>
          </cell>
          <cell r="D756">
            <v>1</v>
          </cell>
          <cell r="E756">
            <v>0.18267464989432974</v>
          </cell>
        </row>
        <row r="757">
          <cell r="A757">
            <v>747</v>
          </cell>
          <cell r="B757">
            <v>10</v>
          </cell>
          <cell r="C757" t="str">
            <v>MORTGAGE LOAN</v>
          </cell>
          <cell r="D757">
            <v>1</v>
          </cell>
          <cell r="E757">
            <v>0</v>
          </cell>
        </row>
        <row r="758">
          <cell r="A758">
            <v>748</v>
          </cell>
          <cell r="B758">
            <v>10</v>
          </cell>
          <cell r="C758" t="str">
            <v>LOAN AGAINST FDR</v>
          </cell>
          <cell r="D758">
            <v>1</v>
          </cell>
          <cell r="E758">
            <v>0</v>
          </cell>
        </row>
        <row r="759">
          <cell r="A759">
            <v>749</v>
          </cell>
          <cell r="B759">
            <v>10</v>
          </cell>
          <cell r="C759" t="str">
            <v>RECEIVABLE LOAN</v>
          </cell>
          <cell r="D759">
            <v>1</v>
          </cell>
          <cell r="E759">
            <v>0.73837070835614893</v>
          </cell>
        </row>
        <row r="760">
          <cell r="A760">
            <v>750</v>
          </cell>
          <cell r="B760">
            <v>10</v>
          </cell>
          <cell r="C760" t="str">
            <v>STAFF LOAN</v>
          </cell>
          <cell r="D760">
            <v>1</v>
          </cell>
          <cell r="E760">
            <v>0</v>
          </cell>
        </row>
        <row r="761">
          <cell r="A761">
            <v>751</v>
          </cell>
          <cell r="B761">
            <v>10</v>
          </cell>
          <cell r="C761" t="str">
            <v>AGRICULTURAL LOAN</v>
          </cell>
          <cell r="D761">
            <v>1</v>
          </cell>
          <cell r="E761">
            <v>0</v>
          </cell>
        </row>
        <row r="762">
          <cell r="A762">
            <v>752</v>
          </cell>
          <cell r="B762">
            <v>10</v>
          </cell>
          <cell r="C762" t="str">
            <v>EARTHQUAKE RELIEF LO</v>
          </cell>
          <cell r="D762">
            <v>1</v>
          </cell>
          <cell r="E762">
            <v>0</v>
          </cell>
        </row>
        <row r="763">
          <cell r="A763">
            <v>753</v>
          </cell>
          <cell r="B763">
            <v>10</v>
          </cell>
          <cell r="C763" t="str">
            <v>TOURISM SECTOR LOAN</v>
          </cell>
          <cell r="D763">
            <v>1</v>
          </cell>
          <cell r="E763">
            <v>1</v>
          </cell>
        </row>
        <row r="764">
          <cell r="A764">
            <v>754</v>
          </cell>
          <cell r="B764">
            <v>10</v>
          </cell>
          <cell r="C764" t="str">
            <v>SME LOAN</v>
          </cell>
          <cell r="D764">
            <v>1</v>
          </cell>
          <cell r="E764">
            <v>0</v>
          </cell>
        </row>
        <row r="765">
          <cell r="A765">
            <v>755</v>
          </cell>
          <cell r="B765">
            <v>10</v>
          </cell>
          <cell r="C765" t="str">
            <v>EDUCATIONAL LOAN EMI</v>
          </cell>
          <cell r="D765">
            <v>1</v>
          </cell>
          <cell r="E765">
            <v>0</v>
          </cell>
        </row>
        <row r="766">
          <cell r="A766">
            <v>756</v>
          </cell>
          <cell r="B766">
            <v>10</v>
          </cell>
          <cell r="C766" t="str">
            <v>OVERDRAFT PROFESSION</v>
          </cell>
          <cell r="D766">
            <v>1</v>
          </cell>
          <cell r="E766">
            <v>0</v>
          </cell>
        </row>
        <row r="767">
          <cell r="A767">
            <v>757</v>
          </cell>
          <cell r="B767">
            <v>10</v>
          </cell>
          <cell r="C767" t="str">
            <v>OD PERSONAL LOAN</v>
          </cell>
          <cell r="D767">
            <v>2</v>
          </cell>
          <cell r="E767">
            <v>0</v>
          </cell>
        </row>
        <row r="768">
          <cell r="A768">
            <v>758</v>
          </cell>
          <cell r="B768">
            <v>10</v>
          </cell>
          <cell r="C768" t="str">
            <v>OD BUSINESS LOAN</v>
          </cell>
          <cell r="D768">
            <v>2</v>
          </cell>
          <cell r="E768">
            <v>0</v>
          </cell>
        </row>
        <row r="769">
          <cell r="A769">
            <v>759</v>
          </cell>
          <cell r="B769">
            <v>10</v>
          </cell>
          <cell r="C769" t="str">
            <v>OD STAFF LOAN</v>
          </cell>
          <cell r="D769">
            <v>2</v>
          </cell>
          <cell r="E769">
            <v>0</v>
          </cell>
        </row>
        <row r="770">
          <cell r="A770">
            <v>760</v>
          </cell>
          <cell r="B770">
            <v>10</v>
          </cell>
          <cell r="C770" t="str">
            <v>TERM LOAN</v>
          </cell>
          <cell r="D770">
            <v>2</v>
          </cell>
          <cell r="E770">
            <v>0.24266827844940075</v>
          </cell>
        </row>
        <row r="771">
          <cell r="A771">
            <v>761</v>
          </cell>
          <cell r="B771">
            <v>10</v>
          </cell>
          <cell r="C771" t="str">
            <v>WC TRADING/IND LOAN</v>
          </cell>
          <cell r="D771">
            <v>2</v>
          </cell>
          <cell r="E771">
            <v>0.24902259568295013</v>
          </cell>
        </row>
        <row r="772">
          <cell r="A772">
            <v>762</v>
          </cell>
          <cell r="B772">
            <v>10</v>
          </cell>
          <cell r="C772" t="str">
            <v>HOUSING LOAN</v>
          </cell>
          <cell r="D772">
            <v>2</v>
          </cell>
          <cell r="E772">
            <v>0.58324337203041898</v>
          </cell>
        </row>
        <row r="773">
          <cell r="A773">
            <v>763</v>
          </cell>
          <cell r="B773">
            <v>10</v>
          </cell>
          <cell r="C773" t="str">
            <v>RESI REAL EST LOAN</v>
          </cell>
          <cell r="D773">
            <v>2</v>
          </cell>
          <cell r="E773">
            <v>0</v>
          </cell>
        </row>
        <row r="774">
          <cell r="A774">
            <v>764</v>
          </cell>
          <cell r="B774">
            <v>10</v>
          </cell>
          <cell r="C774" t="str">
            <v>MARGIN NATURE LOAN</v>
          </cell>
          <cell r="D774">
            <v>2</v>
          </cell>
          <cell r="E774">
            <v>0</v>
          </cell>
        </row>
        <row r="775">
          <cell r="A775">
            <v>765</v>
          </cell>
          <cell r="B775">
            <v>10</v>
          </cell>
          <cell r="C775" t="str">
            <v>HIRE PURCHASE LOAN</v>
          </cell>
          <cell r="D775">
            <v>2</v>
          </cell>
          <cell r="E775">
            <v>0.64329120656464311</v>
          </cell>
        </row>
        <row r="776">
          <cell r="A776">
            <v>766</v>
          </cell>
          <cell r="B776">
            <v>10</v>
          </cell>
          <cell r="C776" t="str">
            <v>DEPRIVED SECTOR LOAN</v>
          </cell>
          <cell r="D776">
            <v>2</v>
          </cell>
          <cell r="E776">
            <v>0.68643779417166417</v>
          </cell>
        </row>
        <row r="777">
          <cell r="A777">
            <v>767</v>
          </cell>
          <cell r="B777">
            <v>10</v>
          </cell>
          <cell r="C777" t="str">
            <v>EDUCATIONAL LOAN</v>
          </cell>
          <cell r="D777">
            <v>2</v>
          </cell>
          <cell r="E777">
            <v>0</v>
          </cell>
        </row>
        <row r="778">
          <cell r="A778">
            <v>768</v>
          </cell>
          <cell r="B778">
            <v>10</v>
          </cell>
          <cell r="C778" t="str">
            <v>AGRICULTURE LOAN</v>
          </cell>
          <cell r="D778">
            <v>2</v>
          </cell>
          <cell r="E778">
            <v>0.56214701169252046</v>
          </cell>
        </row>
        <row r="779">
          <cell r="A779">
            <v>769</v>
          </cell>
          <cell r="B779">
            <v>10</v>
          </cell>
          <cell r="C779" t="str">
            <v>RESI PER.HOME-EMI</v>
          </cell>
          <cell r="D779">
            <v>2</v>
          </cell>
          <cell r="E779">
            <v>0.58608988514381</v>
          </cell>
        </row>
        <row r="780">
          <cell r="A780">
            <v>770</v>
          </cell>
          <cell r="B780">
            <v>10</v>
          </cell>
          <cell r="C780" t="str">
            <v>TERM LOAN - BUSINESS</v>
          </cell>
          <cell r="D780">
            <v>2</v>
          </cell>
          <cell r="E780">
            <v>0</v>
          </cell>
        </row>
        <row r="781">
          <cell r="A781">
            <v>771</v>
          </cell>
          <cell r="B781">
            <v>10</v>
          </cell>
          <cell r="C781" t="str">
            <v>CONS FIN BUSN TRM LO</v>
          </cell>
          <cell r="D781">
            <v>2</v>
          </cell>
          <cell r="E781">
            <v>0</v>
          </cell>
        </row>
        <row r="782">
          <cell r="A782">
            <v>772</v>
          </cell>
          <cell r="B782">
            <v>10</v>
          </cell>
          <cell r="C782" t="str">
            <v>BIS/PERHIRE PURCHASE</v>
          </cell>
          <cell r="D782">
            <v>2</v>
          </cell>
          <cell r="E782">
            <v>0.35980327992895861</v>
          </cell>
        </row>
        <row r="783">
          <cell r="A783">
            <v>773</v>
          </cell>
          <cell r="B783">
            <v>10</v>
          </cell>
          <cell r="C783" t="str">
            <v xml:space="preserve">INT CAP TERM LOAN </v>
          </cell>
          <cell r="D783">
            <v>2</v>
          </cell>
          <cell r="E783">
            <v>0</v>
          </cell>
        </row>
        <row r="784">
          <cell r="A784">
            <v>774</v>
          </cell>
          <cell r="B784">
            <v>10</v>
          </cell>
          <cell r="C784" t="str">
            <v>PERSONAL LOAN</v>
          </cell>
          <cell r="D784">
            <v>2</v>
          </cell>
          <cell r="E784">
            <v>0.25550179182229482</v>
          </cell>
        </row>
        <row r="785">
          <cell r="A785">
            <v>775</v>
          </cell>
          <cell r="B785">
            <v>10</v>
          </cell>
          <cell r="C785" t="str">
            <v>MORTGAGE LOAN</v>
          </cell>
          <cell r="D785">
            <v>2</v>
          </cell>
          <cell r="E785">
            <v>0</v>
          </cell>
        </row>
        <row r="786">
          <cell r="A786">
            <v>776</v>
          </cell>
          <cell r="B786">
            <v>10</v>
          </cell>
          <cell r="C786" t="str">
            <v>LOAN AGAINST FDR</v>
          </cell>
          <cell r="D786">
            <v>2</v>
          </cell>
          <cell r="E786">
            <v>0</v>
          </cell>
        </row>
        <row r="787">
          <cell r="A787">
            <v>777</v>
          </cell>
          <cell r="B787">
            <v>10</v>
          </cell>
          <cell r="C787" t="str">
            <v>RECEIVABLE LOAN</v>
          </cell>
          <cell r="D787">
            <v>2</v>
          </cell>
          <cell r="E787">
            <v>0</v>
          </cell>
        </row>
        <row r="788">
          <cell r="A788">
            <v>778</v>
          </cell>
          <cell r="B788">
            <v>10</v>
          </cell>
          <cell r="C788" t="str">
            <v>STAFF LOAN</v>
          </cell>
          <cell r="D788">
            <v>2</v>
          </cell>
          <cell r="E788">
            <v>0</v>
          </cell>
        </row>
        <row r="789">
          <cell r="A789">
            <v>779</v>
          </cell>
          <cell r="B789">
            <v>10</v>
          </cell>
          <cell r="C789" t="str">
            <v>AGRICULTURAL LOAN</v>
          </cell>
          <cell r="D789">
            <v>2</v>
          </cell>
          <cell r="E789">
            <v>0</v>
          </cell>
        </row>
        <row r="790">
          <cell r="A790">
            <v>780</v>
          </cell>
          <cell r="B790">
            <v>10</v>
          </cell>
          <cell r="C790" t="str">
            <v>EARTHQUAKE RELIEF LO</v>
          </cell>
          <cell r="D790">
            <v>2</v>
          </cell>
          <cell r="E790">
            <v>0</v>
          </cell>
        </row>
        <row r="791">
          <cell r="A791">
            <v>781</v>
          </cell>
          <cell r="B791">
            <v>10</v>
          </cell>
          <cell r="C791" t="str">
            <v>TOURISM SECTOR LOAN</v>
          </cell>
          <cell r="D791">
            <v>2</v>
          </cell>
          <cell r="E791">
            <v>0</v>
          </cell>
        </row>
        <row r="792">
          <cell r="A792">
            <v>782</v>
          </cell>
          <cell r="B792">
            <v>10</v>
          </cell>
          <cell r="C792" t="str">
            <v>SME LOAN</v>
          </cell>
          <cell r="D792">
            <v>2</v>
          </cell>
          <cell r="E792">
            <v>0</v>
          </cell>
        </row>
        <row r="793">
          <cell r="A793">
            <v>783</v>
          </cell>
          <cell r="B793">
            <v>10</v>
          </cell>
          <cell r="C793" t="str">
            <v>EDUCATIONAL LOAN EMI</v>
          </cell>
          <cell r="D793">
            <v>2</v>
          </cell>
          <cell r="E793">
            <v>0</v>
          </cell>
        </row>
        <row r="794">
          <cell r="A794">
            <v>784</v>
          </cell>
          <cell r="B794">
            <v>10</v>
          </cell>
          <cell r="C794" t="str">
            <v>OVERDRAFT PROFESSION</v>
          </cell>
          <cell r="D794">
            <v>2</v>
          </cell>
          <cell r="E794">
            <v>0</v>
          </cell>
        </row>
        <row r="795">
          <cell r="A795">
            <v>785</v>
          </cell>
          <cell r="B795">
            <v>9</v>
          </cell>
          <cell r="C795" t="str">
            <v>OD PERSONAL LOAN</v>
          </cell>
          <cell r="D795">
            <v>1</v>
          </cell>
          <cell r="E795">
            <v>0</v>
          </cell>
        </row>
        <row r="796">
          <cell r="A796">
            <v>786</v>
          </cell>
          <cell r="B796">
            <v>9</v>
          </cell>
          <cell r="C796" t="str">
            <v>OD BUSINESS LOAN</v>
          </cell>
          <cell r="D796">
            <v>1</v>
          </cell>
          <cell r="E796">
            <v>0</v>
          </cell>
        </row>
        <row r="797">
          <cell r="A797">
            <v>787</v>
          </cell>
          <cell r="B797">
            <v>9</v>
          </cell>
          <cell r="C797" t="str">
            <v>OD STAFF LOAN</v>
          </cell>
          <cell r="D797">
            <v>1</v>
          </cell>
          <cell r="E797">
            <v>0</v>
          </cell>
        </row>
        <row r="798">
          <cell r="A798">
            <v>788</v>
          </cell>
          <cell r="B798">
            <v>9</v>
          </cell>
          <cell r="C798" t="str">
            <v>TERM LOAN</v>
          </cell>
          <cell r="D798">
            <v>1</v>
          </cell>
          <cell r="E798">
            <v>8.2115471418034908E-2</v>
          </cell>
        </row>
        <row r="799">
          <cell r="A799">
            <v>789</v>
          </cell>
          <cell r="B799">
            <v>9</v>
          </cell>
          <cell r="C799" t="str">
            <v>WC TRADING/IND LOAN</v>
          </cell>
          <cell r="D799">
            <v>1</v>
          </cell>
          <cell r="E799">
            <v>5.8465577468117154E-2</v>
          </cell>
        </row>
        <row r="800">
          <cell r="A800">
            <v>790</v>
          </cell>
          <cell r="B800">
            <v>9</v>
          </cell>
          <cell r="C800" t="str">
            <v>HOUSING LOAN</v>
          </cell>
          <cell r="D800">
            <v>1</v>
          </cell>
          <cell r="E800">
            <v>0.13154166398605616</v>
          </cell>
        </row>
        <row r="801">
          <cell r="A801">
            <v>791</v>
          </cell>
          <cell r="B801">
            <v>9</v>
          </cell>
          <cell r="C801" t="str">
            <v>RESI REAL EST LOAN</v>
          </cell>
          <cell r="D801">
            <v>1</v>
          </cell>
          <cell r="E801">
            <v>0.19545144953241403</v>
          </cell>
        </row>
        <row r="802">
          <cell r="A802">
            <v>792</v>
          </cell>
          <cell r="B802">
            <v>9</v>
          </cell>
          <cell r="C802" t="str">
            <v>MARGIN NATURE LOAN</v>
          </cell>
          <cell r="D802">
            <v>1</v>
          </cell>
          <cell r="E802">
            <v>0</v>
          </cell>
        </row>
        <row r="803">
          <cell r="A803">
            <v>793</v>
          </cell>
          <cell r="B803">
            <v>9</v>
          </cell>
          <cell r="C803" t="str">
            <v>HIRE PURCHASE LOAN</v>
          </cell>
          <cell r="D803">
            <v>1</v>
          </cell>
          <cell r="E803">
            <v>0.37713561751520697</v>
          </cell>
        </row>
        <row r="804">
          <cell r="A804">
            <v>794</v>
          </cell>
          <cell r="B804">
            <v>9</v>
          </cell>
          <cell r="C804" t="str">
            <v>DEPRIVED SECTOR LOAN</v>
          </cell>
          <cell r="D804">
            <v>1</v>
          </cell>
          <cell r="E804">
            <v>3.7359120211697884E-2</v>
          </cell>
        </row>
        <row r="805">
          <cell r="A805">
            <v>795</v>
          </cell>
          <cell r="B805">
            <v>9</v>
          </cell>
          <cell r="C805" t="str">
            <v>EDUCATIONAL LOAN</v>
          </cell>
          <cell r="D805">
            <v>1</v>
          </cell>
          <cell r="E805">
            <v>0</v>
          </cell>
        </row>
        <row r="806">
          <cell r="A806">
            <v>796</v>
          </cell>
          <cell r="B806">
            <v>9</v>
          </cell>
          <cell r="C806" t="str">
            <v>AGRICULTURE LOAN</v>
          </cell>
          <cell r="D806">
            <v>1</v>
          </cell>
          <cell r="E806">
            <v>8.7557871540043727E-2</v>
          </cell>
        </row>
        <row r="807">
          <cell r="A807">
            <v>797</v>
          </cell>
          <cell r="B807">
            <v>9</v>
          </cell>
          <cell r="C807" t="str">
            <v>RESI PER.HOME-EMI</v>
          </cell>
          <cell r="D807">
            <v>1</v>
          </cell>
          <cell r="E807">
            <v>0.10514814217995466</v>
          </cell>
        </row>
        <row r="808">
          <cell r="A808">
            <v>798</v>
          </cell>
          <cell r="B808">
            <v>9</v>
          </cell>
          <cell r="C808" t="str">
            <v>TERM LOAN - BUSINESS</v>
          </cell>
          <cell r="D808">
            <v>1</v>
          </cell>
          <cell r="E808">
            <v>0</v>
          </cell>
        </row>
        <row r="809">
          <cell r="A809">
            <v>799</v>
          </cell>
          <cell r="B809">
            <v>9</v>
          </cell>
          <cell r="C809" t="str">
            <v>CONS FIN BUSN TRM LO</v>
          </cell>
          <cell r="D809">
            <v>1</v>
          </cell>
          <cell r="E809">
            <v>0</v>
          </cell>
        </row>
        <row r="810">
          <cell r="A810">
            <v>800</v>
          </cell>
          <cell r="B810">
            <v>9</v>
          </cell>
          <cell r="C810" t="str">
            <v>BIS/PERHIRE PURCHASE</v>
          </cell>
          <cell r="D810">
            <v>1</v>
          </cell>
          <cell r="E810">
            <v>0.30260697661094627</v>
          </cell>
        </row>
        <row r="811">
          <cell r="A811">
            <v>801</v>
          </cell>
          <cell r="B811">
            <v>9</v>
          </cell>
          <cell r="C811" t="str">
            <v xml:space="preserve">INT CAP TERM LOAN </v>
          </cell>
          <cell r="D811">
            <v>1</v>
          </cell>
          <cell r="E811">
            <v>0</v>
          </cell>
        </row>
        <row r="812">
          <cell r="A812">
            <v>802</v>
          </cell>
          <cell r="B812">
            <v>9</v>
          </cell>
          <cell r="C812" t="str">
            <v>PERSONAL LOAN</v>
          </cell>
          <cell r="D812">
            <v>1</v>
          </cell>
          <cell r="E812">
            <v>6.4849134416083365E-2</v>
          </cell>
        </row>
        <row r="813">
          <cell r="A813">
            <v>803</v>
          </cell>
          <cell r="B813">
            <v>9</v>
          </cell>
          <cell r="C813" t="str">
            <v>MORTGAGE LOAN</v>
          </cell>
          <cell r="D813">
            <v>1</v>
          </cell>
          <cell r="E813">
            <v>0</v>
          </cell>
        </row>
        <row r="814">
          <cell r="A814">
            <v>804</v>
          </cell>
          <cell r="B814">
            <v>9</v>
          </cell>
          <cell r="C814" t="str">
            <v>LOAN AGAINST FDR</v>
          </cell>
          <cell r="D814">
            <v>1</v>
          </cell>
          <cell r="E814">
            <v>0</v>
          </cell>
        </row>
        <row r="815">
          <cell r="A815">
            <v>805</v>
          </cell>
          <cell r="B815">
            <v>9</v>
          </cell>
          <cell r="C815" t="str">
            <v>RECEIVABLE LOAN</v>
          </cell>
          <cell r="D815">
            <v>1</v>
          </cell>
          <cell r="E815">
            <v>0</v>
          </cell>
        </row>
        <row r="816">
          <cell r="A816">
            <v>806</v>
          </cell>
          <cell r="B816">
            <v>9</v>
          </cell>
          <cell r="C816" t="str">
            <v>STAFF LOAN</v>
          </cell>
          <cell r="D816">
            <v>1</v>
          </cell>
          <cell r="E816">
            <v>4.072983535735248E-2</v>
          </cell>
        </row>
        <row r="817">
          <cell r="A817">
            <v>807</v>
          </cell>
          <cell r="B817">
            <v>9</v>
          </cell>
          <cell r="C817" t="str">
            <v>AGRICULTURAL LOAN</v>
          </cell>
          <cell r="D817">
            <v>1</v>
          </cell>
          <cell r="E817">
            <v>0</v>
          </cell>
        </row>
        <row r="818">
          <cell r="A818">
            <v>808</v>
          </cell>
          <cell r="B818">
            <v>9</v>
          </cell>
          <cell r="C818" t="str">
            <v>EARTHQUAKE RELIEF LO</v>
          </cell>
          <cell r="D818">
            <v>1</v>
          </cell>
          <cell r="E818">
            <v>0</v>
          </cell>
        </row>
        <row r="819">
          <cell r="A819">
            <v>809</v>
          </cell>
          <cell r="B819">
            <v>9</v>
          </cell>
          <cell r="C819" t="str">
            <v>TOURISM SECTOR LOAN</v>
          </cell>
          <cell r="D819">
            <v>1</v>
          </cell>
          <cell r="E819">
            <v>1.2305193086419752E-2</v>
          </cell>
        </row>
        <row r="820">
          <cell r="A820">
            <v>810</v>
          </cell>
          <cell r="B820">
            <v>9</v>
          </cell>
          <cell r="C820" t="str">
            <v>SME LOAN</v>
          </cell>
          <cell r="D820">
            <v>1</v>
          </cell>
          <cell r="E820">
            <v>0</v>
          </cell>
        </row>
        <row r="821">
          <cell r="A821">
            <v>811</v>
          </cell>
          <cell r="B821">
            <v>9</v>
          </cell>
          <cell r="C821" t="str">
            <v>EDUCATIONAL LOAN EMI</v>
          </cell>
          <cell r="D821">
            <v>1</v>
          </cell>
          <cell r="E821">
            <v>0</v>
          </cell>
        </row>
        <row r="822">
          <cell r="A822">
            <v>812</v>
          </cell>
          <cell r="B822">
            <v>9</v>
          </cell>
          <cell r="C822" t="str">
            <v>OVERDRAFT PROFESSION</v>
          </cell>
          <cell r="D822">
            <v>1</v>
          </cell>
          <cell r="E822">
            <v>0</v>
          </cell>
        </row>
        <row r="823">
          <cell r="A823">
            <v>813</v>
          </cell>
          <cell r="B823">
            <v>9</v>
          </cell>
          <cell r="C823" t="str">
            <v>OD PERSONAL LOAN</v>
          </cell>
          <cell r="D823">
            <v>2</v>
          </cell>
          <cell r="E823">
            <v>0</v>
          </cell>
        </row>
        <row r="824">
          <cell r="A824">
            <v>814</v>
          </cell>
          <cell r="B824">
            <v>9</v>
          </cell>
          <cell r="C824" t="str">
            <v>OD BUSINESS LOAN</v>
          </cell>
          <cell r="D824">
            <v>2</v>
          </cell>
          <cell r="E824">
            <v>0</v>
          </cell>
        </row>
        <row r="825">
          <cell r="A825">
            <v>815</v>
          </cell>
          <cell r="B825">
            <v>9</v>
          </cell>
          <cell r="C825" t="str">
            <v>OD STAFF LOAN</v>
          </cell>
          <cell r="D825">
            <v>2</v>
          </cell>
          <cell r="E825">
            <v>0</v>
          </cell>
        </row>
        <row r="826">
          <cell r="A826">
            <v>816</v>
          </cell>
          <cell r="B826">
            <v>9</v>
          </cell>
          <cell r="C826" t="str">
            <v>TERM LOAN</v>
          </cell>
          <cell r="D826">
            <v>2</v>
          </cell>
          <cell r="E826">
            <v>0.18144463949916811</v>
          </cell>
        </row>
        <row r="827">
          <cell r="A827">
            <v>817</v>
          </cell>
          <cell r="B827">
            <v>9</v>
          </cell>
          <cell r="C827" t="str">
            <v>WC TRADING/IND LOAN</v>
          </cell>
          <cell r="D827">
            <v>2</v>
          </cell>
          <cell r="E827">
            <v>0.17619956346084034</v>
          </cell>
        </row>
        <row r="828">
          <cell r="A828">
            <v>818</v>
          </cell>
          <cell r="B828">
            <v>9</v>
          </cell>
          <cell r="C828" t="str">
            <v>HOUSING LOAN</v>
          </cell>
          <cell r="D828">
            <v>2</v>
          </cell>
          <cell r="E828">
            <v>0.18110230329119989</v>
          </cell>
        </row>
        <row r="829">
          <cell r="A829">
            <v>819</v>
          </cell>
          <cell r="B829">
            <v>9</v>
          </cell>
          <cell r="C829" t="str">
            <v>RESI REAL EST LOAN</v>
          </cell>
          <cell r="D829">
            <v>2</v>
          </cell>
          <cell r="E829">
            <v>0.19380325564818116</v>
          </cell>
        </row>
        <row r="830">
          <cell r="A830">
            <v>820</v>
          </cell>
          <cell r="B830">
            <v>9</v>
          </cell>
          <cell r="C830" t="str">
            <v>MARGIN NATURE LOAN</v>
          </cell>
          <cell r="D830">
            <v>2</v>
          </cell>
          <cell r="E830">
            <v>0</v>
          </cell>
        </row>
        <row r="831">
          <cell r="A831">
            <v>821</v>
          </cell>
          <cell r="B831">
            <v>9</v>
          </cell>
          <cell r="C831" t="str">
            <v>HIRE PURCHASE LOAN</v>
          </cell>
          <cell r="D831">
            <v>2</v>
          </cell>
          <cell r="E831">
            <v>0.70625640686497093</v>
          </cell>
        </row>
        <row r="832">
          <cell r="A832">
            <v>822</v>
          </cell>
          <cell r="B832">
            <v>9</v>
          </cell>
          <cell r="C832" t="str">
            <v>DEPRIVED SECTOR LOAN</v>
          </cell>
          <cell r="D832">
            <v>2</v>
          </cell>
          <cell r="E832">
            <v>6.8160690694082704E-2</v>
          </cell>
        </row>
        <row r="833">
          <cell r="A833">
            <v>823</v>
          </cell>
          <cell r="B833">
            <v>9</v>
          </cell>
          <cell r="C833" t="str">
            <v>EDUCATIONAL LOAN</v>
          </cell>
          <cell r="D833">
            <v>2</v>
          </cell>
          <cell r="E833">
            <v>1.0494834061131674E-2</v>
          </cell>
        </row>
        <row r="834">
          <cell r="A834">
            <v>824</v>
          </cell>
          <cell r="B834">
            <v>9</v>
          </cell>
          <cell r="C834" t="str">
            <v>AGRICULTURE LOAN</v>
          </cell>
          <cell r="D834">
            <v>2</v>
          </cell>
          <cell r="E834">
            <v>0.1068340986290294</v>
          </cell>
        </row>
        <row r="835">
          <cell r="A835">
            <v>825</v>
          </cell>
          <cell r="B835">
            <v>9</v>
          </cell>
          <cell r="C835" t="str">
            <v>RESI PER.HOME-EMI</v>
          </cell>
          <cell r="D835">
            <v>2</v>
          </cell>
          <cell r="E835">
            <v>0.37419049633788598</v>
          </cell>
        </row>
        <row r="836">
          <cell r="A836">
            <v>826</v>
          </cell>
          <cell r="B836">
            <v>9</v>
          </cell>
          <cell r="C836" t="str">
            <v>TERM LOAN - BUSINESS</v>
          </cell>
          <cell r="D836">
            <v>2</v>
          </cell>
          <cell r="E836">
            <v>0</v>
          </cell>
        </row>
        <row r="837">
          <cell r="A837">
            <v>827</v>
          </cell>
          <cell r="B837">
            <v>9</v>
          </cell>
          <cell r="C837" t="str">
            <v>CONS FIN BUSN TRM LO</v>
          </cell>
          <cell r="D837">
            <v>2</v>
          </cell>
          <cell r="E837">
            <v>0</v>
          </cell>
        </row>
        <row r="838">
          <cell r="A838">
            <v>828</v>
          </cell>
          <cell r="B838">
            <v>9</v>
          </cell>
          <cell r="C838" t="str">
            <v>BIS/PERHIRE PURCHASE</v>
          </cell>
          <cell r="D838">
            <v>2</v>
          </cell>
          <cell r="E838">
            <v>0.42736011955877257</v>
          </cell>
        </row>
        <row r="839">
          <cell r="A839">
            <v>829</v>
          </cell>
          <cell r="B839">
            <v>9</v>
          </cell>
          <cell r="C839" t="str">
            <v xml:space="preserve">INT CAP TERM LOAN </v>
          </cell>
          <cell r="D839">
            <v>2</v>
          </cell>
          <cell r="E839">
            <v>0</v>
          </cell>
        </row>
        <row r="840">
          <cell r="A840">
            <v>830</v>
          </cell>
          <cell r="B840">
            <v>9</v>
          </cell>
          <cell r="C840" t="str">
            <v>PERSONAL LOAN</v>
          </cell>
          <cell r="D840">
            <v>2</v>
          </cell>
          <cell r="E840">
            <v>0.19173592967382574</v>
          </cell>
        </row>
        <row r="841">
          <cell r="A841">
            <v>831</v>
          </cell>
          <cell r="B841">
            <v>9</v>
          </cell>
          <cell r="C841" t="str">
            <v>MORTGAGE LOAN</v>
          </cell>
          <cell r="D841">
            <v>2</v>
          </cell>
          <cell r="E841">
            <v>0</v>
          </cell>
        </row>
        <row r="842">
          <cell r="A842">
            <v>832</v>
          </cell>
          <cell r="B842">
            <v>9</v>
          </cell>
          <cell r="C842" t="str">
            <v>LOAN AGAINST FDR</v>
          </cell>
          <cell r="D842">
            <v>2</v>
          </cell>
          <cell r="E842">
            <v>0</v>
          </cell>
        </row>
        <row r="843">
          <cell r="A843">
            <v>833</v>
          </cell>
          <cell r="B843">
            <v>9</v>
          </cell>
          <cell r="C843" t="str">
            <v>RECEIVABLE LOAN</v>
          </cell>
          <cell r="D843">
            <v>2</v>
          </cell>
          <cell r="E843">
            <v>1</v>
          </cell>
        </row>
        <row r="844">
          <cell r="A844">
            <v>834</v>
          </cell>
          <cell r="B844">
            <v>9</v>
          </cell>
          <cell r="C844" t="str">
            <v>STAFF LOAN</v>
          </cell>
          <cell r="D844">
            <v>2</v>
          </cell>
          <cell r="E844">
            <v>0</v>
          </cell>
        </row>
        <row r="845">
          <cell r="A845">
            <v>835</v>
          </cell>
          <cell r="B845">
            <v>9</v>
          </cell>
          <cell r="C845" t="str">
            <v>AGRICULTURAL LOAN</v>
          </cell>
          <cell r="D845">
            <v>2</v>
          </cell>
          <cell r="E845">
            <v>0</v>
          </cell>
        </row>
        <row r="846">
          <cell r="A846">
            <v>836</v>
          </cell>
          <cell r="B846">
            <v>9</v>
          </cell>
          <cell r="C846" t="str">
            <v>EARTHQUAKE RELIEF LO</v>
          </cell>
          <cell r="D846">
            <v>2</v>
          </cell>
          <cell r="E846">
            <v>0</v>
          </cell>
        </row>
        <row r="847">
          <cell r="A847">
            <v>837</v>
          </cell>
          <cell r="B847">
            <v>9</v>
          </cell>
          <cell r="C847" t="str">
            <v>TOURISM SECTOR LOAN</v>
          </cell>
          <cell r="D847">
            <v>2</v>
          </cell>
          <cell r="E847">
            <v>0</v>
          </cell>
        </row>
        <row r="848">
          <cell r="A848">
            <v>838</v>
          </cell>
          <cell r="B848">
            <v>9</v>
          </cell>
          <cell r="C848" t="str">
            <v>SME LOAN</v>
          </cell>
          <cell r="D848">
            <v>2</v>
          </cell>
          <cell r="E848">
            <v>0</v>
          </cell>
        </row>
        <row r="849">
          <cell r="A849">
            <v>839</v>
          </cell>
          <cell r="B849">
            <v>9</v>
          </cell>
          <cell r="C849" t="str">
            <v>EDUCATIONAL LOAN EMI</v>
          </cell>
          <cell r="D849">
            <v>2</v>
          </cell>
          <cell r="E849">
            <v>0</v>
          </cell>
        </row>
        <row r="850">
          <cell r="A850">
            <v>840</v>
          </cell>
          <cell r="B850">
            <v>9</v>
          </cell>
          <cell r="C850" t="str">
            <v>OVERDRAFT PROFESSION</v>
          </cell>
          <cell r="D850">
            <v>2</v>
          </cell>
          <cell r="E850">
            <v>0</v>
          </cell>
        </row>
        <row r="851">
          <cell r="A851">
            <v>841</v>
          </cell>
          <cell r="B851">
            <v>8</v>
          </cell>
          <cell r="C851" t="str">
            <v>OD PERSONAL LOAN</v>
          </cell>
          <cell r="D851">
            <v>1</v>
          </cell>
          <cell r="E851">
            <v>0</v>
          </cell>
        </row>
        <row r="852">
          <cell r="A852">
            <v>842</v>
          </cell>
          <cell r="B852">
            <v>8</v>
          </cell>
          <cell r="C852" t="str">
            <v>OD BUSINESS LOAN</v>
          </cell>
          <cell r="D852">
            <v>1</v>
          </cell>
          <cell r="E852">
            <v>0</v>
          </cell>
        </row>
        <row r="853">
          <cell r="A853">
            <v>843</v>
          </cell>
          <cell r="B853">
            <v>8</v>
          </cell>
          <cell r="C853" t="str">
            <v>OD STAFF LOAN</v>
          </cell>
          <cell r="D853">
            <v>1</v>
          </cell>
          <cell r="E853">
            <v>0</v>
          </cell>
        </row>
        <row r="854">
          <cell r="A854">
            <v>844</v>
          </cell>
          <cell r="B854">
            <v>8</v>
          </cell>
          <cell r="C854" t="str">
            <v>TERM LOAN</v>
          </cell>
          <cell r="D854">
            <v>1</v>
          </cell>
          <cell r="E854">
            <v>3.5595709363847441E-2</v>
          </cell>
        </row>
        <row r="855">
          <cell r="A855">
            <v>845</v>
          </cell>
          <cell r="B855">
            <v>8</v>
          </cell>
          <cell r="C855" t="str">
            <v>WC TRADING/IND LOAN</v>
          </cell>
          <cell r="D855">
            <v>1</v>
          </cell>
          <cell r="E855">
            <v>4.1573251817567956E-2</v>
          </cell>
        </row>
        <row r="856">
          <cell r="A856">
            <v>846</v>
          </cell>
          <cell r="B856">
            <v>8</v>
          </cell>
          <cell r="C856" t="str">
            <v>HOUSING LOAN</v>
          </cell>
          <cell r="D856">
            <v>1</v>
          </cell>
          <cell r="E856">
            <v>5.6606238733316536E-2</v>
          </cell>
        </row>
        <row r="857">
          <cell r="A857">
            <v>847</v>
          </cell>
          <cell r="B857">
            <v>8</v>
          </cell>
          <cell r="C857" t="str">
            <v>RESI REAL EST LOAN</v>
          </cell>
          <cell r="D857">
            <v>1</v>
          </cell>
          <cell r="E857">
            <v>0</v>
          </cell>
        </row>
        <row r="858">
          <cell r="A858">
            <v>848</v>
          </cell>
          <cell r="B858">
            <v>8</v>
          </cell>
          <cell r="C858" t="str">
            <v>MARGIN NATURE LOAN</v>
          </cell>
          <cell r="D858">
            <v>1</v>
          </cell>
          <cell r="E858">
            <v>0</v>
          </cell>
        </row>
        <row r="859">
          <cell r="A859">
            <v>849</v>
          </cell>
          <cell r="B859">
            <v>8</v>
          </cell>
          <cell r="C859" t="str">
            <v>HIRE PURCHASE LOAN</v>
          </cell>
          <cell r="D859">
            <v>1</v>
          </cell>
          <cell r="E859">
            <v>0.33676884791168549</v>
          </cell>
        </row>
        <row r="860">
          <cell r="A860">
            <v>850</v>
          </cell>
          <cell r="B860">
            <v>8</v>
          </cell>
          <cell r="C860" t="str">
            <v>DEPRIVED SECTOR LOAN</v>
          </cell>
          <cell r="D860">
            <v>1</v>
          </cell>
          <cell r="E860">
            <v>3.4419665421563564E-2</v>
          </cell>
        </row>
        <row r="861">
          <cell r="A861">
            <v>851</v>
          </cell>
          <cell r="B861">
            <v>8</v>
          </cell>
          <cell r="C861" t="str">
            <v>EDUCATIONAL LOAN</v>
          </cell>
          <cell r="D861">
            <v>1</v>
          </cell>
          <cell r="E861">
            <v>0.60815618403291949</v>
          </cell>
        </row>
        <row r="862">
          <cell r="A862">
            <v>852</v>
          </cell>
          <cell r="B862">
            <v>8</v>
          </cell>
          <cell r="C862" t="str">
            <v>AGRICULTURE LOAN</v>
          </cell>
          <cell r="D862">
            <v>1</v>
          </cell>
          <cell r="E862">
            <v>0</v>
          </cell>
        </row>
        <row r="863">
          <cell r="A863">
            <v>853</v>
          </cell>
          <cell r="B863">
            <v>8</v>
          </cell>
          <cell r="C863" t="str">
            <v>RESI PER.HOME-EMI</v>
          </cell>
          <cell r="D863">
            <v>1</v>
          </cell>
          <cell r="E863">
            <v>0</v>
          </cell>
        </row>
        <row r="864">
          <cell r="A864">
            <v>854</v>
          </cell>
          <cell r="B864">
            <v>8</v>
          </cell>
          <cell r="C864" t="str">
            <v>TERM LOAN - BUSINESS</v>
          </cell>
          <cell r="D864">
            <v>1</v>
          </cell>
          <cell r="E864">
            <v>0</v>
          </cell>
        </row>
        <row r="865">
          <cell r="A865">
            <v>855</v>
          </cell>
          <cell r="B865">
            <v>8</v>
          </cell>
          <cell r="C865" t="str">
            <v>CONS FIN BUSN TRM LO</v>
          </cell>
          <cell r="D865">
            <v>1</v>
          </cell>
          <cell r="E865">
            <v>0</v>
          </cell>
        </row>
        <row r="866">
          <cell r="A866">
            <v>856</v>
          </cell>
          <cell r="B866">
            <v>8</v>
          </cell>
          <cell r="C866" t="str">
            <v>BIS/PERHIRE PURCHASE</v>
          </cell>
          <cell r="D866">
            <v>1</v>
          </cell>
          <cell r="E866">
            <v>1.8501487409931461E-2</v>
          </cell>
        </row>
        <row r="867">
          <cell r="A867">
            <v>857</v>
          </cell>
          <cell r="B867">
            <v>8</v>
          </cell>
          <cell r="C867" t="str">
            <v xml:space="preserve">INT CAP TERM LOAN </v>
          </cell>
          <cell r="D867">
            <v>1</v>
          </cell>
          <cell r="E867">
            <v>0</v>
          </cell>
        </row>
        <row r="868">
          <cell r="A868">
            <v>858</v>
          </cell>
          <cell r="B868">
            <v>8</v>
          </cell>
          <cell r="C868" t="str">
            <v>PERSONAL LOAN</v>
          </cell>
          <cell r="D868">
            <v>1</v>
          </cell>
          <cell r="E868">
            <v>6.1660851752168663E-2</v>
          </cell>
        </row>
        <row r="869">
          <cell r="A869">
            <v>859</v>
          </cell>
          <cell r="B869">
            <v>8</v>
          </cell>
          <cell r="C869" t="str">
            <v>MORTGAGE LOAN</v>
          </cell>
          <cell r="D869">
            <v>1</v>
          </cell>
          <cell r="E869">
            <v>0</v>
          </cell>
        </row>
        <row r="870">
          <cell r="A870">
            <v>860</v>
          </cell>
          <cell r="B870">
            <v>8</v>
          </cell>
          <cell r="C870" t="str">
            <v>LOAN AGAINST FDR</v>
          </cell>
          <cell r="D870">
            <v>1</v>
          </cell>
          <cell r="E870">
            <v>0</v>
          </cell>
        </row>
        <row r="871">
          <cell r="A871">
            <v>861</v>
          </cell>
          <cell r="B871">
            <v>8</v>
          </cell>
          <cell r="C871" t="str">
            <v>RECEIVABLE LOAN</v>
          </cell>
          <cell r="D871">
            <v>1</v>
          </cell>
          <cell r="E871">
            <v>0.11316596489692332</v>
          </cell>
        </row>
        <row r="872">
          <cell r="A872">
            <v>862</v>
          </cell>
          <cell r="B872">
            <v>8</v>
          </cell>
          <cell r="C872" t="str">
            <v>STAFF LOAN</v>
          </cell>
          <cell r="D872">
            <v>1</v>
          </cell>
          <cell r="E872">
            <v>0</v>
          </cell>
        </row>
        <row r="873">
          <cell r="A873">
            <v>863</v>
          </cell>
          <cell r="B873">
            <v>8</v>
          </cell>
          <cell r="C873" t="str">
            <v>AGRICULTURAL LOAN</v>
          </cell>
          <cell r="D873">
            <v>1</v>
          </cell>
          <cell r="E873">
            <v>0</v>
          </cell>
        </row>
        <row r="874">
          <cell r="A874">
            <v>864</v>
          </cell>
          <cell r="B874">
            <v>8</v>
          </cell>
          <cell r="C874" t="str">
            <v>EARTHQUAKE RELIEF LO</v>
          </cell>
          <cell r="D874">
            <v>1</v>
          </cell>
          <cell r="E874">
            <v>0</v>
          </cell>
        </row>
        <row r="875">
          <cell r="A875">
            <v>865</v>
          </cell>
          <cell r="B875">
            <v>8</v>
          </cell>
          <cell r="C875" t="str">
            <v>TOURISM SECTOR LOAN</v>
          </cell>
          <cell r="D875">
            <v>1</v>
          </cell>
          <cell r="E875">
            <v>0</v>
          </cell>
        </row>
        <row r="876">
          <cell r="A876">
            <v>866</v>
          </cell>
          <cell r="B876">
            <v>8</v>
          </cell>
          <cell r="C876" t="str">
            <v>SME LOAN</v>
          </cell>
          <cell r="D876">
            <v>1</v>
          </cell>
          <cell r="E876">
            <v>0</v>
          </cell>
        </row>
        <row r="877">
          <cell r="A877">
            <v>867</v>
          </cell>
          <cell r="B877">
            <v>8</v>
          </cell>
          <cell r="C877" t="str">
            <v>EDUCATIONAL LOAN EMI</v>
          </cell>
          <cell r="D877">
            <v>1</v>
          </cell>
          <cell r="E877">
            <v>0</v>
          </cell>
        </row>
        <row r="878">
          <cell r="A878">
            <v>868</v>
          </cell>
          <cell r="B878">
            <v>8</v>
          </cell>
          <cell r="C878" t="str">
            <v>OVERDRAFT PROFESSION</v>
          </cell>
          <cell r="D878">
            <v>1</v>
          </cell>
          <cell r="E878">
            <v>0</v>
          </cell>
        </row>
        <row r="879">
          <cell r="A879">
            <v>869</v>
          </cell>
          <cell r="B879">
            <v>8</v>
          </cell>
          <cell r="C879" t="str">
            <v>OD PERSONAL LOAN</v>
          </cell>
          <cell r="D879">
            <v>2</v>
          </cell>
          <cell r="E879">
            <v>0</v>
          </cell>
        </row>
        <row r="880">
          <cell r="A880">
            <v>870</v>
          </cell>
          <cell r="B880">
            <v>8</v>
          </cell>
          <cell r="C880" t="str">
            <v>OD BUSINESS LOAN</v>
          </cell>
          <cell r="D880">
            <v>2</v>
          </cell>
          <cell r="E880">
            <v>0</v>
          </cell>
        </row>
        <row r="881">
          <cell r="A881">
            <v>871</v>
          </cell>
          <cell r="B881">
            <v>8</v>
          </cell>
          <cell r="C881" t="str">
            <v>OD STAFF LOAN</v>
          </cell>
          <cell r="D881">
            <v>2</v>
          </cell>
          <cell r="E881">
            <v>0</v>
          </cell>
        </row>
        <row r="882">
          <cell r="A882">
            <v>872</v>
          </cell>
          <cell r="B882">
            <v>8</v>
          </cell>
          <cell r="C882" t="str">
            <v>TERM LOAN</v>
          </cell>
          <cell r="D882">
            <v>2</v>
          </cell>
          <cell r="E882">
            <v>6.3690298745467555E-2</v>
          </cell>
        </row>
        <row r="883">
          <cell r="A883">
            <v>873</v>
          </cell>
          <cell r="B883">
            <v>8</v>
          </cell>
          <cell r="C883" t="str">
            <v>WC TRADING/IND LOAN</v>
          </cell>
          <cell r="D883">
            <v>2</v>
          </cell>
          <cell r="E883">
            <v>7.3761936158340827E-2</v>
          </cell>
        </row>
        <row r="884">
          <cell r="A884">
            <v>874</v>
          </cell>
          <cell r="B884">
            <v>8</v>
          </cell>
          <cell r="C884" t="str">
            <v>HOUSING LOAN</v>
          </cell>
          <cell r="D884">
            <v>2</v>
          </cell>
          <cell r="E884">
            <v>0.11315946032789265</v>
          </cell>
        </row>
        <row r="885">
          <cell r="A885">
            <v>875</v>
          </cell>
          <cell r="B885">
            <v>8</v>
          </cell>
          <cell r="C885" t="str">
            <v>RESI REAL EST LOAN</v>
          </cell>
          <cell r="D885">
            <v>2</v>
          </cell>
          <cell r="E885">
            <v>0</v>
          </cell>
        </row>
        <row r="886">
          <cell r="A886">
            <v>876</v>
          </cell>
          <cell r="B886">
            <v>8</v>
          </cell>
          <cell r="C886" t="str">
            <v>MARGIN NATURE LOAN</v>
          </cell>
          <cell r="D886">
            <v>2</v>
          </cell>
          <cell r="E886">
            <v>0</v>
          </cell>
        </row>
        <row r="887">
          <cell r="A887">
            <v>877</v>
          </cell>
          <cell r="B887">
            <v>8</v>
          </cell>
          <cell r="C887" t="str">
            <v>HIRE PURCHASE LOAN</v>
          </cell>
          <cell r="D887">
            <v>2</v>
          </cell>
          <cell r="E887">
            <v>0.37428674142940799</v>
          </cell>
        </row>
        <row r="888">
          <cell r="A888">
            <v>878</v>
          </cell>
          <cell r="B888">
            <v>8</v>
          </cell>
          <cell r="C888" t="str">
            <v>DEPRIVED SECTOR LOAN</v>
          </cell>
          <cell r="D888">
            <v>2</v>
          </cell>
          <cell r="E888">
            <v>0.10518184213179138</v>
          </cell>
        </row>
        <row r="889">
          <cell r="A889">
            <v>879</v>
          </cell>
          <cell r="B889">
            <v>8</v>
          </cell>
          <cell r="C889" t="str">
            <v>EDUCATIONAL LOAN</v>
          </cell>
          <cell r="D889">
            <v>2</v>
          </cell>
          <cell r="E889">
            <v>1</v>
          </cell>
        </row>
        <row r="890">
          <cell r="A890">
            <v>880</v>
          </cell>
          <cell r="B890">
            <v>8</v>
          </cell>
          <cell r="C890" t="str">
            <v>AGRICULTURE LOAN</v>
          </cell>
          <cell r="D890">
            <v>2</v>
          </cell>
          <cell r="E890">
            <v>0</v>
          </cell>
        </row>
        <row r="891">
          <cell r="A891">
            <v>881</v>
          </cell>
          <cell r="B891">
            <v>8</v>
          </cell>
          <cell r="C891" t="str">
            <v>RESI PER.HOME-EMI</v>
          </cell>
          <cell r="D891">
            <v>2</v>
          </cell>
          <cell r="E891">
            <v>0</v>
          </cell>
        </row>
        <row r="892">
          <cell r="A892">
            <v>882</v>
          </cell>
          <cell r="B892">
            <v>8</v>
          </cell>
          <cell r="C892" t="str">
            <v>TERM LOAN - BUSINESS</v>
          </cell>
          <cell r="D892">
            <v>2</v>
          </cell>
          <cell r="E892">
            <v>0</v>
          </cell>
        </row>
        <row r="893">
          <cell r="A893">
            <v>883</v>
          </cell>
          <cell r="B893">
            <v>8</v>
          </cell>
          <cell r="C893" t="str">
            <v>CONS FIN BUSN TRM LO</v>
          </cell>
          <cell r="D893">
            <v>2</v>
          </cell>
          <cell r="E893">
            <v>0</v>
          </cell>
        </row>
        <row r="894">
          <cell r="A894">
            <v>884</v>
          </cell>
          <cell r="B894">
            <v>8</v>
          </cell>
          <cell r="C894" t="str">
            <v>BIS/PERHIRE PURCHASE</v>
          </cell>
          <cell r="D894">
            <v>2</v>
          </cell>
          <cell r="E894">
            <v>1.5859813746793655E-2</v>
          </cell>
        </row>
        <row r="895">
          <cell r="A895">
            <v>885</v>
          </cell>
          <cell r="B895">
            <v>8</v>
          </cell>
          <cell r="C895" t="str">
            <v xml:space="preserve">INT CAP TERM LOAN </v>
          </cell>
          <cell r="D895">
            <v>2</v>
          </cell>
          <cell r="E895">
            <v>0</v>
          </cell>
        </row>
        <row r="896">
          <cell r="A896">
            <v>886</v>
          </cell>
          <cell r="B896">
            <v>8</v>
          </cell>
          <cell r="C896" t="str">
            <v>PERSONAL LOAN</v>
          </cell>
          <cell r="D896">
            <v>2</v>
          </cell>
          <cell r="E896">
            <v>0.1073355647677755</v>
          </cell>
        </row>
        <row r="897">
          <cell r="A897">
            <v>887</v>
          </cell>
          <cell r="B897">
            <v>8</v>
          </cell>
          <cell r="C897" t="str">
            <v>MORTGAGE LOAN</v>
          </cell>
          <cell r="D897">
            <v>2</v>
          </cell>
          <cell r="E897">
            <v>0</v>
          </cell>
        </row>
        <row r="898">
          <cell r="A898">
            <v>888</v>
          </cell>
          <cell r="B898">
            <v>8</v>
          </cell>
          <cell r="C898" t="str">
            <v>LOAN AGAINST FDR</v>
          </cell>
          <cell r="D898">
            <v>2</v>
          </cell>
          <cell r="E898">
            <v>0</v>
          </cell>
        </row>
        <row r="899">
          <cell r="A899">
            <v>889</v>
          </cell>
          <cell r="B899">
            <v>8</v>
          </cell>
          <cell r="C899" t="str">
            <v>RECEIVABLE LOAN</v>
          </cell>
          <cell r="D899">
            <v>2</v>
          </cell>
          <cell r="E899">
            <v>0</v>
          </cell>
        </row>
        <row r="900">
          <cell r="A900">
            <v>890</v>
          </cell>
          <cell r="B900">
            <v>8</v>
          </cell>
          <cell r="C900" t="str">
            <v>STAFF LOAN</v>
          </cell>
          <cell r="D900">
            <v>2</v>
          </cell>
          <cell r="E900">
            <v>0</v>
          </cell>
        </row>
        <row r="901">
          <cell r="A901">
            <v>891</v>
          </cell>
          <cell r="B901">
            <v>8</v>
          </cell>
          <cell r="C901" t="str">
            <v>AGRICULTURAL LOAN</v>
          </cell>
          <cell r="D901">
            <v>2</v>
          </cell>
          <cell r="E901">
            <v>0</v>
          </cell>
        </row>
        <row r="902">
          <cell r="A902">
            <v>892</v>
          </cell>
          <cell r="B902">
            <v>8</v>
          </cell>
          <cell r="C902" t="str">
            <v>EARTHQUAKE RELIEF LO</v>
          </cell>
          <cell r="D902">
            <v>2</v>
          </cell>
          <cell r="E902">
            <v>0</v>
          </cell>
        </row>
        <row r="903">
          <cell r="A903">
            <v>893</v>
          </cell>
          <cell r="B903">
            <v>8</v>
          </cell>
          <cell r="C903" t="str">
            <v>TOURISM SECTOR LOAN</v>
          </cell>
          <cell r="D903">
            <v>2</v>
          </cell>
          <cell r="E903">
            <v>0</v>
          </cell>
        </row>
        <row r="904">
          <cell r="A904">
            <v>894</v>
          </cell>
          <cell r="B904">
            <v>8</v>
          </cell>
          <cell r="C904" t="str">
            <v>SME LOAN</v>
          </cell>
          <cell r="D904">
            <v>2</v>
          </cell>
          <cell r="E904">
            <v>0</v>
          </cell>
        </row>
        <row r="905">
          <cell r="A905">
            <v>895</v>
          </cell>
          <cell r="B905">
            <v>8</v>
          </cell>
          <cell r="C905" t="str">
            <v>EDUCATIONAL LOAN EMI</v>
          </cell>
          <cell r="D905">
            <v>2</v>
          </cell>
          <cell r="E905">
            <v>0</v>
          </cell>
        </row>
        <row r="906">
          <cell r="A906">
            <v>896</v>
          </cell>
          <cell r="B906">
            <v>8</v>
          </cell>
          <cell r="C906" t="str">
            <v>OVERDRAFT PROFESSION</v>
          </cell>
          <cell r="D906">
            <v>2</v>
          </cell>
          <cell r="E906">
            <v>0</v>
          </cell>
        </row>
        <row r="907">
          <cell r="A907">
            <v>897</v>
          </cell>
          <cell r="B907">
            <v>7</v>
          </cell>
          <cell r="C907" t="str">
            <v>OD PERSONAL LOAN</v>
          </cell>
          <cell r="D907">
            <v>1</v>
          </cell>
          <cell r="E907">
            <v>0</v>
          </cell>
        </row>
        <row r="908">
          <cell r="A908">
            <v>898</v>
          </cell>
          <cell r="B908">
            <v>7</v>
          </cell>
          <cell r="C908" t="str">
            <v>OD BUSINESS LOAN</v>
          </cell>
          <cell r="D908">
            <v>1</v>
          </cell>
          <cell r="E908">
            <v>0</v>
          </cell>
        </row>
        <row r="909">
          <cell r="A909">
            <v>899</v>
          </cell>
          <cell r="B909">
            <v>7</v>
          </cell>
          <cell r="C909" t="str">
            <v>OD STAFF LOAN</v>
          </cell>
          <cell r="D909">
            <v>1</v>
          </cell>
          <cell r="E909">
            <v>0</v>
          </cell>
        </row>
        <row r="910">
          <cell r="A910">
            <v>900</v>
          </cell>
          <cell r="B910">
            <v>7</v>
          </cell>
          <cell r="C910" t="str">
            <v>TERM LOAN</v>
          </cell>
          <cell r="D910">
            <v>1</v>
          </cell>
          <cell r="E910">
            <v>1.7885411056569177E-2</v>
          </cell>
        </row>
        <row r="911">
          <cell r="A911">
            <v>901</v>
          </cell>
          <cell r="B911">
            <v>7</v>
          </cell>
          <cell r="C911" t="str">
            <v>WC TRADING/IND LOAN</v>
          </cell>
          <cell r="D911">
            <v>1</v>
          </cell>
          <cell r="E911">
            <v>3.1824090906875581E-2</v>
          </cell>
        </row>
        <row r="912">
          <cell r="A912">
            <v>902</v>
          </cell>
          <cell r="B912">
            <v>7</v>
          </cell>
          <cell r="C912" t="str">
            <v>HOUSING LOAN</v>
          </cell>
          <cell r="D912">
            <v>1</v>
          </cell>
          <cell r="E912">
            <v>3.4008724246098E-2</v>
          </cell>
        </row>
        <row r="913">
          <cell r="A913">
            <v>903</v>
          </cell>
          <cell r="B913">
            <v>7</v>
          </cell>
          <cell r="C913" t="str">
            <v>RESI REAL EST LOAN</v>
          </cell>
          <cell r="D913">
            <v>1</v>
          </cell>
          <cell r="E913">
            <v>0</v>
          </cell>
        </row>
        <row r="914">
          <cell r="A914">
            <v>904</v>
          </cell>
          <cell r="B914">
            <v>7</v>
          </cell>
          <cell r="C914" t="str">
            <v>MARGIN NATURE LOAN</v>
          </cell>
          <cell r="D914">
            <v>1</v>
          </cell>
          <cell r="E914">
            <v>0</v>
          </cell>
        </row>
        <row r="915">
          <cell r="A915">
            <v>905</v>
          </cell>
          <cell r="B915">
            <v>7</v>
          </cell>
          <cell r="C915" t="str">
            <v>HIRE PURCHASE LOAN</v>
          </cell>
          <cell r="D915">
            <v>1</v>
          </cell>
          <cell r="E915">
            <v>1.5804606833484568E-2</v>
          </cell>
        </row>
        <row r="916">
          <cell r="A916">
            <v>906</v>
          </cell>
          <cell r="B916">
            <v>7</v>
          </cell>
          <cell r="C916" t="str">
            <v>DEPRIVED SECTOR LOAN</v>
          </cell>
          <cell r="D916">
            <v>1</v>
          </cell>
          <cell r="E916">
            <v>9.4247026652508406E-4</v>
          </cell>
        </row>
        <row r="917">
          <cell r="A917">
            <v>907</v>
          </cell>
          <cell r="B917">
            <v>7</v>
          </cell>
          <cell r="C917" t="str">
            <v>EDUCATIONAL LOAN</v>
          </cell>
          <cell r="D917">
            <v>1</v>
          </cell>
          <cell r="E917">
            <v>0</v>
          </cell>
        </row>
        <row r="918">
          <cell r="A918">
            <v>908</v>
          </cell>
          <cell r="B918">
            <v>7</v>
          </cell>
          <cell r="C918" t="str">
            <v>AGRICULTURE LOAN</v>
          </cell>
          <cell r="D918">
            <v>1</v>
          </cell>
          <cell r="E918">
            <v>1.6983954370702423E-2</v>
          </cell>
        </row>
        <row r="919">
          <cell r="A919">
            <v>909</v>
          </cell>
          <cell r="B919">
            <v>7</v>
          </cell>
          <cell r="C919" t="str">
            <v>RESI PER.HOME-EMI</v>
          </cell>
          <cell r="D919">
            <v>1</v>
          </cell>
          <cell r="E919">
            <v>2.3707386068005216E-2</v>
          </cell>
        </row>
        <row r="920">
          <cell r="A920">
            <v>910</v>
          </cell>
          <cell r="B920">
            <v>7</v>
          </cell>
          <cell r="C920" t="str">
            <v>TERM LOAN - BUSINESS</v>
          </cell>
          <cell r="D920">
            <v>1</v>
          </cell>
          <cell r="E920">
            <v>0</v>
          </cell>
        </row>
        <row r="921">
          <cell r="A921">
            <v>911</v>
          </cell>
          <cell r="B921">
            <v>7</v>
          </cell>
          <cell r="C921" t="str">
            <v>CONS FIN BUSN TRM LO</v>
          </cell>
          <cell r="D921">
            <v>1</v>
          </cell>
          <cell r="E921">
            <v>0</v>
          </cell>
        </row>
        <row r="922">
          <cell r="A922">
            <v>912</v>
          </cell>
          <cell r="B922">
            <v>7</v>
          </cell>
          <cell r="C922" t="str">
            <v>BIS/PERHIRE PURCHASE</v>
          </cell>
          <cell r="D922">
            <v>1</v>
          </cell>
          <cell r="E922">
            <v>9.2049408202809699E-3</v>
          </cell>
        </row>
        <row r="923">
          <cell r="A923">
            <v>913</v>
          </cell>
          <cell r="B923">
            <v>7</v>
          </cell>
          <cell r="C923" t="str">
            <v xml:space="preserve">INT CAP TERM LOAN </v>
          </cell>
          <cell r="D923">
            <v>1</v>
          </cell>
          <cell r="E923">
            <v>0</v>
          </cell>
        </row>
        <row r="924">
          <cell r="A924">
            <v>914</v>
          </cell>
          <cell r="B924">
            <v>7</v>
          </cell>
          <cell r="C924" t="str">
            <v>PERSONAL LOAN</v>
          </cell>
          <cell r="D924">
            <v>1</v>
          </cell>
          <cell r="E924">
            <v>2.3322060757486718E-2</v>
          </cell>
        </row>
        <row r="925">
          <cell r="A925">
            <v>915</v>
          </cell>
          <cell r="B925">
            <v>7</v>
          </cell>
          <cell r="C925" t="str">
            <v>MORTGAGE LOAN</v>
          </cell>
          <cell r="D925">
            <v>1</v>
          </cell>
          <cell r="E925">
            <v>0</v>
          </cell>
        </row>
        <row r="926">
          <cell r="A926">
            <v>916</v>
          </cell>
          <cell r="B926">
            <v>7</v>
          </cell>
          <cell r="C926" t="str">
            <v>LOAN AGAINST FDR</v>
          </cell>
          <cell r="D926">
            <v>1</v>
          </cell>
          <cell r="E926">
            <v>0</v>
          </cell>
        </row>
        <row r="927">
          <cell r="A927">
            <v>917</v>
          </cell>
          <cell r="B927">
            <v>7</v>
          </cell>
          <cell r="C927" t="str">
            <v>RECEIVABLE LOAN</v>
          </cell>
          <cell r="D927">
            <v>1</v>
          </cell>
          <cell r="E927">
            <v>0</v>
          </cell>
        </row>
        <row r="928">
          <cell r="A928">
            <v>918</v>
          </cell>
          <cell r="B928">
            <v>7</v>
          </cell>
          <cell r="C928" t="str">
            <v>STAFF LOAN</v>
          </cell>
          <cell r="D928">
            <v>1</v>
          </cell>
          <cell r="E928">
            <v>0</v>
          </cell>
        </row>
        <row r="929">
          <cell r="A929">
            <v>919</v>
          </cell>
          <cell r="B929">
            <v>7</v>
          </cell>
          <cell r="C929" t="str">
            <v>AGRICULTURAL LOAN</v>
          </cell>
          <cell r="D929">
            <v>1</v>
          </cell>
          <cell r="E929">
            <v>0</v>
          </cell>
        </row>
        <row r="930">
          <cell r="A930">
            <v>920</v>
          </cell>
          <cell r="B930">
            <v>7</v>
          </cell>
          <cell r="C930" t="str">
            <v>EARTHQUAKE RELIEF LO</v>
          </cell>
          <cell r="D930">
            <v>1</v>
          </cell>
          <cell r="E930">
            <v>0</v>
          </cell>
        </row>
        <row r="931">
          <cell r="A931">
            <v>921</v>
          </cell>
          <cell r="B931">
            <v>7</v>
          </cell>
          <cell r="C931" t="str">
            <v>TOURISM SECTOR LOAN</v>
          </cell>
          <cell r="D931">
            <v>1</v>
          </cell>
          <cell r="E931">
            <v>0</v>
          </cell>
        </row>
        <row r="932">
          <cell r="A932">
            <v>922</v>
          </cell>
          <cell r="B932">
            <v>7</v>
          </cell>
          <cell r="C932" t="str">
            <v>SME LOAN</v>
          </cell>
          <cell r="D932">
            <v>1</v>
          </cell>
          <cell r="E932">
            <v>0.3013511228620247</v>
          </cell>
        </row>
        <row r="933">
          <cell r="A933">
            <v>923</v>
          </cell>
          <cell r="B933">
            <v>7</v>
          </cell>
          <cell r="C933" t="str">
            <v>EDUCATIONAL LOAN EMI</v>
          </cell>
          <cell r="D933">
            <v>1</v>
          </cell>
          <cell r="E933">
            <v>0</v>
          </cell>
        </row>
        <row r="934">
          <cell r="A934">
            <v>924</v>
          </cell>
          <cell r="B934">
            <v>7</v>
          </cell>
          <cell r="C934" t="str">
            <v>OVERDRAFT PROFESSION</v>
          </cell>
          <cell r="D934">
            <v>1</v>
          </cell>
          <cell r="E934">
            <v>0</v>
          </cell>
        </row>
        <row r="935">
          <cell r="A935">
            <v>925</v>
          </cell>
          <cell r="B935">
            <v>7</v>
          </cell>
          <cell r="C935" t="str">
            <v>OD PERSONAL LOAN</v>
          </cell>
          <cell r="D935">
            <v>2</v>
          </cell>
          <cell r="E935">
            <v>0</v>
          </cell>
        </row>
        <row r="936">
          <cell r="A936">
            <v>926</v>
          </cell>
          <cell r="B936">
            <v>7</v>
          </cell>
          <cell r="C936" t="str">
            <v>OD BUSINESS LOAN</v>
          </cell>
          <cell r="D936">
            <v>2</v>
          </cell>
          <cell r="E936">
            <v>0</v>
          </cell>
        </row>
        <row r="937">
          <cell r="A937">
            <v>927</v>
          </cell>
          <cell r="B937">
            <v>7</v>
          </cell>
          <cell r="C937" t="str">
            <v>OD STAFF LOAN</v>
          </cell>
          <cell r="D937">
            <v>2</v>
          </cell>
          <cell r="E937">
            <v>0</v>
          </cell>
        </row>
        <row r="938">
          <cell r="A938">
            <v>928</v>
          </cell>
          <cell r="B938">
            <v>7</v>
          </cell>
          <cell r="C938" t="str">
            <v>TERM LOAN</v>
          </cell>
          <cell r="D938">
            <v>2</v>
          </cell>
          <cell r="E938">
            <v>5.3354586021527997E-2</v>
          </cell>
        </row>
        <row r="939">
          <cell r="A939">
            <v>929</v>
          </cell>
          <cell r="B939">
            <v>7</v>
          </cell>
          <cell r="C939" t="str">
            <v>WC TRADING/IND LOAN</v>
          </cell>
          <cell r="D939">
            <v>2</v>
          </cell>
          <cell r="E939">
            <v>7.6917488612856369E-2</v>
          </cell>
        </row>
        <row r="940">
          <cell r="A940">
            <v>930</v>
          </cell>
          <cell r="B940">
            <v>7</v>
          </cell>
          <cell r="C940" t="str">
            <v>HOUSING LOAN</v>
          </cell>
          <cell r="D940">
            <v>2</v>
          </cell>
          <cell r="E940">
            <v>5.1820449109062916E-2</v>
          </cell>
        </row>
        <row r="941">
          <cell r="A941">
            <v>931</v>
          </cell>
          <cell r="B941">
            <v>7</v>
          </cell>
          <cell r="C941" t="str">
            <v>RESI REAL EST LOAN</v>
          </cell>
          <cell r="D941">
            <v>2</v>
          </cell>
          <cell r="E941">
            <v>0</v>
          </cell>
        </row>
        <row r="942">
          <cell r="A942">
            <v>932</v>
          </cell>
          <cell r="B942">
            <v>7</v>
          </cell>
          <cell r="C942" t="str">
            <v>MARGIN NATURE LOAN</v>
          </cell>
          <cell r="D942">
            <v>2</v>
          </cell>
          <cell r="E942">
            <v>0</v>
          </cell>
        </row>
        <row r="943">
          <cell r="A943">
            <v>933</v>
          </cell>
          <cell r="B943">
            <v>7</v>
          </cell>
          <cell r="C943" t="str">
            <v>HIRE PURCHASE LOAN</v>
          </cell>
          <cell r="D943">
            <v>2</v>
          </cell>
          <cell r="E943">
            <v>2.0330410718750434E-2</v>
          </cell>
        </row>
        <row r="944">
          <cell r="A944">
            <v>934</v>
          </cell>
          <cell r="B944">
            <v>7</v>
          </cell>
          <cell r="C944" t="str">
            <v>DEPRIVED SECTOR LOAN</v>
          </cell>
          <cell r="D944">
            <v>2</v>
          </cell>
          <cell r="E944">
            <v>2.2455480748681835E-2</v>
          </cell>
        </row>
        <row r="945">
          <cell r="A945">
            <v>935</v>
          </cell>
          <cell r="B945">
            <v>7</v>
          </cell>
          <cell r="C945" t="str">
            <v>EDUCATIONAL LOAN</v>
          </cell>
          <cell r="D945">
            <v>2</v>
          </cell>
          <cell r="E945">
            <v>0</v>
          </cell>
        </row>
        <row r="946">
          <cell r="A946">
            <v>936</v>
          </cell>
          <cell r="B946">
            <v>7</v>
          </cell>
          <cell r="C946" t="str">
            <v>AGRICULTURE LOAN</v>
          </cell>
          <cell r="D946">
            <v>2</v>
          </cell>
          <cell r="E946">
            <v>4.1436462569548832E-2</v>
          </cell>
        </row>
        <row r="947">
          <cell r="A947">
            <v>937</v>
          </cell>
          <cell r="B947">
            <v>7</v>
          </cell>
          <cell r="C947" t="str">
            <v>RESI PER.HOME-EMI</v>
          </cell>
          <cell r="D947">
            <v>2</v>
          </cell>
          <cell r="E947">
            <v>7.9266714356068635E-2</v>
          </cell>
        </row>
        <row r="948">
          <cell r="A948">
            <v>938</v>
          </cell>
          <cell r="B948">
            <v>7</v>
          </cell>
          <cell r="C948" t="str">
            <v>TERM LOAN - BUSINESS</v>
          </cell>
          <cell r="D948">
            <v>2</v>
          </cell>
          <cell r="E948">
            <v>0</v>
          </cell>
        </row>
        <row r="949">
          <cell r="A949">
            <v>939</v>
          </cell>
          <cell r="B949">
            <v>7</v>
          </cell>
          <cell r="C949" t="str">
            <v>CONS FIN BUSN TRM LO</v>
          </cell>
          <cell r="D949">
            <v>2</v>
          </cell>
          <cell r="E949">
            <v>0</v>
          </cell>
        </row>
        <row r="950">
          <cell r="A950">
            <v>940</v>
          </cell>
          <cell r="B950">
            <v>7</v>
          </cell>
          <cell r="C950" t="str">
            <v>BIS/PERHIRE PURCHASE</v>
          </cell>
          <cell r="D950">
            <v>2</v>
          </cell>
          <cell r="E950">
            <v>1.2139374292566616E-2</v>
          </cell>
        </row>
        <row r="951">
          <cell r="A951">
            <v>941</v>
          </cell>
          <cell r="B951">
            <v>7</v>
          </cell>
          <cell r="C951" t="str">
            <v xml:space="preserve">INT CAP TERM LOAN </v>
          </cell>
          <cell r="D951">
            <v>2</v>
          </cell>
          <cell r="E951">
            <v>0</v>
          </cell>
        </row>
        <row r="952">
          <cell r="A952">
            <v>942</v>
          </cell>
          <cell r="B952">
            <v>7</v>
          </cell>
          <cell r="C952" t="str">
            <v>PERSONAL LOAN</v>
          </cell>
          <cell r="D952">
            <v>2</v>
          </cell>
          <cell r="E952">
            <v>4.127915642344019E-2</v>
          </cell>
        </row>
        <row r="953">
          <cell r="A953">
            <v>943</v>
          </cell>
          <cell r="B953">
            <v>7</v>
          </cell>
          <cell r="C953" t="str">
            <v>MORTGAGE LOAN</v>
          </cell>
          <cell r="D953">
            <v>2</v>
          </cell>
          <cell r="E953">
            <v>0</v>
          </cell>
        </row>
        <row r="954">
          <cell r="A954">
            <v>944</v>
          </cell>
          <cell r="B954">
            <v>7</v>
          </cell>
          <cell r="C954" t="str">
            <v>LOAN AGAINST FDR</v>
          </cell>
          <cell r="D954">
            <v>2</v>
          </cell>
          <cell r="E954">
            <v>0</v>
          </cell>
        </row>
        <row r="955">
          <cell r="A955">
            <v>945</v>
          </cell>
          <cell r="B955">
            <v>7</v>
          </cell>
          <cell r="C955" t="str">
            <v>RECEIVABLE LOAN</v>
          </cell>
          <cell r="D955">
            <v>2</v>
          </cell>
          <cell r="E955">
            <v>0</v>
          </cell>
        </row>
        <row r="956">
          <cell r="A956">
            <v>946</v>
          </cell>
          <cell r="B956">
            <v>7</v>
          </cell>
          <cell r="C956" t="str">
            <v>STAFF LOAN</v>
          </cell>
          <cell r="D956">
            <v>2</v>
          </cell>
          <cell r="E956">
            <v>0</v>
          </cell>
        </row>
        <row r="957">
          <cell r="A957">
            <v>947</v>
          </cell>
          <cell r="B957">
            <v>7</v>
          </cell>
          <cell r="C957" t="str">
            <v>AGRICULTURAL LOAN</v>
          </cell>
          <cell r="D957">
            <v>2</v>
          </cell>
          <cell r="E957">
            <v>0</v>
          </cell>
        </row>
        <row r="958">
          <cell r="A958">
            <v>948</v>
          </cell>
          <cell r="B958">
            <v>7</v>
          </cell>
          <cell r="C958" t="str">
            <v>EARTHQUAKE RELIEF LO</v>
          </cell>
          <cell r="D958">
            <v>2</v>
          </cell>
          <cell r="E958">
            <v>0</v>
          </cell>
        </row>
        <row r="959">
          <cell r="A959">
            <v>949</v>
          </cell>
          <cell r="B959">
            <v>7</v>
          </cell>
          <cell r="C959" t="str">
            <v>TOURISM SECTOR LOAN</v>
          </cell>
          <cell r="D959">
            <v>2</v>
          </cell>
          <cell r="E959">
            <v>0</v>
          </cell>
        </row>
        <row r="960">
          <cell r="A960">
            <v>950</v>
          </cell>
          <cell r="B960">
            <v>7</v>
          </cell>
          <cell r="C960" t="str">
            <v>SME LOAN</v>
          </cell>
          <cell r="D960">
            <v>2</v>
          </cell>
          <cell r="E960">
            <v>0</v>
          </cell>
        </row>
        <row r="961">
          <cell r="A961">
            <v>951</v>
          </cell>
          <cell r="B961">
            <v>7</v>
          </cell>
          <cell r="C961" t="str">
            <v>EDUCATIONAL LOAN EMI</v>
          </cell>
          <cell r="D961">
            <v>2</v>
          </cell>
          <cell r="E961">
            <v>0</v>
          </cell>
        </row>
        <row r="962">
          <cell r="A962">
            <v>952</v>
          </cell>
          <cell r="B962">
            <v>7</v>
          </cell>
          <cell r="C962" t="str">
            <v>OVERDRAFT PROFESSION</v>
          </cell>
          <cell r="D962">
            <v>2</v>
          </cell>
          <cell r="E962">
            <v>0</v>
          </cell>
        </row>
        <row r="963">
          <cell r="A963">
            <v>953</v>
          </cell>
          <cell r="B963">
            <v>6</v>
          </cell>
          <cell r="C963" t="str">
            <v>OD PERSONAL LOAN</v>
          </cell>
          <cell r="D963">
            <v>1</v>
          </cell>
          <cell r="E963">
            <v>0</v>
          </cell>
        </row>
        <row r="964">
          <cell r="A964">
            <v>954</v>
          </cell>
          <cell r="B964">
            <v>6</v>
          </cell>
          <cell r="C964" t="str">
            <v>OD BUSINESS LOAN</v>
          </cell>
          <cell r="D964">
            <v>1</v>
          </cell>
          <cell r="E964">
            <v>0</v>
          </cell>
        </row>
        <row r="965">
          <cell r="A965">
            <v>955</v>
          </cell>
          <cell r="B965">
            <v>6</v>
          </cell>
          <cell r="C965" t="str">
            <v>OD STAFF LOAN</v>
          </cell>
          <cell r="D965">
            <v>1</v>
          </cell>
          <cell r="E965">
            <v>0</v>
          </cell>
        </row>
        <row r="966">
          <cell r="A966">
            <v>956</v>
          </cell>
          <cell r="B966">
            <v>6</v>
          </cell>
          <cell r="C966" t="str">
            <v>TERM LOAN</v>
          </cell>
          <cell r="D966">
            <v>1</v>
          </cell>
          <cell r="E966">
            <v>0.47747342172791574</v>
          </cell>
        </row>
        <row r="967">
          <cell r="A967">
            <v>957</v>
          </cell>
          <cell r="B967">
            <v>6</v>
          </cell>
          <cell r="C967" t="str">
            <v>WC TRADING/IND LOAN</v>
          </cell>
          <cell r="D967">
            <v>1</v>
          </cell>
          <cell r="E967">
            <v>0.17208005999213655</v>
          </cell>
        </row>
        <row r="968">
          <cell r="A968">
            <v>958</v>
          </cell>
          <cell r="B968">
            <v>6</v>
          </cell>
          <cell r="C968" t="str">
            <v>HOUSING LOAN</v>
          </cell>
          <cell r="D968">
            <v>1</v>
          </cell>
          <cell r="E968">
            <v>0.30097255610051188</v>
          </cell>
        </row>
        <row r="969">
          <cell r="A969">
            <v>959</v>
          </cell>
          <cell r="B969">
            <v>6</v>
          </cell>
          <cell r="C969" t="str">
            <v>RESI REAL EST LOAN</v>
          </cell>
          <cell r="D969">
            <v>1</v>
          </cell>
          <cell r="E969">
            <v>9.3960825787847188E-2</v>
          </cell>
        </row>
        <row r="970">
          <cell r="A970">
            <v>960</v>
          </cell>
          <cell r="B970">
            <v>6</v>
          </cell>
          <cell r="C970" t="str">
            <v>MARGIN NATURE LOAN</v>
          </cell>
          <cell r="D970">
            <v>1</v>
          </cell>
          <cell r="E970">
            <v>0</v>
          </cell>
        </row>
        <row r="971">
          <cell r="A971">
            <v>961</v>
          </cell>
          <cell r="B971">
            <v>6</v>
          </cell>
          <cell r="C971" t="str">
            <v>HIRE PURCHASE LOAN</v>
          </cell>
          <cell r="D971">
            <v>1</v>
          </cell>
          <cell r="E971">
            <v>0.53906736965852797</v>
          </cell>
        </row>
        <row r="972">
          <cell r="A972">
            <v>962</v>
          </cell>
          <cell r="B972">
            <v>6</v>
          </cell>
          <cell r="C972" t="str">
            <v>DEPRIVED SECTOR LOAN</v>
          </cell>
          <cell r="D972">
            <v>1</v>
          </cell>
          <cell r="E972">
            <v>7.9864611118053236E-2</v>
          </cell>
        </row>
        <row r="973">
          <cell r="A973">
            <v>963</v>
          </cell>
          <cell r="B973">
            <v>6</v>
          </cell>
          <cell r="C973" t="str">
            <v>EDUCATIONAL LOAN</v>
          </cell>
          <cell r="D973">
            <v>1</v>
          </cell>
          <cell r="E973">
            <v>0.35643841883853261</v>
          </cell>
        </row>
        <row r="974">
          <cell r="A974">
            <v>964</v>
          </cell>
          <cell r="B974">
            <v>6</v>
          </cell>
          <cell r="C974" t="str">
            <v>AGRICULTURE LOAN</v>
          </cell>
          <cell r="D974">
            <v>1</v>
          </cell>
          <cell r="E974">
            <v>0.31385498244535753</v>
          </cell>
        </row>
        <row r="975">
          <cell r="A975">
            <v>965</v>
          </cell>
          <cell r="B975">
            <v>6</v>
          </cell>
          <cell r="C975" t="str">
            <v>RESI PER.HOME-EMI</v>
          </cell>
          <cell r="D975">
            <v>1</v>
          </cell>
          <cell r="E975">
            <v>0.40205788687656341</v>
          </cell>
        </row>
        <row r="976">
          <cell r="A976">
            <v>966</v>
          </cell>
          <cell r="B976">
            <v>6</v>
          </cell>
          <cell r="C976" t="str">
            <v>TERM LOAN - BUSINESS</v>
          </cell>
          <cell r="D976">
            <v>1</v>
          </cell>
          <cell r="E976">
            <v>0</v>
          </cell>
        </row>
        <row r="977">
          <cell r="A977">
            <v>967</v>
          </cell>
          <cell r="B977">
            <v>6</v>
          </cell>
          <cell r="C977" t="str">
            <v>CONS FIN BUSN TRM LO</v>
          </cell>
          <cell r="D977">
            <v>1</v>
          </cell>
          <cell r="E977">
            <v>0</v>
          </cell>
        </row>
        <row r="978">
          <cell r="A978">
            <v>968</v>
          </cell>
          <cell r="B978">
            <v>6</v>
          </cell>
          <cell r="C978" t="str">
            <v>BIS/PERHIRE PURCHASE</v>
          </cell>
          <cell r="D978">
            <v>1</v>
          </cell>
          <cell r="E978">
            <v>0.51300765817915139</v>
          </cell>
        </row>
        <row r="979">
          <cell r="A979">
            <v>969</v>
          </cell>
          <cell r="B979">
            <v>6</v>
          </cell>
          <cell r="C979" t="str">
            <v xml:space="preserve">INT CAP TERM LOAN </v>
          </cell>
          <cell r="D979">
            <v>1</v>
          </cell>
          <cell r="E979">
            <v>0</v>
          </cell>
        </row>
        <row r="980">
          <cell r="A980">
            <v>970</v>
          </cell>
          <cell r="B980">
            <v>6</v>
          </cell>
          <cell r="C980" t="str">
            <v>PERSONAL LOAN</v>
          </cell>
          <cell r="D980">
            <v>1</v>
          </cell>
          <cell r="E980">
            <v>9.2149033286611309E-2</v>
          </cell>
        </row>
        <row r="981">
          <cell r="A981">
            <v>971</v>
          </cell>
          <cell r="B981">
            <v>6</v>
          </cell>
          <cell r="C981" t="str">
            <v>MORTGAGE LOAN</v>
          </cell>
          <cell r="D981">
            <v>1</v>
          </cell>
          <cell r="E981">
            <v>0</v>
          </cell>
        </row>
        <row r="982">
          <cell r="A982">
            <v>972</v>
          </cell>
          <cell r="B982">
            <v>6</v>
          </cell>
          <cell r="C982" t="str">
            <v>LOAN AGAINST FDR</v>
          </cell>
          <cell r="D982">
            <v>1</v>
          </cell>
          <cell r="E982">
            <v>0</v>
          </cell>
        </row>
        <row r="983">
          <cell r="A983">
            <v>973</v>
          </cell>
          <cell r="B983">
            <v>6</v>
          </cell>
          <cell r="C983" t="str">
            <v>RECEIVABLE LOAN</v>
          </cell>
          <cell r="D983">
            <v>1</v>
          </cell>
          <cell r="E983">
            <v>0</v>
          </cell>
        </row>
        <row r="984">
          <cell r="A984">
            <v>974</v>
          </cell>
          <cell r="B984">
            <v>6</v>
          </cell>
          <cell r="C984" t="str">
            <v>STAFF LOAN</v>
          </cell>
          <cell r="D984">
            <v>1</v>
          </cell>
          <cell r="E984">
            <v>0.13956100418262721</v>
          </cell>
        </row>
        <row r="985">
          <cell r="A985">
            <v>975</v>
          </cell>
          <cell r="B985">
            <v>6</v>
          </cell>
          <cell r="C985" t="str">
            <v>AGRICULTURAL LOAN</v>
          </cell>
          <cell r="D985">
            <v>1</v>
          </cell>
          <cell r="E985">
            <v>0</v>
          </cell>
        </row>
        <row r="986">
          <cell r="A986">
            <v>976</v>
          </cell>
          <cell r="B986">
            <v>6</v>
          </cell>
          <cell r="C986" t="str">
            <v>EARTHQUAKE RELIEF LO</v>
          </cell>
          <cell r="D986">
            <v>1</v>
          </cell>
          <cell r="E986">
            <v>0</v>
          </cell>
        </row>
        <row r="987">
          <cell r="A987">
            <v>977</v>
          </cell>
          <cell r="B987">
            <v>6</v>
          </cell>
          <cell r="C987" t="str">
            <v>TOURISM SECTOR LOAN</v>
          </cell>
          <cell r="D987">
            <v>1</v>
          </cell>
          <cell r="E987">
            <v>0</v>
          </cell>
        </row>
        <row r="988">
          <cell r="A988">
            <v>978</v>
          </cell>
          <cell r="B988">
            <v>6</v>
          </cell>
          <cell r="C988" t="str">
            <v>SME LOAN</v>
          </cell>
          <cell r="D988">
            <v>1</v>
          </cell>
          <cell r="E988">
            <v>0.47517878121136203</v>
          </cell>
        </row>
        <row r="989">
          <cell r="A989">
            <v>979</v>
          </cell>
          <cell r="B989">
            <v>6</v>
          </cell>
          <cell r="C989" t="str">
            <v>EDUCATIONAL LOAN EMI</v>
          </cell>
          <cell r="D989">
            <v>1</v>
          </cell>
          <cell r="E989">
            <v>0</v>
          </cell>
        </row>
        <row r="990">
          <cell r="A990">
            <v>980</v>
          </cell>
          <cell r="B990">
            <v>6</v>
          </cell>
          <cell r="C990" t="str">
            <v>OVERDRAFT PROFESSION</v>
          </cell>
          <cell r="D990">
            <v>1</v>
          </cell>
          <cell r="E990">
            <v>0</v>
          </cell>
        </row>
        <row r="991">
          <cell r="A991">
            <v>981</v>
          </cell>
          <cell r="B991">
            <v>6</v>
          </cell>
          <cell r="C991" t="str">
            <v>OD PERSONAL LOAN</v>
          </cell>
          <cell r="D991">
            <v>2</v>
          </cell>
          <cell r="E991">
            <v>0</v>
          </cell>
        </row>
        <row r="992">
          <cell r="A992">
            <v>982</v>
          </cell>
          <cell r="B992">
            <v>6</v>
          </cell>
          <cell r="C992" t="str">
            <v>OD BUSINESS LOAN</v>
          </cell>
          <cell r="D992">
            <v>2</v>
          </cell>
          <cell r="E992">
            <v>0</v>
          </cell>
        </row>
        <row r="993">
          <cell r="A993">
            <v>983</v>
          </cell>
          <cell r="B993">
            <v>6</v>
          </cell>
          <cell r="C993" t="str">
            <v>OD STAFF LOAN</v>
          </cell>
          <cell r="D993">
            <v>2</v>
          </cell>
          <cell r="E993">
            <v>0</v>
          </cell>
        </row>
        <row r="994">
          <cell r="A994">
            <v>984</v>
          </cell>
          <cell r="B994">
            <v>6</v>
          </cell>
          <cell r="C994" t="str">
            <v>TERM LOAN</v>
          </cell>
          <cell r="D994">
            <v>2</v>
          </cell>
          <cell r="E994">
            <v>0.61241443808767304</v>
          </cell>
        </row>
        <row r="995">
          <cell r="A995">
            <v>985</v>
          </cell>
          <cell r="B995">
            <v>6</v>
          </cell>
          <cell r="C995" t="str">
            <v>WC TRADING/IND LOAN</v>
          </cell>
          <cell r="D995">
            <v>2</v>
          </cell>
          <cell r="E995">
            <v>0.17411310468669322</v>
          </cell>
        </row>
        <row r="996">
          <cell r="A996">
            <v>986</v>
          </cell>
          <cell r="B996">
            <v>6</v>
          </cell>
          <cell r="C996" t="str">
            <v>HOUSING LOAN</v>
          </cell>
          <cell r="D996">
            <v>2</v>
          </cell>
          <cell r="E996">
            <v>0.44753293981273778</v>
          </cell>
        </row>
        <row r="997">
          <cell r="A997">
            <v>987</v>
          </cell>
          <cell r="B997">
            <v>6</v>
          </cell>
          <cell r="C997" t="str">
            <v>RESI REAL EST LOAN</v>
          </cell>
          <cell r="D997">
            <v>2</v>
          </cell>
          <cell r="E997">
            <v>0.9546233703507927</v>
          </cell>
        </row>
        <row r="998">
          <cell r="A998">
            <v>988</v>
          </cell>
          <cell r="B998">
            <v>6</v>
          </cell>
          <cell r="C998" t="str">
            <v>MARGIN NATURE LOAN</v>
          </cell>
          <cell r="D998">
            <v>2</v>
          </cell>
          <cell r="E998">
            <v>0</v>
          </cell>
        </row>
        <row r="999">
          <cell r="A999">
            <v>989</v>
          </cell>
          <cell r="B999">
            <v>6</v>
          </cell>
          <cell r="C999" t="str">
            <v>HIRE PURCHASE LOAN</v>
          </cell>
          <cell r="D999">
            <v>2</v>
          </cell>
          <cell r="E999">
            <v>0.6775365647689926</v>
          </cell>
        </row>
        <row r="1000">
          <cell r="A1000">
            <v>990</v>
          </cell>
          <cell r="B1000">
            <v>6</v>
          </cell>
          <cell r="C1000" t="str">
            <v>DEPRIVED SECTOR LOAN</v>
          </cell>
          <cell r="D1000">
            <v>2</v>
          </cell>
          <cell r="E1000">
            <v>0.19840270684925537</v>
          </cell>
        </row>
        <row r="1001">
          <cell r="A1001">
            <v>991</v>
          </cell>
          <cell r="B1001">
            <v>6</v>
          </cell>
          <cell r="C1001" t="str">
            <v>EDUCATIONAL LOAN</v>
          </cell>
          <cell r="D1001">
            <v>2</v>
          </cell>
          <cell r="E1001">
            <v>0.28309462116216844</v>
          </cell>
        </row>
        <row r="1002">
          <cell r="A1002">
            <v>992</v>
          </cell>
          <cell r="B1002">
            <v>6</v>
          </cell>
          <cell r="C1002" t="str">
            <v>AGRICULTURE LOAN</v>
          </cell>
          <cell r="D1002">
            <v>2</v>
          </cell>
          <cell r="E1002">
            <v>0.35041295782373894</v>
          </cell>
        </row>
        <row r="1003">
          <cell r="A1003">
            <v>993</v>
          </cell>
          <cell r="B1003">
            <v>6</v>
          </cell>
          <cell r="C1003" t="str">
            <v>RESI PER.HOME-EMI</v>
          </cell>
          <cell r="D1003">
            <v>2</v>
          </cell>
          <cell r="E1003">
            <v>0.5134423855122735</v>
          </cell>
        </row>
        <row r="1004">
          <cell r="A1004">
            <v>994</v>
          </cell>
          <cell r="B1004">
            <v>6</v>
          </cell>
          <cell r="C1004" t="str">
            <v>TERM LOAN - BUSINESS</v>
          </cell>
          <cell r="D1004">
            <v>2</v>
          </cell>
          <cell r="E1004">
            <v>0</v>
          </cell>
        </row>
        <row r="1005">
          <cell r="A1005">
            <v>995</v>
          </cell>
          <cell r="B1005">
            <v>6</v>
          </cell>
          <cell r="C1005" t="str">
            <v>CONS FIN BUSN TRM LO</v>
          </cell>
          <cell r="D1005">
            <v>2</v>
          </cell>
          <cell r="E1005">
            <v>0</v>
          </cell>
        </row>
        <row r="1006">
          <cell r="A1006">
            <v>996</v>
          </cell>
          <cell r="B1006">
            <v>6</v>
          </cell>
          <cell r="C1006" t="str">
            <v>BIS/PERHIRE PURCHASE</v>
          </cell>
          <cell r="D1006">
            <v>2</v>
          </cell>
          <cell r="E1006">
            <v>0.69428955273390691</v>
          </cell>
        </row>
        <row r="1007">
          <cell r="A1007">
            <v>997</v>
          </cell>
          <cell r="B1007">
            <v>6</v>
          </cell>
          <cell r="C1007" t="str">
            <v xml:space="preserve">INT CAP TERM LOAN </v>
          </cell>
          <cell r="D1007">
            <v>2</v>
          </cell>
          <cell r="E1007">
            <v>0</v>
          </cell>
        </row>
        <row r="1008">
          <cell r="A1008">
            <v>998</v>
          </cell>
          <cell r="B1008">
            <v>6</v>
          </cell>
          <cell r="C1008" t="str">
            <v>PERSONAL LOAN</v>
          </cell>
          <cell r="D1008">
            <v>2</v>
          </cell>
          <cell r="E1008">
            <v>9.9942377754467682E-2</v>
          </cell>
        </row>
        <row r="1009">
          <cell r="A1009">
            <v>999</v>
          </cell>
          <cell r="B1009">
            <v>6</v>
          </cell>
          <cell r="C1009" t="str">
            <v>MORTGAGE LOAN</v>
          </cell>
          <cell r="D1009">
            <v>2</v>
          </cell>
          <cell r="E1009">
            <v>0</v>
          </cell>
        </row>
        <row r="1010">
          <cell r="A1010">
            <v>1000</v>
          </cell>
          <cell r="B1010">
            <v>6</v>
          </cell>
          <cell r="C1010" t="str">
            <v>LOAN AGAINST FDR</v>
          </cell>
          <cell r="D1010">
            <v>2</v>
          </cell>
          <cell r="E1010">
            <v>0</v>
          </cell>
        </row>
        <row r="1011">
          <cell r="A1011">
            <v>1001</v>
          </cell>
          <cell r="B1011">
            <v>6</v>
          </cell>
          <cell r="C1011" t="str">
            <v>RECEIVABLE LOAN</v>
          </cell>
          <cell r="D1011">
            <v>2</v>
          </cell>
          <cell r="E1011">
            <v>0</v>
          </cell>
        </row>
        <row r="1012">
          <cell r="A1012">
            <v>1002</v>
          </cell>
          <cell r="B1012">
            <v>6</v>
          </cell>
          <cell r="C1012" t="str">
            <v>STAFF LOAN</v>
          </cell>
          <cell r="D1012">
            <v>2</v>
          </cell>
          <cell r="E1012">
            <v>1</v>
          </cell>
        </row>
        <row r="1013">
          <cell r="A1013">
            <v>1003</v>
          </cell>
          <cell r="B1013">
            <v>6</v>
          </cell>
          <cell r="C1013" t="str">
            <v>AGRICULTURAL LOAN</v>
          </cell>
          <cell r="D1013">
            <v>2</v>
          </cell>
          <cell r="E1013">
            <v>0</v>
          </cell>
        </row>
        <row r="1014">
          <cell r="A1014">
            <v>1004</v>
          </cell>
          <cell r="B1014">
            <v>6</v>
          </cell>
          <cell r="C1014" t="str">
            <v>EARTHQUAKE RELIEF LO</v>
          </cell>
          <cell r="D1014">
            <v>2</v>
          </cell>
          <cell r="E1014">
            <v>0</v>
          </cell>
        </row>
        <row r="1015">
          <cell r="A1015">
            <v>1005</v>
          </cell>
          <cell r="B1015">
            <v>6</v>
          </cell>
          <cell r="C1015" t="str">
            <v>TOURISM SECTOR LOAN</v>
          </cell>
          <cell r="D1015">
            <v>2</v>
          </cell>
          <cell r="E1015">
            <v>0</v>
          </cell>
        </row>
        <row r="1016">
          <cell r="A1016">
            <v>1006</v>
          </cell>
          <cell r="B1016">
            <v>6</v>
          </cell>
          <cell r="C1016" t="str">
            <v>SME LOAN</v>
          </cell>
          <cell r="D1016">
            <v>2</v>
          </cell>
          <cell r="E1016">
            <v>0</v>
          </cell>
        </row>
        <row r="1017">
          <cell r="A1017">
            <v>1007</v>
          </cell>
          <cell r="B1017">
            <v>6</v>
          </cell>
          <cell r="C1017" t="str">
            <v>EDUCATIONAL LOAN EMI</v>
          </cell>
          <cell r="D1017">
            <v>2</v>
          </cell>
          <cell r="E1017">
            <v>0</v>
          </cell>
        </row>
        <row r="1018">
          <cell r="A1018">
            <v>1008</v>
          </cell>
          <cell r="B1018">
            <v>6</v>
          </cell>
          <cell r="C1018" t="str">
            <v>OVERDRAFT PROFESSION</v>
          </cell>
          <cell r="D1018">
            <v>2</v>
          </cell>
          <cell r="E1018">
            <v>0</v>
          </cell>
        </row>
        <row r="1019">
          <cell r="A1019">
            <v>1009</v>
          </cell>
          <cell r="B1019">
            <v>5</v>
          </cell>
          <cell r="C1019" t="str">
            <v>OD PERSONAL LOAN</v>
          </cell>
          <cell r="D1019">
            <v>1</v>
          </cell>
          <cell r="E1019">
            <v>0</v>
          </cell>
        </row>
        <row r="1020">
          <cell r="A1020">
            <v>1010</v>
          </cell>
          <cell r="B1020">
            <v>5</v>
          </cell>
          <cell r="C1020" t="str">
            <v>OD BUSINESS LOAN</v>
          </cell>
          <cell r="D1020">
            <v>1</v>
          </cell>
          <cell r="E1020">
            <v>0</v>
          </cell>
        </row>
        <row r="1021">
          <cell r="A1021">
            <v>1011</v>
          </cell>
          <cell r="B1021">
            <v>5</v>
          </cell>
          <cell r="C1021" t="str">
            <v>OD STAFF LOAN</v>
          </cell>
          <cell r="D1021">
            <v>1</v>
          </cell>
          <cell r="E1021">
            <v>0</v>
          </cell>
        </row>
        <row r="1022">
          <cell r="A1022">
            <v>1012</v>
          </cell>
          <cell r="B1022">
            <v>5</v>
          </cell>
          <cell r="C1022" t="str">
            <v>TERM LOAN</v>
          </cell>
          <cell r="D1022">
            <v>1</v>
          </cell>
          <cell r="E1022">
            <v>0.46042657598537517</v>
          </cell>
        </row>
        <row r="1023">
          <cell r="A1023">
            <v>1013</v>
          </cell>
          <cell r="B1023">
            <v>5</v>
          </cell>
          <cell r="C1023" t="str">
            <v>WC TRADING/IND LOAN</v>
          </cell>
          <cell r="D1023">
            <v>1</v>
          </cell>
          <cell r="E1023">
            <v>0.44929399077183779</v>
          </cell>
        </row>
        <row r="1024">
          <cell r="A1024">
            <v>1014</v>
          </cell>
          <cell r="B1024">
            <v>5</v>
          </cell>
          <cell r="C1024" t="str">
            <v>HOUSING LOAN</v>
          </cell>
          <cell r="D1024">
            <v>1</v>
          </cell>
          <cell r="E1024">
            <v>0.25914332515118255</v>
          </cell>
        </row>
        <row r="1025">
          <cell r="A1025">
            <v>1015</v>
          </cell>
          <cell r="B1025">
            <v>5</v>
          </cell>
          <cell r="C1025" t="str">
            <v>RESI REAL EST LOAN</v>
          </cell>
          <cell r="D1025">
            <v>1</v>
          </cell>
          <cell r="E1025">
            <v>0.30747873689544669</v>
          </cell>
        </row>
        <row r="1026">
          <cell r="A1026">
            <v>1016</v>
          </cell>
          <cell r="B1026">
            <v>5</v>
          </cell>
          <cell r="C1026" t="str">
            <v>MARGIN NATURE LOAN</v>
          </cell>
          <cell r="D1026">
            <v>1</v>
          </cell>
          <cell r="E1026">
            <v>4.4128171854332973E-2</v>
          </cell>
        </row>
        <row r="1027">
          <cell r="A1027">
            <v>1017</v>
          </cell>
          <cell r="B1027">
            <v>5</v>
          </cell>
          <cell r="C1027" t="str">
            <v>HIRE PURCHASE LOAN</v>
          </cell>
          <cell r="D1027">
            <v>1</v>
          </cell>
          <cell r="E1027">
            <v>0.74210682990560983</v>
          </cell>
        </row>
        <row r="1028">
          <cell r="A1028">
            <v>1018</v>
          </cell>
          <cell r="B1028">
            <v>5</v>
          </cell>
          <cell r="C1028" t="str">
            <v>DEPRIVED SECTOR LOAN</v>
          </cell>
          <cell r="D1028">
            <v>1</v>
          </cell>
          <cell r="E1028">
            <v>0.46580578594627686</v>
          </cell>
        </row>
        <row r="1029">
          <cell r="A1029">
            <v>1019</v>
          </cell>
          <cell r="B1029">
            <v>5</v>
          </cell>
          <cell r="C1029" t="str">
            <v>EDUCATIONAL LOAN</v>
          </cell>
          <cell r="D1029">
            <v>1</v>
          </cell>
          <cell r="E1029">
            <v>0.37672094174634746</v>
          </cell>
        </row>
        <row r="1030">
          <cell r="A1030">
            <v>1020</v>
          </cell>
          <cell r="B1030">
            <v>5</v>
          </cell>
          <cell r="C1030" t="str">
            <v>AGRICULTURE LOAN</v>
          </cell>
          <cell r="D1030">
            <v>1</v>
          </cell>
          <cell r="E1030">
            <v>0.16787355979355364</v>
          </cell>
        </row>
        <row r="1031">
          <cell r="A1031">
            <v>1021</v>
          </cell>
          <cell r="B1031">
            <v>5</v>
          </cell>
          <cell r="C1031" t="str">
            <v>RESI PER.HOME-EMI</v>
          </cell>
          <cell r="D1031">
            <v>1</v>
          </cell>
          <cell r="E1031">
            <v>0.74774235751712759</v>
          </cell>
        </row>
        <row r="1032">
          <cell r="A1032">
            <v>1022</v>
          </cell>
          <cell r="B1032">
            <v>5</v>
          </cell>
          <cell r="C1032" t="str">
            <v>TERM LOAN - BUSINESS</v>
          </cell>
          <cell r="D1032">
            <v>1</v>
          </cell>
          <cell r="E1032">
            <v>0</v>
          </cell>
        </row>
        <row r="1033">
          <cell r="A1033">
            <v>1023</v>
          </cell>
          <cell r="B1033">
            <v>5</v>
          </cell>
          <cell r="C1033" t="str">
            <v>CONS FIN BUSN TRM LO</v>
          </cell>
          <cell r="D1033">
            <v>1</v>
          </cell>
          <cell r="E1033">
            <v>0</v>
          </cell>
        </row>
        <row r="1034">
          <cell r="A1034">
            <v>1024</v>
          </cell>
          <cell r="B1034">
            <v>5</v>
          </cell>
          <cell r="C1034" t="str">
            <v>BIS/PERHIRE PURCHASE</v>
          </cell>
          <cell r="D1034">
            <v>1</v>
          </cell>
          <cell r="E1034">
            <v>0.69818973814600305</v>
          </cell>
        </row>
        <row r="1035">
          <cell r="A1035">
            <v>1025</v>
          </cell>
          <cell r="B1035">
            <v>5</v>
          </cell>
          <cell r="C1035" t="str">
            <v xml:space="preserve">INT CAP TERM LOAN </v>
          </cell>
          <cell r="D1035">
            <v>1</v>
          </cell>
          <cell r="E1035">
            <v>0</v>
          </cell>
        </row>
        <row r="1036">
          <cell r="A1036">
            <v>1026</v>
          </cell>
          <cell r="B1036">
            <v>5</v>
          </cell>
          <cell r="C1036" t="str">
            <v>PERSONAL LOAN</v>
          </cell>
          <cell r="D1036">
            <v>1</v>
          </cell>
          <cell r="E1036">
            <v>0.27527400444817662</v>
          </cell>
        </row>
        <row r="1037">
          <cell r="A1037">
            <v>1027</v>
          </cell>
          <cell r="B1037">
            <v>5</v>
          </cell>
          <cell r="C1037" t="str">
            <v>MORTGAGE LOAN</v>
          </cell>
          <cell r="D1037">
            <v>1</v>
          </cell>
          <cell r="E1037">
            <v>0</v>
          </cell>
        </row>
        <row r="1038">
          <cell r="A1038">
            <v>1028</v>
          </cell>
          <cell r="B1038">
            <v>5</v>
          </cell>
          <cell r="C1038" t="str">
            <v>LOAN AGAINST FDR</v>
          </cell>
          <cell r="D1038">
            <v>1</v>
          </cell>
          <cell r="E1038">
            <v>0</v>
          </cell>
        </row>
        <row r="1039">
          <cell r="A1039">
            <v>1029</v>
          </cell>
          <cell r="B1039">
            <v>5</v>
          </cell>
          <cell r="C1039" t="str">
            <v>RECEIVABLE LOAN</v>
          </cell>
          <cell r="D1039">
            <v>1</v>
          </cell>
          <cell r="E1039">
            <v>0</v>
          </cell>
        </row>
        <row r="1040">
          <cell r="A1040">
            <v>1030</v>
          </cell>
          <cell r="B1040">
            <v>5</v>
          </cell>
          <cell r="C1040" t="str">
            <v>STAFF LOAN</v>
          </cell>
          <cell r="D1040">
            <v>1</v>
          </cell>
          <cell r="E1040">
            <v>0</v>
          </cell>
        </row>
        <row r="1041">
          <cell r="A1041">
            <v>1031</v>
          </cell>
          <cell r="B1041">
            <v>5</v>
          </cell>
          <cell r="C1041" t="str">
            <v>AGRICULTURAL LOAN</v>
          </cell>
          <cell r="D1041">
            <v>1</v>
          </cell>
          <cell r="E1041">
            <v>0</v>
          </cell>
        </row>
        <row r="1042">
          <cell r="A1042">
            <v>1032</v>
          </cell>
          <cell r="B1042">
            <v>5</v>
          </cell>
          <cell r="C1042" t="str">
            <v>EARTHQUAKE RELIEF LO</v>
          </cell>
          <cell r="D1042">
            <v>1</v>
          </cell>
          <cell r="E1042">
            <v>0</v>
          </cell>
        </row>
        <row r="1043">
          <cell r="A1043">
            <v>1033</v>
          </cell>
          <cell r="B1043">
            <v>5</v>
          </cell>
          <cell r="C1043" t="str">
            <v>TOURISM SECTOR LOAN</v>
          </cell>
          <cell r="D1043">
            <v>1</v>
          </cell>
          <cell r="E1043">
            <v>0</v>
          </cell>
        </row>
        <row r="1044">
          <cell r="A1044">
            <v>1034</v>
          </cell>
          <cell r="B1044">
            <v>5</v>
          </cell>
          <cell r="C1044" t="str">
            <v>SME LOAN</v>
          </cell>
          <cell r="D1044">
            <v>1</v>
          </cell>
          <cell r="E1044">
            <v>5.4007905219480686E-2</v>
          </cell>
        </row>
        <row r="1045">
          <cell r="A1045">
            <v>1035</v>
          </cell>
          <cell r="B1045">
            <v>5</v>
          </cell>
          <cell r="C1045" t="str">
            <v>EDUCATIONAL LOAN EMI</v>
          </cell>
          <cell r="D1045">
            <v>1</v>
          </cell>
          <cell r="E1045">
            <v>0</v>
          </cell>
        </row>
        <row r="1046">
          <cell r="A1046">
            <v>1036</v>
          </cell>
          <cell r="B1046">
            <v>5</v>
          </cell>
          <cell r="C1046" t="str">
            <v>OVERDRAFT PROFESSION</v>
          </cell>
          <cell r="D1046">
            <v>1</v>
          </cell>
          <cell r="E1046">
            <v>0</v>
          </cell>
        </row>
        <row r="1047">
          <cell r="A1047">
            <v>1037</v>
          </cell>
          <cell r="B1047">
            <v>5</v>
          </cell>
          <cell r="C1047" t="str">
            <v>OD PERSONAL LOAN</v>
          </cell>
          <cell r="D1047">
            <v>2</v>
          </cell>
          <cell r="E1047">
            <v>0</v>
          </cell>
        </row>
        <row r="1048">
          <cell r="A1048">
            <v>1038</v>
          </cell>
          <cell r="B1048">
            <v>5</v>
          </cell>
          <cell r="C1048" t="str">
            <v>OD BUSINESS LOAN</v>
          </cell>
          <cell r="D1048">
            <v>2</v>
          </cell>
          <cell r="E1048">
            <v>0</v>
          </cell>
        </row>
        <row r="1049">
          <cell r="A1049">
            <v>1039</v>
          </cell>
          <cell r="B1049">
            <v>5</v>
          </cell>
          <cell r="C1049" t="str">
            <v>OD STAFF LOAN</v>
          </cell>
          <cell r="D1049">
            <v>2</v>
          </cell>
          <cell r="E1049">
            <v>0</v>
          </cell>
        </row>
        <row r="1050">
          <cell r="A1050">
            <v>1040</v>
          </cell>
          <cell r="B1050">
            <v>5</v>
          </cell>
          <cell r="C1050" t="str">
            <v>TERM LOAN</v>
          </cell>
          <cell r="D1050">
            <v>2</v>
          </cell>
          <cell r="E1050">
            <v>0.47893814693681924</v>
          </cell>
        </row>
        <row r="1051">
          <cell r="A1051">
            <v>1041</v>
          </cell>
          <cell r="B1051">
            <v>5</v>
          </cell>
          <cell r="C1051" t="str">
            <v>WC TRADING/IND LOAN</v>
          </cell>
          <cell r="D1051">
            <v>2</v>
          </cell>
          <cell r="E1051">
            <v>0.46067588046304087</v>
          </cell>
        </row>
        <row r="1052">
          <cell r="A1052">
            <v>1042</v>
          </cell>
          <cell r="B1052">
            <v>5</v>
          </cell>
          <cell r="C1052" t="str">
            <v>HOUSING LOAN</v>
          </cell>
          <cell r="D1052">
            <v>2</v>
          </cell>
          <cell r="E1052">
            <v>0.31468822985883954</v>
          </cell>
        </row>
        <row r="1053">
          <cell r="A1053">
            <v>1043</v>
          </cell>
          <cell r="B1053">
            <v>5</v>
          </cell>
          <cell r="C1053" t="str">
            <v>RESI REAL EST LOAN</v>
          </cell>
          <cell r="D1053">
            <v>2</v>
          </cell>
          <cell r="E1053">
            <v>0.69309970791024988</v>
          </cell>
        </row>
        <row r="1054">
          <cell r="A1054">
            <v>1044</v>
          </cell>
          <cell r="B1054">
            <v>5</v>
          </cell>
          <cell r="C1054" t="str">
            <v>MARGIN NATURE LOAN</v>
          </cell>
          <cell r="D1054">
            <v>2</v>
          </cell>
          <cell r="E1054">
            <v>4.4128190045103002E-2</v>
          </cell>
        </row>
        <row r="1055">
          <cell r="A1055">
            <v>1045</v>
          </cell>
          <cell r="B1055">
            <v>5</v>
          </cell>
          <cell r="C1055" t="str">
            <v>HIRE PURCHASE LOAN</v>
          </cell>
          <cell r="D1055">
            <v>2</v>
          </cell>
          <cell r="E1055">
            <v>0.79456917893010459</v>
          </cell>
        </row>
        <row r="1056">
          <cell r="A1056">
            <v>1046</v>
          </cell>
          <cell r="B1056">
            <v>5</v>
          </cell>
          <cell r="C1056" t="str">
            <v>DEPRIVED SECTOR LOAN</v>
          </cell>
          <cell r="D1056">
            <v>2</v>
          </cell>
          <cell r="E1056">
            <v>0.5467572650733773</v>
          </cell>
        </row>
        <row r="1057">
          <cell r="A1057">
            <v>1047</v>
          </cell>
          <cell r="B1057">
            <v>5</v>
          </cell>
          <cell r="C1057" t="str">
            <v>EDUCATIONAL LOAN</v>
          </cell>
          <cell r="D1057">
            <v>2</v>
          </cell>
          <cell r="E1057">
            <v>0.29996530304978042</v>
          </cell>
        </row>
        <row r="1058">
          <cell r="A1058">
            <v>1048</v>
          </cell>
          <cell r="B1058">
            <v>5</v>
          </cell>
          <cell r="C1058" t="str">
            <v>AGRICULTURE LOAN</v>
          </cell>
          <cell r="D1058">
            <v>2</v>
          </cell>
          <cell r="E1058">
            <v>0.1682461039190192</v>
          </cell>
        </row>
        <row r="1059">
          <cell r="A1059">
            <v>1049</v>
          </cell>
          <cell r="B1059">
            <v>5</v>
          </cell>
          <cell r="C1059" t="str">
            <v>RESI PER.HOME-EMI</v>
          </cell>
          <cell r="D1059">
            <v>2</v>
          </cell>
          <cell r="E1059">
            <v>0.81680143851488496</v>
          </cell>
        </row>
        <row r="1060">
          <cell r="A1060">
            <v>1050</v>
          </cell>
          <cell r="B1060">
            <v>5</v>
          </cell>
          <cell r="C1060" t="str">
            <v>TERM LOAN - BUSINESS</v>
          </cell>
          <cell r="D1060">
            <v>2</v>
          </cell>
          <cell r="E1060">
            <v>0</v>
          </cell>
        </row>
        <row r="1061">
          <cell r="A1061">
            <v>1051</v>
          </cell>
          <cell r="B1061">
            <v>5</v>
          </cell>
          <cell r="C1061" t="str">
            <v>CONS FIN BUSN TRM LO</v>
          </cell>
          <cell r="D1061">
            <v>2</v>
          </cell>
          <cell r="E1061">
            <v>0</v>
          </cell>
        </row>
        <row r="1062">
          <cell r="A1062">
            <v>1052</v>
          </cell>
          <cell r="B1062">
            <v>5</v>
          </cell>
          <cell r="C1062" t="str">
            <v>BIS/PERHIRE PURCHASE</v>
          </cell>
          <cell r="D1062">
            <v>2</v>
          </cell>
          <cell r="E1062">
            <v>0.70551294806944265</v>
          </cell>
        </row>
        <row r="1063">
          <cell r="A1063">
            <v>1053</v>
          </cell>
          <cell r="B1063">
            <v>5</v>
          </cell>
          <cell r="C1063" t="str">
            <v xml:space="preserve">INT CAP TERM LOAN </v>
          </cell>
          <cell r="D1063">
            <v>2</v>
          </cell>
          <cell r="E1063">
            <v>0</v>
          </cell>
        </row>
        <row r="1064">
          <cell r="A1064">
            <v>1054</v>
          </cell>
          <cell r="B1064">
            <v>5</v>
          </cell>
          <cell r="C1064" t="str">
            <v>PERSONAL LOAN</v>
          </cell>
          <cell r="D1064">
            <v>2</v>
          </cell>
          <cell r="E1064">
            <v>0.28263808756959768</v>
          </cell>
        </row>
        <row r="1065">
          <cell r="A1065">
            <v>1055</v>
          </cell>
          <cell r="B1065">
            <v>5</v>
          </cell>
          <cell r="C1065" t="str">
            <v>MORTGAGE LOAN</v>
          </cell>
          <cell r="D1065">
            <v>2</v>
          </cell>
          <cell r="E1065">
            <v>0</v>
          </cell>
        </row>
        <row r="1066">
          <cell r="A1066">
            <v>1056</v>
          </cell>
          <cell r="B1066">
            <v>5</v>
          </cell>
          <cell r="C1066" t="str">
            <v>LOAN AGAINST FDR</v>
          </cell>
          <cell r="D1066">
            <v>2</v>
          </cell>
          <cell r="E1066">
            <v>0</v>
          </cell>
        </row>
        <row r="1067">
          <cell r="A1067">
            <v>1057</v>
          </cell>
          <cell r="B1067">
            <v>5</v>
          </cell>
          <cell r="C1067" t="str">
            <v>RECEIVABLE LOAN</v>
          </cell>
          <cell r="D1067">
            <v>2</v>
          </cell>
          <cell r="E1067">
            <v>0</v>
          </cell>
        </row>
        <row r="1068">
          <cell r="A1068">
            <v>1058</v>
          </cell>
          <cell r="B1068">
            <v>5</v>
          </cell>
          <cell r="C1068" t="str">
            <v>STAFF LOAN</v>
          </cell>
          <cell r="D1068">
            <v>2</v>
          </cell>
          <cell r="E1068">
            <v>8.8949688389255155E-2</v>
          </cell>
        </row>
        <row r="1069">
          <cell r="A1069">
            <v>1059</v>
          </cell>
          <cell r="B1069">
            <v>5</v>
          </cell>
          <cell r="C1069" t="str">
            <v>AGRICULTURAL LOAN</v>
          </cell>
          <cell r="D1069">
            <v>2</v>
          </cell>
          <cell r="E1069">
            <v>0</v>
          </cell>
        </row>
        <row r="1070">
          <cell r="A1070">
            <v>1060</v>
          </cell>
          <cell r="B1070">
            <v>5</v>
          </cell>
          <cell r="C1070" t="str">
            <v>EARTHQUAKE RELIEF LO</v>
          </cell>
          <cell r="D1070">
            <v>2</v>
          </cell>
          <cell r="E1070">
            <v>0</v>
          </cell>
        </row>
        <row r="1071">
          <cell r="A1071">
            <v>1061</v>
          </cell>
          <cell r="B1071">
            <v>5</v>
          </cell>
          <cell r="C1071" t="str">
            <v>TOURISM SECTOR LOAN</v>
          </cell>
          <cell r="D1071">
            <v>2</v>
          </cell>
          <cell r="E1071">
            <v>0</v>
          </cell>
        </row>
        <row r="1072">
          <cell r="A1072">
            <v>1062</v>
          </cell>
          <cell r="B1072">
            <v>5</v>
          </cell>
          <cell r="C1072" t="str">
            <v>SME LOAN</v>
          </cell>
          <cell r="D1072">
            <v>2</v>
          </cell>
          <cell r="E1072">
            <v>0</v>
          </cell>
        </row>
        <row r="1073">
          <cell r="A1073">
            <v>1063</v>
          </cell>
          <cell r="B1073">
            <v>5</v>
          </cell>
          <cell r="C1073" t="str">
            <v>EDUCATIONAL LOAN EMI</v>
          </cell>
          <cell r="D1073">
            <v>2</v>
          </cell>
          <cell r="E1073">
            <v>0</v>
          </cell>
        </row>
        <row r="1074">
          <cell r="A1074">
            <v>1064</v>
          </cell>
          <cell r="B1074">
            <v>5</v>
          </cell>
          <cell r="C1074" t="str">
            <v>OVERDRAFT PROFESSION</v>
          </cell>
          <cell r="D1074">
            <v>2</v>
          </cell>
          <cell r="E1074">
            <v>0</v>
          </cell>
        </row>
        <row r="1075">
          <cell r="A1075">
            <v>1065</v>
          </cell>
          <cell r="B1075">
            <v>4</v>
          </cell>
          <cell r="C1075" t="str">
            <v>OD PERSONAL LOAN</v>
          </cell>
          <cell r="D1075">
            <v>1</v>
          </cell>
          <cell r="E1075">
            <v>0</v>
          </cell>
        </row>
        <row r="1076">
          <cell r="A1076">
            <v>1066</v>
          </cell>
          <cell r="B1076">
            <v>4</v>
          </cell>
          <cell r="C1076" t="str">
            <v>OD BUSINESS LOAN</v>
          </cell>
          <cell r="D1076">
            <v>1</v>
          </cell>
          <cell r="E1076">
            <v>0</v>
          </cell>
        </row>
        <row r="1077">
          <cell r="A1077">
            <v>1067</v>
          </cell>
          <cell r="B1077">
            <v>4</v>
          </cell>
          <cell r="C1077" t="str">
            <v>OD STAFF LOAN</v>
          </cell>
          <cell r="D1077">
            <v>1</v>
          </cell>
          <cell r="E1077">
            <v>0</v>
          </cell>
        </row>
        <row r="1078">
          <cell r="A1078">
            <v>1068</v>
          </cell>
          <cell r="B1078">
            <v>4</v>
          </cell>
          <cell r="C1078" t="str">
            <v>TERM LOAN</v>
          </cell>
          <cell r="D1078">
            <v>1</v>
          </cell>
          <cell r="E1078">
            <v>0.21790128685962482</v>
          </cell>
        </row>
        <row r="1079">
          <cell r="A1079">
            <v>1069</v>
          </cell>
          <cell r="B1079">
            <v>4</v>
          </cell>
          <cell r="C1079" t="str">
            <v>WC TRADING/IND LOAN</v>
          </cell>
          <cell r="D1079">
            <v>1</v>
          </cell>
          <cell r="E1079">
            <v>0.38794500585383462</v>
          </cell>
        </row>
        <row r="1080">
          <cell r="A1080">
            <v>1070</v>
          </cell>
          <cell r="B1080">
            <v>4</v>
          </cell>
          <cell r="C1080" t="str">
            <v>HOUSING LOAN</v>
          </cell>
          <cell r="D1080">
            <v>1</v>
          </cell>
          <cell r="E1080">
            <v>0.46128572929443745</v>
          </cell>
        </row>
        <row r="1081">
          <cell r="A1081">
            <v>1071</v>
          </cell>
          <cell r="B1081">
            <v>4</v>
          </cell>
          <cell r="C1081" t="str">
            <v>RESI REAL EST LOAN</v>
          </cell>
          <cell r="D1081">
            <v>1</v>
          </cell>
          <cell r="E1081">
            <v>0.3363902032355246</v>
          </cell>
        </row>
        <row r="1082">
          <cell r="A1082">
            <v>1072</v>
          </cell>
          <cell r="B1082">
            <v>4</v>
          </cell>
          <cell r="C1082" t="str">
            <v>MARGIN NATURE LOAN</v>
          </cell>
          <cell r="D1082">
            <v>1</v>
          </cell>
          <cell r="E1082">
            <v>0.37234397063372315</v>
          </cell>
        </row>
        <row r="1083">
          <cell r="A1083">
            <v>1073</v>
          </cell>
          <cell r="B1083">
            <v>4</v>
          </cell>
          <cell r="C1083" t="str">
            <v>HIRE PURCHASE LOAN</v>
          </cell>
          <cell r="D1083">
            <v>1</v>
          </cell>
          <cell r="E1083">
            <v>0.58985793031429301</v>
          </cell>
        </row>
        <row r="1084">
          <cell r="A1084">
            <v>1074</v>
          </cell>
          <cell r="B1084">
            <v>4</v>
          </cell>
          <cell r="C1084" t="str">
            <v>DEPRIVED SECTOR LOAN</v>
          </cell>
          <cell r="D1084">
            <v>1</v>
          </cell>
          <cell r="E1084">
            <v>4.9670447091982955E-2</v>
          </cell>
        </row>
        <row r="1085">
          <cell r="A1085">
            <v>1075</v>
          </cell>
          <cell r="B1085">
            <v>4</v>
          </cell>
          <cell r="C1085" t="str">
            <v>EDUCATIONAL LOAN</v>
          </cell>
          <cell r="D1085">
            <v>1</v>
          </cell>
          <cell r="E1085">
            <v>0.432343118930198</v>
          </cell>
        </row>
        <row r="1086">
          <cell r="A1086">
            <v>1076</v>
          </cell>
          <cell r="B1086">
            <v>4</v>
          </cell>
          <cell r="C1086" t="str">
            <v>AGRICULTURE LOAN</v>
          </cell>
          <cell r="D1086">
            <v>1</v>
          </cell>
          <cell r="E1086">
            <v>0.14103234304003459</v>
          </cell>
        </row>
        <row r="1087">
          <cell r="A1087">
            <v>1077</v>
          </cell>
          <cell r="B1087">
            <v>4</v>
          </cell>
          <cell r="C1087" t="str">
            <v>RESI PER.HOME-EMI</v>
          </cell>
          <cell r="D1087">
            <v>1</v>
          </cell>
          <cell r="E1087">
            <v>0.35360644393532237</v>
          </cell>
        </row>
        <row r="1088">
          <cell r="A1088">
            <v>1078</v>
          </cell>
          <cell r="B1088">
            <v>4</v>
          </cell>
          <cell r="C1088" t="str">
            <v>TERM LOAN - BUSINESS</v>
          </cell>
          <cell r="D1088">
            <v>1</v>
          </cell>
          <cell r="E1088">
            <v>0</v>
          </cell>
        </row>
        <row r="1089">
          <cell r="A1089">
            <v>1079</v>
          </cell>
          <cell r="B1089">
            <v>4</v>
          </cell>
          <cell r="C1089" t="str">
            <v>CONS FIN BUSN TRM LO</v>
          </cell>
          <cell r="D1089">
            <v>1</v>
          </cell>
          <cell r="E1089">
            <v>0</v>
          </cell>
        </row>
        <row r="1090">
          <cell r="A1090">
            <v>1080</v>
          </cell>
          <cell r="B1090">
            <v>4</v>
          </cell>
          <cell r="C1090" t="str">
            <v>BIS/PERHIRE PURCHASE</v>
          </cell>
          <cell r="D1090">
            <v>1</v>
          </cell>
          <cell r="E1090">
            <v>0.61329790508062332</v>
          </cell>
        </row>
        <row r="1091">
          <cell r="A1091">
            <v>1081</v>
          </cell>
          <cell r="B1091">
            <v>4</v>
          </cell>
          <cell r="C1091" t="str">
            <v xml:space="preserve">INT CAP TERM LOAN </v>
          </cell>
          <cell r="D1091">
            <v>1</v>
          </cell>
          <cell r="E1091">
            <v>0</v>
          </cell>
        </row>
        <row r="1092">
          <cell r="A1092">
            <v>1082</v>
          </cell>
          <cell r="B1092">
            <v>4</v>
          </cell>
          <cell r="C1092" t="str">
            <v>PERSONAL LOAN</v>
          </cell>
          <cell r="D1092">
            <v>1</v>
          </cell>
          <cell r="E1092">
            <v>0.21067900062398631</v>
          </cell>
        </row>
        <row r="1093">
          <cell r="A1093">
            <v>1083</v>
          </cell>
          <cell r="B1093">
            <v>4</v>
          </cell>
          <cell r="C1093" t="str">
            <v>MORTGAGE LOAN</v>
          </cell>
          <cell r="D1093">
            <v>1</v>
          </cell>
          <cell r="E1093">
            <v>0</v>
          </cell>
        </row>
        <row r="1094">
          <cell r="A1094">
            <v>1084</v>
          </cell>
          <cell r="B1094">
            <v>4</v>
          </cell>
          <cell r="C1094" t="str">
            <v>LOAN AGAINST FDR</v>
          </cell>
          <cell r="D1094">
            <v>1</v>
          </cell>
          <cell r="E1094">
            <v>0</v>
          </cell>
        </row>
        <row r="1095">
          <cell r="A1095">
            <v>1085</v>
          </cell>
          <cell r="B1095">
            <v>4</v>
          </cell>
          <cell r="C1095" t="str">
            <v>RECEIVABLE LOAN</v>
          </cell>
          <cell r="D1095">
            <v>1</v>
          </cell>
          <cell r="E1095">
            <v>0</v>
          </cell>
        </row>
        <row r="1096">
          <cell r="A1096">
            <v>1086</v>
          </cell>
          <cell r="B1096">
            <v>4</v>
          </cell>
          <cell r="C1096" t="str">
            <v>STAFF LOAN</v>
          </cell>
          <cell r="D1096">
            <v>1</v>
          </cell>
          <cell r="E1096">
            <v>5.4192551918166874E-2</v>
          </cell>
        </row>
        <row r="1097">
          <cell r="A1097">
            <v>1087</v>
          </cell>
          <cell r="B1097">
            <v>4</v>
          </cell>
          <cell r="C1097" t="str">
            <v>AGRICULTURAL LOAN</v>
          </cell>
          <cell r="D1097">
            <v>1</v>
          </cell>
          <cell r="E1097">
            <v>0</v>
          </cell>
        </row>
        <row r="1098">
          <cell r="A1098">
            <v>1088</v>
          </cell>
          <cell r="B1098">
            <v>4</v>
          </cell>
          <cell r="C1098" t="str">
            <v>EARTHQUAKE RELIEF LO</v>
          </cell>
          <cell r="D1098">
            <v>1</v>
          </cell>
          <cell r="E1098">
            <v>0</v>
          </cell>
        </row>
        <row r="1099">
          <cell r="A1099">
            <v>1089</v>
          </cell>
          <cell r="B1099">
            <v>4</v>
          </cell>
          <cell r="C1099" t="str">
            <v>TOURISM SECTOR LOAN</v>
          </cell>
          <cell r="D1099">
            <v>1</v>
          </cell>
          <cell r="E1099">
            <v>0</v>
          </cell>
        </row>
        <row r="1100">
          <cell r="A1100">
            <v>1090</v>
          </cell>
          <cell r="B1100">
            <v>4</v>
          </cell>
          <cell r="C1100" t="str">
            <v>SME LOAN</v>
          </cell>
          <cell r="D1100">
            <v>1</v>
          </cell>
          <cell r="E1100">
            <v>0</v>
          </cell>
        </row>
        <row r="1101">
          <cell r="A1101">
            <v>1091</v>
          </cell>
          <cell r="B1101">
            <v>4</v>
          </cell>
          <cell r="C1101" t="str">
            <v>EDUCATIONAL LOAN EMI</v>
          </cell>
          <cell r="D1101">
            <v>1</v>
          </cell>
          <cell r="E1101">
            <v>0</v>
          </cell>
        </row>
        <row r="1102">
          <cell r="A1102">
            <v>1092</v>
          </cell>
          <cell r="B1102">
            <v>4</v>
          </cell>
          <cell r="C1102" t="str">
            <v>OVERDRAFT PROFESSION</v>
          </cell>
          <cell r="D1102">
            <v>1</v>
          </cell>
          <cell r="E1102">
            <v>0</v>
          </cell>
        </row>
        <row r="1103">
          <cell r="A1103">
            <v>1093</v>
          </cell>
          <cell r="B1103">
            <v>4</v>
          </cell>
          <cell r="C1103" t="str">
            <v>OD PERSONAL LOAN</v>
          </cell>
          <cell r="D1103">
            <v>2</v>
          </cell>
          <cell r="E1103">
            <v>0</v>
          </cell>
        </row>
        <row r="1104">
          <cell r="A1104">
            <v>1094</v>
          </cell>
          <cell r="B1104">
            <v>4</v>
          </cell>
          <cell r="C1104" t="str">
            <v>OD BUSINESS LOAN</v>
          </cell>
          <cell r="D1104">
            <v>2</v>
          </cell>
          <cell r="E1104">
            <v>0</v>
          </cell>
        </row>
        <row r="1105">
          <cell r="A1105">
            <v>1095</v>
          </cell>
          <cell r="B1105">
            <v>4</v>
          </cell>
          <cell r="C1105" t="str">
            <v>OD STAFF LOAN</v>
          </cell>
          <cell r="D1105">
            <v>2</v>
          </cell>
          <cell r="E1105">
            <v>0</v>
          </cell>
        </row>
        <row r="1106">
          <cell r="A1106">
            <v>1096</v>
          </cell>
          <cell r="B1106">
            <v>4</v>
          </cell>
          <cell r="C1106" t="str">
            <v>TERM LOAN</v>
          </cell>
          <cell r="D1106">
            <v>2</v>
          </cell>
          <cell r="E1106">
            <v>0.38129137896235338</v>
          </cell>
        </row>
        <row r="1107">
          <cell r="A1107">
            <v>1097</v>
          </cell>
          <cell r="B1107">
            <v>4</v>
          </cell>
          <cell r="C1107" t="str">
            <v>WC TRADING/IND LOAN</v>
          </cell>
          <cell r="D1107">
            <v>2</v>
          </cell>
          <cell r="E1107">
            <v>0.62758786815583467</v>
          </cell>
        </row>
        <row r="1108">
          <cell r="A1108">
            <v>1098</v>
          </cell>
          <cell r="B1108">
            <v>4</v>
          </cell>
          <cell r="C1108" t="str">
            <v>HOUSING LOAN</v>
          </cell>
          <cell r="D1108">
            <v>2</v>
          </cell>
          <cell r="E1108">
            <v>0.77838097795729988</v>
          </cell>
        </row>
        <row r="1109">
          <cell r="A1109">
            <v>1099</v>
          </cell>
          <cell r="B1109">
            <v>4</v>
          </cell>
          <cell r="C1109" t="str">
            <v>RESI REAL EST LOAN</v>
          </cell>
          <cell r="D1109">
            <v>2</v>
          </cell>
          <cell r="E1109">
            <v>0.49167151914787705</v>
          </cell>
        </row>
        <row r="1110">
          <cell r="A1110">
            <v>1100</v>
          </cell>
          <cell r="B1110">
            <v>4</v>
          </cell>
          <cell r="C1110" t="str">
            <v>MARGIN NATURE LOAN</v>
          </cell>
          <cell r="D1110">
            <v>2</v>
          </cell>
          <cell r="E1110">
            <v>0.97198770354897013</v>
          </cell>
        </row>
        <row r="1111">
          <cell r="A1111">
            <v>1101</v>
          </cell>
          <cell r="B1111">
            <v>4</v>
          </cell>
          <cell r="C1111" t="str">
            <v>HIRE PURCHASE LOAN</v>
          </cell>
          <cell r="D1111">
            <v>2</v>
          </cell>
          <cell r="E1111">
            <v>0.76501448180836229</v>
          </cell>
        </row>
        <row r="1112">
          <cell r="A1112">
            <v>1102</v>
          </cell>
          <cell r="B1112">
            <v>4</v>
          </cell>
          <cell r="C1112" t="str">
            <v>DEPRIVED SECTOR LOAN</v>
          </cell>
          <cell r="D1112">
            <v>2</v>
          </cell>
          <cell r="E1112">
            <v>0.12859669380165581</v>
          </cell>
        </row>
        <row r="1113">
          <cell r="A1113">
            <v>1103</v>
          </cell>
          <cell r="B1113">
            <v>4</v>
          </cell>
          <cell r="C1113" t="str">
            <v>EDUCATIONAL LOAN</v>
          </cell>
          <cell r="D1113">
            <v>2</v>
          </cell>
          <cell r="E1113">
            <v>0.79595124110263804</v>
          </cell>
        </row>
        <row r="1114">
          <cell r="A1114">
            <v>1104</v>
          </cell>
          <cell r="B1114">
            <v>4</v>
          </cell>
          <cell r="C1114" t="str">
            <v>AGRICULTURE LOAN</v>
          </cell>
          <cell r="D1114">
            <v>2</v>
          </cell>
          <cell r="E1114">
            <v>0.19307019627636787</v>
          </cell>
        </row>
        <row r="1115">
          <cell r="A1115">
            <v>1105</v>
          </cell>
          <cell r="B1115">
            <v>4</v>
          </cell>
          <cell r="C1115" t="str">
            <v>RESI PER.HOME-EMI</v>
          </cell>
          <cell r="D1115">
            <v>2</v>
          </cell>
          <cell r="E1115">
            <v>0</v>
          </cell>
        </row>
        <row r="1116">
          <cell r="A1116">
            <v>1106</v>
          </cell>
          <cell r="B1116">
            <v>4</v>
          </cell>
          <cell r="C1116" t="str">
            <v>TERM LOAN - BUSINESS</v>
          </cell>
          <cell r="D1116">
            <v>2</v>
          </cell>
          <cell r="E1116">
            <v>0</v>
          </cell>
        </row>
        <row r="1117">
          <cell r="A1117">
            <v>1107</v>
          </cell>
          <cell r="B1117">
            <v>4</v>
          </cell>
          <cell r="C1117" t="str">
            <v>CONS FIN BUSN TRM LO</v>
          </cell>
          <cell r="D1117">
            <v>2</v>
          </cell>
          <cell r="E1117">
            <v>0</v>
          </cell>
        </row>
        <row r="1118">
          <cell r="A1118">
            <v>1108</v>
          </cell>
          <cell r="B1118">
            <v>4</v>
          </cell>
          <cell r="C1118" t="str">
            <v>BIS/PERHIRE PURCHASE</v>
          </cell>
          <cell r="D1118">
            <v>2</v>
          </cell>
          <cell r="E1118">
            <v>0.89879051301058066</v>
          </cell>
        </row>
        <row r="1119">
          <cell r="A1119">
            <v>1109</v>
          </cell>
          <cell r="B1119">
            <v>4</v>
          </cell>
          <cell r="C1119" t="str">
            <v xml:space="preserve">INT CAP TERM LOAN </v>
          </cell>
          <cell r="D1119">
            <v>2</v>
          </cell>
          <cell r="E1119">
            <v>0</v>
          </cell>
        </row>
        <row r="1120">
          <cell r="A1120">
            <v>1110</v>
          </cell>
          <cell r="B1120">
            <v>4</v>
          </cell>
          <cell r="C1120" t="str">
            <v>PERSONAL LOAN</v>
          </cell>
          <cell r="D1120">
            <v>2</v>
          </cell>
          <cell r="E1120">
            <v>0.30476786648483667</v>
          </cell>
        </row>
        <row r="1121">
          <cell r="A1121">
            <v>1111</v>
          </cell>
          <cell r="B1121">
            <v>4</v>
          </cell>
          <cell r="C1121" t="str">
            <v>MORTGAGE LOAN</v>
          </cell>
          <cell r="D1121">
            <v>2</v>
          </cell>
          <cell r="E1121">
            <v>0</v>
          </cell>
        </row>
        <row r="1122">
          <cell r="A1122">
            <v>1112</v>
          </cell>
          <cell r="B1122">
            <v>4</v>
          </cell>
          <cell r="C1122" t="str">
            <v>LOAN AGAINST FDR</v>
          </cell>
          <cell r="D1122">
            <v>2</v>
          </cell>
          <cell r="E1122">
            <v>0</v>
          </cell>
        </row>
        <row r="1123">
          <cell r="A1123">
            <v>1113</v>
          </cell>
          <cell r="B1123">
            <v>4</v>
          </cell>
          <cell r="C1123" t="str">
            <v>RECEIVABLE LOAN</v>
          </cell>
          <cell r="D1123">
            <v>2</v>
          </cell>
          <cell r="E1123">
            <v>0</v>
          </cell>
        </row>
        <row r="1124">
          <cell r="A1124">
            <v>1114</v>
          </cell>
          <cell r="B1124">
            <v>4</v>
          </cell>
          <cell r="C1124" t="str">
            <v>STAFF LOAN</v>
          </cell>
          <cell r="D1124">
            <v>2</v>
          </cell>
          <cell r="E1124">
            <v>0</v>
          </cell>
        </row>
        <row r="1125">
          <cell r="A1125">
            <v>1115</v>
          </cell>
          <cell r="B1125">
            <v>4</v>
          </cell>
          <cell r="C1125" t="str">
            <v>AGRICULTURAL LOAN</v>
          </cell>
          <cell r="D1125">
            <v>2</v>
          </cell>
          <cell r="E1125">
            <v>0</v>
          </cell>
        </row>
        <row r="1126">
          <cell r="A1126">
            <v>1116</v>
          </cell>
          <cell r="B1126">
            <v>4</v>
          </cell>
          <cell r="C1126" t="str">
            <v>EARTHQUAKE RELIEF LO</v>
          </cell>
          <cell r="D1126">
            <v>2</v>
          </cell>
          <cell r="E1126">
            <v>0</v>
          </cell>
        </row>
        <row r="1127">
          <cell r="A1127">
            <v>1117</v>
          </cell>
          <cell r="B1127">
            <v>4</v>
          </cell>
          <cell r="C1127" t="str">
            <v>TOURISM SECTOR LOAN</v>
          </cell>
          <cell r="D1127">
            <v>2</v>
          </cell>
          <cell r="E1127">
            <v>0</v>
          </cell>
        </row>
        <row r="1128">
          <cell r="A1128">
            <v>1118</v>
          </cell>
          <cell r="B1128">
            <v>4</v>
          </cell>
          <cell r="C1128" t="str">
            <v>SME LOAN</v>
          </cell>
          <cell r="D1128">
            <v>2</v>
          </cell>
          <cell r="E1128">
            <v>0</v>
          </cell>
        </row>
        <row r="1129">
          <cell r="A1129">
            <v>1119</v>
          </cell>
          <cell r="B1129">
            <v>4</v>
          </cell>
          <cell r="C1129" t="str">
            <v>EDUCATIONAL LOAN EMI</v>
          </cell>
          <cell r="D1129">
            <v>2</v>
          </cell>
          <cell r="E1129">
            <v>0</v>
          </cell>
        </row>
        <row r="1130">
          <cell r="A1130">
            <v>1120</v>
          </cell>
          <cell r="B1130">
            <v>4</v>
          </cell>
          <cell r="C1130" t="str">
            <v>OVERDRAFT PROFESSION</v>
          </cell>
          <cell r="D1130">
            <v>2</v>
          </cell>
          <cell r="E1130">
            <v>0</v>
          </cell>
        </row>
        <row r="1131">
          <cell r="A1131">
            <v>1121</v>
          </cell>
          <cell r="B1131">
            <v>3</v>
          </cell>
          <cell r="C1131" t="str">
            <v>OD PERSONAL LOAN</v>
          </cell>
          <cell r="D1131">
            <v>1</v>
          </cell>
          <cell r="E1131">
            <v>0</v>
          </cell>
        </row>
        <row r="1132">
          <cell r="A1132">
            <v>1122</v>
          </cell>
          <cell r="B1132">
            <v>3</v>
          </cell>
          <cell r="C1132" t="str">
            <v>OD BUSINESS LOAN</v>
          </cell>
          <cell r="D1132">
            <v>1</v>
          </cell>
          <cell r="E1132">
            <v>0</v>
          </cell>
        </row>
        <row r="1133">
          <cell r="A1133">
            <v>1123</v>
          </cell>
          <cell r="B1133">
            <v>3</v>
          </cell>
          <cell r="C1133" t="str">
            <v>OD STAFF LOAN</v>
          </cell>
          <cell r="D1133">
            <v>1</v>
          </cell>
          <cell r="E1133">
            <v>0</v>
          </cell>
        </row>
        <row r="1134">
          <cell r="A1134">
            <v>1124</v>
          </cell>
          <cell r="B1134">
            <v>3</v>
          </cell>
          <cell r="C1134" t="str">
            <v>TERM LOAN</v>
          </cell>
          <cell r="D1134">
            <v>1</v>
          </cell>
          <cell r="E1134">
            <v>3.400649963467707E-2</v>
          </cell>
        </row>
        <row r="1135">
          <cell r="A1135">
            <v>1125</v>
          </cell>
          <cell r="B1135">
            <v>3</v>
          </cell>
          <cell r="C1135" t="str">
            <v>WC TRADING/IND LOAN</v>
          </cell>
          <cell r="D1135">
            <v>1</v>
          </cell>
          <cell r="E1135">
            <v>0.13680224028356541</v>
          </cell>
        </row>
        <row r="1136">
          <cell r="A1136">
            <v>1126</v>
          </cell>
          <cell r="B1136">
            <v>3</v>
          </cell>
          <cell r="C1136" t="str">
            <v>HOUSING LOAN</v>
          </cell>
          <cell r="D1136">
            <v>1</v>
          </cell>
          <cell r="E1136">
            <v>6.2212301415485886E-2</v>
          </cell>
        </row>
        <row r="1137">
          <cell r="A1137">
            <v>1127</v>
          </cell>
          <cell r="B1137">
            <v>3</v>
          </cell>
          <cell r="C1137" t="str">
            <v>RESI REAL EST LOAN</v>
          </cell>
          <cell r="D1137">
            <v>1</v>
          </cell>
          <cell r="E1137">
            <v>0</v>
          </cell>
        </row>
        <row r="1138">
          <cell r="A1138">
            <v>1128</v>
          </cell>
          <cell r="B1138">
            <v>3</v>
          </cell>
          <cell r="C1138" t="str">
            <v>MARGIN NATURE LOAN</v>
          </cell>
          <cell r="D1138">
            <v>1</v>
          </cell>
          <cell r="E1138">
            <v>0</v>
          </cell>
        </row>
        <row r="1139">
          <cell r="A1139">
            <v>1129</v>
          </cell>
          <cell r="B1139">
            <v>3</v>
          </cell>
          <cell r="C1139" t="str">
            <v>HIRE PURCHASE LOAN</v>
          </cell>
          <cell r="D1139">
            <v>1</v>
          </cell>
          <cell r="E1139">
            <v>0.23241507786776922</v>
          </cell>
        </row>
        <row r="1140">
          <cell r="A1140">
            <v>1130</v>
          </cell>
          <cell r="B1140">
            <v>3</v>
          </cell>
          <cell r="C1140" t="str">
            <v>DEPRIVED SECTOR LOAN</v>
          </cell>
          <cell r="D1140">
            <v>1</v>
          </cell>
          <cell r="E1140">
            <v>5.2367875487701027E-2</v>
          </cell>
        </row>
        <row r="1141">
          <cell r="A1141">
            <v>1131</v>
          </cell>
          <cell r="B1141">
            <v>3</v>
          </cell>
          <cell r="C1141" t="str">
            <v>EDUCATIONAL LOAN</v>
          </cell>
          <cell r="D1141">
            <v>1</v>
          </cell>
          <cell r="E1141">
            <v>0</v>
          </cell>
        </row>
        <row r="1142">
          <cell r="A1142">
            <v>1132</v>
          </cell>
          <cell r="B1142">
            <v>3</v>
          </cell>
          <cell r="C1142" t="str">
            <v>AGRICULTURE LOAN</v>
          </cell>
          <cell r="D1142">
            <v>1</v>
          </cell>
          <cell r="E1142">
            <v>4.0932002031314904E-2</v>
          </cell>
        </row>
        <row r="1143">
          <cell r="A1143">
            <v>1133</v>
          </cell>
          <cell r="B1143">
            <v>3</v>
          </cell>
          <cell r="C1143" t="str">
            <v>RESI PER.HOME-EMI</v>
          </cell>
          <cell r="D1143">
            <v>1</v>
          </cell>
          <cell r="E1143">
            <v>7.5688361541651553E-3</v>
          </cell>
        </row>
        <row r="1144">
          <cell r="A1144">
            <v>1134</v>
          </cell>
          <cell r="B1144">
            <v>3</v>
          </cell>
          <cell r="C1144" t="str">
            <v>TERM LOAN - BUSINESS</v>
          </cell>
          <cell r="D1144">
            <v>1</v>
          </cell>
          <cell r="E1144">
            <v>0</v>
          </cell>
        </row>
        <row r="1145">
          <cell r="A1145">
            <v>1135</v>
          </cell>
          <cell r="B1145">
            <v>3</v>
          </cell>
          <cell r="C1145" t="str">
            <v>CONS FIN BUSN TRM LO</v>
          </cell>
          <cell r="D1145">
            <v>1</v>
          </cell>
          <cell r="E1145">
            <v>0</v>
          </cell>
        </row>
        <row r="1146">
          <cell r="A1146">
            <v>1136</v>
          </cell>
          <cell r="B1146">
            <v>3</v>
          </cell>
          <cell r="C1146" t="str">
            <v>BIS/PERHIRE PURCHASE</v>
          </cell>
          <cell r="D1146">
            <v>1</v>
          </cell>
          <cell r="E1146">
            <v>6.4018522168271294E-2</v>
          </cell>
        </row>
        <row r="1147">
          <cell r="A1147">
            <v>1137</v>
          </cell>
          <cell r="B1147">
            <v>3</v>
          </cell>
          <cell r="C1147" t="str">
            <v xml:space="preserve">INT CAP TERM LOAN </v>
          </cell>
          <cell r="D1147">
            <v>1</v>
          </cell>
          <cell r="E1147">
            <v>0</v>
          </cell>
        </row>
        <row r="1148">
          <cell r="A1148">
            <v>1138</v>
          </cell>
          <cell r="B1148">
            <v>3</v>
          </cell>
          <cell r="C1148" t="str">
            <v>PERSONAL LOAN</v>
          </cell>
          <cell r="D1148">
            <v>1</v>
          </cell>
          <cell r="E1148">
            <v>3.9767892250170134E-2</v>
          </cell>
        </row>
        <row r="1149">
          <cell r="A1149">
            <v>1139</v>
          </cell>
          <cell r="B1149">
            <v>3</v>
          </cell>
          <cell r="C1149" t="str">
            <v>MORTGAGE LOAN</v>
          </cell>
          <cell r="D1149">
            <v>1</v>
          </cell>
          <cell r="E1149">
            <v>0</v>
          </cell>
        </row>
        <row r="1150">
          <cell r="A1150">
            <v>1140</v>
          </cell>
          <cell r="B1150">
            <v>3</v>
          </cell>
          <cell r="C1150" t="str">
            <v>LOAN AGAINST FDR</v>
          </cell>
          <cell r="D1150">
            <v>1</v>
          </cell>
          <cell r="E1150">
            <v>0</v>
          </cell>
        </row>
        <row r="1151">
          <cell r="A1151">
            <v>1141</v>
          </cell>
          <cell r="B1151">
            <v>3</v>
          </cell>
          <cell r="C1151" t="str">
            <v>RECEIVABLE LOAN</v>
          </cell>
          <cell r="D1151">
            <v>1</v>
          </cell>
          <cell r="E1151">
            <v>0</v>
          </cell>
        </row>
        <row r="1152">
          <cell r="A1152">
            <v>1142</v>
          </cell>
          <cell r="B1152">
            <v>3</v>
          </cell>
          <cell r="C1152" t="str">
            <v>STAFF LOAN</v>
          </cell>
          <cell r="D1152">
            <v>1</v>
          </cell>
          <cell r="E1152">
            <v>0</v>
          </cell>
        </row>
        <row r="1153">
          <cell r="A1153">
            <v>1143</v>
          </cell>
          <cell r="B1153">
            <v>3</v>
          </cell>
          <cell r="C1153" t="str">
            <v>AGRICULTURAL LOAN</v>
          </cell>
          <cell r="D1153">
            <v>1</v>
          </cell>
          <cell r="E1153">
            <v>0</v>
          </cell>
        </row>
        <row r="1154">
          <cell r="A1154">
            <v>1144</v>
          </cell>
          <cell r="B1154">
            <v>3</v>
          </cell>
          <cell r="C1154" t="str">
            <v>EARTHQUAKE RELIEF LO</v>
          </cell>
          <cell r="D1154">
            <v>1</v>
          </cell>
          <cell r="E1154">
            <v>0.10079252872560128</v>
          </cell>
        </row>
        <row r="1155">
          <cell r="A1155">
            <v>1145</v>
          </cell>
          <cell r="B1155">
            <v>3</v>
          </cell>
          <cell r="C1155" t="str">
            <v>TOURISM SECTOR LOAN</v>
          </cell>
          <cell r="D1155">
            <v>1</v>
          </cell>
          <cell r="E1155">
            <v>0</v>
          </cell>
        </row>
        <row r="1156">
          <cell r="A1156">
            <v>1146</v>
          </cell>
          <cell r="B1156">
            <v>3</v>
          </cell>
          <cell r="C1156" t="str">
            <v>SME LOAN</v>
          </cell>
          <cell r="D1156">
            <v>1</v>
          </cell>
          <cell r="E1156">
            <v>0</v>
          </cell>
        </row>
        <row r="1157">
          <cell r="A1157">
            <v>1147</v>
          </cell>
          <cell r="B1157">
            <v>3</v>
          </cell>
          <cell r="C1157" t="str">
            <v>EDUCATIONAL LOAN EMI</v>
          </cell>
          <cell r="D1157">
            <v>1</v>
          </cell>
          <cell r="E1157">
            <v>0</v>
          </cell>
        </row>
        <row r="1158">
          <cell r="A1158">
            <v>1148</v>
          </cell>
          <cell r="B1158">
            <v>3</v>
          </cell>
          <cell r="C1158" t="str">
            <v>OVERDRAFT PROFESSION</v>
          </cell>
          <cell r="D1158">
            <v>1</v>
          </cell>
          <cell r="E1158">
            <v>0</v>
          </cell>
        </row>
        <row r="1159">
          <cell r="A1159">
            <v>1149</v>
          </cell>
          <cell r="B1159">
            <v>3</v>
          </cell>
          <cell r="C1159" t="str">
            <v>OD PERSONAL LOAN</v>
          </cell>
          <cell r="D1159">
            <v>2</v>
          </cell>
          <cell r="E1159">
            <v>0</v>
          </cell>
        </row>
        <row r="1160">
          <cell r="A1160">
            <v>1150</v>
          </cell>
          <cell r="B1160">
            <v>3</v>
          </cell>
          <cell r="C1160" t="str">
            <v>OD BUSINESS LOAN</v>
          </cell>
          <cell r="D1160">
            <v>2</v>
          </cell>
          <cell r="E1160">
            <v>0</v>
          </cell>
        </row>
        <row r="1161">
          <cell r="A1161">
            <v>1151</v>
          </cell>
          <cell r="B1161">
            <v>3</v>
          </cell>
          <cell r="C1161" t="str">
            <v>OD STAFF LOAN</v>
          </cell>
          <cell r="D1161">
            <v>2</v>
          </cell>
          <cell r="E1161">
            <v>0</v>
          </cell>
        </row>
        <row r="1162">
          <cell r="A1162">
            <v>1152</v>
          </cell>
          <cell r="B1162">
            <v>3</v>
          </cell>
          <cell r="C1162" t="str">
            <v>TERM LOAN</v>
          </cell>
          <cell r="D1162">
            <v>2</v>
          </cell>
          <cell r="E1162">
            <v>0.11667046438470513</v>
          </cell>
        </row>
        <row r="1163">
          <cell r="A1163">
            <v>1153</v>
          </cell>
          <cell r="B1163">
            <v>3</v>
          </cell>
          <cell r="C1163" t="str">
            <v>WC TRADING/IND LOAN</v>
          </cell>
          <cell r="D1163">
            <v>2</v>
          </cell>
          <cell r="E1163">
            <v>0.20516999905559674</v>
          </cell>
        </row>
        <row r="1164">
          <cell r="A1164">
            <v>1154</v>
          </cell>
          <cell r="B1164">
            <v>3</v>
          </cell>
          <cell r="C1164" t="str">
            <v>HOUSING LOAN</v>
          </cell>
          <cell r="D1164">
            <v>2</v>
          </cell>
          <cell r="E1164">
            <v>0.17447604061175809</v>
          </cell>
        </row>
        <row r="1165">
          <cell r="A1165">
            <v>1155</v>
          </cell>
          <cell r="B1165">
            <v>3</v>
          </cell>
          <cell r="C1165" t="str">
            <v>RESI REAL EST LOAN</v>
          </cell>
          <cell r="D1165">
            <v>2</v>
          </cell>
          <cell r="E1165">
            <v>0</v>
          </cell>
        </row>
        <row r="1166">
          <cell r="A1166">
            <v>1156</v>
          </cell>
          <cell r="B1166">
            <v>3</v>
          </cell>
          <cell r="C1166" t="str">
            <v>MARGIN NATURE LOAN</v>
          </cell>
          <cell r="D1166">
            <v>2</v>
          </cell>
          <cell r="E1166">
            <v>0</v>
          </cell>
        </row>
        <row r="1167">
          <cell r="A1167">
            <v>1157</v>
          </cell>
          <cell r="B1167">
            <v>3</v>
          </cell>
          <cell r="C1167" t="str">
            <v>HIRE PURCHASE LOAN</v>
          </cell>
          <cell r="D1167">
            <v>2</v>
          </cell>
          <cell r="E1167">
            <v>0.33933650026515905</v>
          </cell>
        </row>
        <row r="1168">
          <cell r="A1168">
            <v>1158</v>
          </cell>
          <cell r="B1168">
            <v>3</v>
          </cell>
          <cell r="C1168" t="str">
            <v>DEPRIVED SECTOR LOAN</v>
          </cell>
          <cell r="D1168">
            <v>2</v>
          </cell>
          <cell r="E1168">
            <v>0.28242228603916514</v>
          </cell>
        </row>
        <row r="1169">
          <cell r="A1169">
            <v>1159</v>
          </cell>
          <cell r="B1169">
            <v>3</v>
          </cell>
          <cell r="C1169" t="str">
            <v>EDUCATIONAL LOAN</v>
          </cell>
          <cell r="D1169">
            <v>2</v>
          </cell>
          <cell r="E1169">
            <v>0</v>
          </cell>
        </row>
        <row r="1170">
          <cell r="A1170">
            <v>1160</v>
          </cell>
          <cell r="B1170">
            <v>3</v>
          </cell>
          <cell r="C1170" t="str">
            <v>AGRICULTURE LOAN</v>
          </cell>
          <cell r="D1170">
            <v>2</v>
          </cell>
          <cell r="E1170">
            <v>0.27985055713204016</v>
          </cell>
        </row>
        <row r="1171">
          <cell r="A1171">
            <v>1161</v>
          </cell>
          <cell r="B1171">
            <v>3</v>
          </cell>
          <cell r="C1171" t="str">
            <v>RESI PER.HOME-EMI</v>
          </cell>
          <cell r="D1171">
            <v>2</v>
          </cell>
          <cell r="E1171">
            <v>6.2771966731312856E-3</v>
          </cell>
        </row>
        <row r="1172">
          <cell r="A1172">
            <v>1162</v>
          </cell>
          <cell r="B1172">
            <v>3</v>
          </cell>
          <cell r="C1172" t="str">
            <v>TERM LOAN - BUSINESS</v>
          </cell>
          <cell r="D1172">
            <v>2</v>
          </cell>
          <cell r="E1172">
            <v>0</v>
          </cell>
        </row>
        <row r="1173">
          <cell r="A1173">
            <v>1163</v>
          </cell>
          <cell r="B1173">
            <v>3</v>
          </cell>
          <cell r="C1173" t="str">
            <v>CONS FIN BUSN TRM LO</v>
          </cell>
          <cell r="D1173">
            <v>2</v>
          </cell>
          <cell r="E1173">
            <v>0</v>
          </cell>
        </row>
        <row r="1174">
          <cell r="A1174">
            <v>1164</v>
          </cell>
          <cell r="B1174">
            <v>3</v>
          </cell>
          <cell r="C1174" t="str">
            <v>BIS/PERHIRE PURCHASE</v>
          </cell>
          <cell r="D1174">
            <v>2</v>
          </cell>
          <cell r="E1174">
            <v>3.2527184581830529E-2</v>
          </cell>
        </row>
        <row r="1175">
          <cell r="A1175">
            <v>1165</v>
          </cell>
          <cell r="B1175">
            <v>3</v>
          </cell>
          <cell r="C1175" t="str">
            <v xml:space="preserve">INT CAP TERM LOAN </v>
          </cell>
          <cell r="D1175">
            <v>2</v>
          </cell>
          <cell r="E1175">
            <v>0</v>
          </cell>
        </row>
        <row r="1176">
          <cell r="A1176">
            <v>1166</v>
          </cell>
          <cell r="B1176">
            <v>3</v>
          </cell>
          <cell r="C1176" t="str">
            <v>PERSONAL LOAN</v>
          </cell>
          <cell r="D1176">
            <v>2</v>
          </cell>
          <cell r="E1176">
            <v>4.5748650928464932E-2</v>
          </cell>
        </row>
        <row r="1177">
          <cell r="A1177">
            <v>1167</v>
          </cell>
          <cell r="B1177">
            <v>3</v>
          </cell>
          <cell r="C1177" t="str">
            <v>MORTGAGE LOAN</v>
          </cell>
          <cell r="D1177">
            <v>2</v>
          </cell>
          <cell r="E1177">
            <v>0</v>
          </cell>
        </row>
        <row r="1178">
          <cell r="A1178">
            <v>1168</v>
          </cell>
          <cell r="B1178">
            <v>3</v>
          </cell>
          <cell r="C1178" t="str">
            <v>LOAN AGAINST FDR</v>
          </cell>
          <cell r="D1178">
            <v>2</v>
          </cell>
          <cell r="E1178">
            <v>0</v>
          </cell>
        </row>
        <row r="1179">
          <cell r="A1179">
            <v>1169</v>
          </cell>
          <cell r="B1179">
            <v>3</v>
          </cell>
          <cell r="C1179" t="str">
            <v>RECEIVABLE LOAN</v>
          </cell>
          <cell r="D1179">
            <v>2</v>
          </cell>
          <cell r="E1179">
            <v>0</v>
          </cell>
        </row>
        <row r="1180">
          <cell r="A1180">
            <v>1170</v>
          </cell>
          <cell r="B1180">
            <v>3</v>
          </cell>
          <cell r="C1180" t="str">
            <v>STAFF LOAN</v>
          </cell>
          <cell r="D1180">
            <v>2</v>
          </cell>
          <cell r="E1180">
            <v>1</v>
          </cell>
        </row>
        <row r="1181">
          <cell r="A1181">
            <v>1171</v>
          </cell>
          <cell r="B1181">
            <v>3</v>
          </cell>
          <cell r="C1181" t="str">
            <v>AGRICULTURAL LOAN</v>
          </cell>
          <cell r="D1181">
            <v>2</v>
          </cell>
          <cell r="E1181">
            <v>0</v>
          </cell>
        </row>
        <row r="1182">
          <cell r="A1182">
            <v>1172</v>
          </cell>
          <cell r="B1182">
            <v>3</v>
          </cell>
          <cell r="C1182" t="str">
            <v>EARTHQUAKE RELIEF LO</v>
          </cell>
          <cell r="D1182">
            <v>2</v>
          </cell>
          <cell r="E1182">
            <v>0</v>
          </cell>
        </row>
        <row r="1183">
          <cell r="A1183">
            <v>1173</v>
          </cell>
          <cell r="B1183">
            <v>3</v>
          </cell>
          <cell r="C1183" t="str">
            <v>TOURISM SECTOR LOAN</v>
          </cell>
          <cell r="D1183">
            <v>2</v>
          </cell>
          <cell r="E1183">
            <v>0</v>
          </cell>
        </row>
        <row r="1184">
          <cell r="A1184">
            <v>1174</v>
          </cell>
          <cell r="B1184">
            <v>3</v>
          </cell>
          <cell r="C1184" t="str">
            <v>SME LOAN</v>
          </cell>
          <cell r="D1184">
            <v>2</v>
          </cell>
          <cell r="E1184">
            <v>0</v>
          </cell>
        </row>
        <row r="1185">
          <cell r="A1185">
            <v>1175</v>
          </cell>
          <cell r="B1185">
            <v>3</v>
          </cell>
          <cell r="C1185" t="str">
            <v>EDUCATIONAL LOAN EMI</v>
          </cell>
          <cell r="D1185">
            <v>2</v>
          </cell>
          <cell r="E1185">
            <v>0</v>
          </cell>
        </row>
        <row r="1186">
          <cell r="A1186">
            <v>1176</v>
          </cell>
          <cell r="B1186">
            <v>3</v>
          </cell>
          <cell r="C1186" t="str">
            <v>OVERDRAFT PROFESSION</v>
          </cell>
          <cell r="D1186">
            <v>2</v>
          </cell>
          <cell r="E1186">
            <v>0</v>
          </cell>
        </row>
        <row r="1187">
          <cell r="A1187">
            <v>1177</v>
          </cell>
          <cell r="B1187">
            <v>2</v>
          </cell>
          <cell r="C1187" t="str">
            <v>OD PERSONAL LOAN</v>
          </cell>
          <cell r="D1187">
            <v>1</v>
          </cell>
          <cell r="E1187">
            <v>0</v>
          </cell>
        </row>
        <row r="1188">
          <cell r="A1188">
            <v>1178</v>
          </cell>
          <cell r="B1188">
            <v>2</v>
          </cell>
          <cell r="C1188" t="str">
            <v>OD BUSINESS LOAN</v>
          </cell>
          <cell r="D1188">
            <v>1</v>
          </cell>
          <cell r="E1188">
            <v>0</v>
          </cell>
        </row>
        <row r="1189">
          <cell r="A1189">
            <v>1179</v>
          </cell>
          <cell r="B1189">
            <v>2</v>
          </cell>
          <cell r="C1189" t="str">
            <v>OD STAFF LOAN</v>
          </cell>
          <cell r="D1189">
            <v>1</v>
          </cell>
          <cell r="E1189">
            <v>0</v>
          </cell>
        </row>
        <row r="1190">
          <cell r="A1190">
            <v>1180</v>
          </cell>
          <cell r="B1190">
            <v>2</v>
          </cell>
          <cell r="C1190" t="str">
            <v>TERM LOAN</v>
          </cell>
          <cell r="D1190">
            <v>1</v>
          </cell>
          <cell r="E1190">
            <v>0.10318510147869309</v>
          </cell>
        </row>
        <row r="1191">
          <cell r="A1191">
            <v>1181</v>
          </cell>
          <cell r="B1191">
            <v>2</v>
          </cell>
          <cell r="C1191" t="str">
            <v>WC TRADING/IND LOAN</v>
          </cell>
          <cell r="D1191">
            <v>1</v>
          </cell>
          <cell r="E1191">
            <v>0.10200789574830908</v>
          </cell>
        </row>
        <row r="1192">
          <cell r="A1192">
            <v>1182</v>
          </cell>
          <cell r="B1192">
            <v>2</v>
          </cell>
          <cell r="C1192" t="str">
            <v>HOUSING LOAN</v>
          </cell>
          <cell r="D1192">
            <v>1</v>
          </cell>
          <cell r="E1192">
            <v>0.20184346817598631</v>
          </cell>
        </row>
        <row r="1193">
          <cell r="A1193">
            <v>1183</v>
          </cell>
          <cell r="B1193">
            <v>2</v>
          </cell>
          <cell r="C1193" t="str">
            <v>RESI REAL EST LOAN</v>
          </cell>
          <cell r="D1193">
            <v>1</v>
          </cell>
          <cell r="E1193">
            <v>0.14317946240956256</v>
          </cell>
        </row>
        <row r="1194">
          <cell r="A1194">
            <v>1184</v>
          </cell>
          <cell r="B1194">
            <v>2</v>
          </cell>
          <cell r="C1194" t="str">
            <v>MARGIN NATURE LOAN</v>
          </cell>
          <cell r="D1194">
            <v>1</v>
          </cell>
          <cell r="E1194">
            <v>0</v>
          </cell>
        </row>
        <row r="1195">
          <cell r="A1195">
            <v>1185</v>
          </cell>
          <cell r="B1195">
            <v>2</v>
          </cell>
          <cell r="C1195" t="str">
            <v>HIRE PURCHASE LOAN</v>
          </cell>
          <cell r="D1195">
            <v>1</v>
          </cell>
          <cell r="E1195">
            <v>0.44105219018821551</v>
          </cell>
        </row>
        <row r="1196">
          <cell r="A1196">
            <v>1186</v>
          </cell>
          <cell r="B1196">
            <v>2</v>
          </cell>
          <cell r="C1196" t="str">
            <v>DEPRIVED SECTOR LOAN</v>
          </cell>
          <cell r="D1196">
            <v>1</v>
          </cell>
          <cell r="E1196">
            <v>8.4225613360312084E-3</v>
          </cell>
        </row>
        <row r="1197">
          <cell r="A1197">
            <v>1187</v>
          </cell>
          <cell r="B1197">
            <v>2</v>
          </cell>
          <cell r="C1197" t="str">
            <v>EDUCATIONAL LOAN</v>
          </cell>
          <cell r="D1197">
            <v>1</v>
          </cell>
          <cell r="E1197">
            <v>0.17237456741440149</v>
          </cell>
        </row>
        <row r="1198">
          <cell r="A1198">
            <v>1188</v>
          </cell>
          <cell r="B1198">
            <v>2</v>
          </cell>
          <cell r="C1198" t="str">
            <v>AGRICULTURE LOAN</v>
          </cell>
          <cell r="D1198">
            <v>1</v>
          </cell>
          <cell r="E1198">
            <v>0.19674323263436283</v>
          </cell>
        </row>
        <row r="1199">
          <cell r="A1199">
            <v>1189</v>
          </cell>
          <cell r="B1199">
            <v>2</v>
          </cell>
          <cell r="C1199" t="str">
            <v>RESI PER.HOME-EMI</v>
          </cell>
          <cell r="D1199">
            <v>1</v>
          </cell>
          <cell r="E1199">
            <v>0</v>
          </cell>
        </row>
        <row r="1200">
          <cell r="A1200">
            <v>1190</v>
          </cell>
          <cell r="B1200">
            <v>2</v>
          </cell>
          <cell r="C1200" t="str">
            <v>TERM LOAN - BUSINESS</v>
          </cell>
          <cell r="D1200">
            <v>1</v>
          </cell>
          <cell r="E1200">
            <v>0</v>
          </cell>
        </row>
        <row r="1201">
          <cell r="A1201">
            <v>1191</v>
          </cell>
          <cell r="B1201">
            <v>2</v>
          </cell>
          <cell r="C1201" t="str">
            <v>CONS FIN BUSN TRM LO</v>
          </cell>
          <cell r="D1201">
            <v>1</v>
          </cell>
          <cell r="E1201">
            <v>0</v>
          </cell>
        </row>
        <row r="1202">
          <cell r="A1202">
            <v>1192</v>
          </cell>
          <cell r="B1202">
            <v>2</v>
          </cell>
          <cell r="C1202" t="str">
            <v>BIS/PERHIRE PURCHASE</v>
          </cell>
          <cell r="D1202">
            <v>1</v>
          </cell>
          <cell r="E1202">
            <v>0</v>
          </cell>
        </row>
        <row r="1203">
          <cell r="A1203">
            <v>1193</v>
          </cell>
          <cell r="B1203">
            <v>2</v>
          </cell>
          <cell r="C1203" t="str">
            <v xml:space="preserve">INT CAP TERM LOAN </v>
          </cell>
          <cell r="D1203">
            <v>1</v>
          </cell>
          <cell r="E1203">
            <v>0</v>
          </cell>
        </row>
        <row r="1204">
          <cell r="A1204">
            <v>1194</v>
          </cell>
          <cell r="B1204">
            <v>2</v>
          </cell>
          <cell r="C1204" t="str">
            <v>PERSONAL LOAN</v>
          </cell>
          <cell r="D1204">
            <v>1</v>
          </cell>
          <cell r="E1204">
            <v>0.15527119420527552</v>
          </cell>
        </row>
        <row r="1205">
          <cell r="A1205">
            <v>1195</v>
          </cell>
          <cell r="B1205">
            <v>2</v>
          </cell>
          <cell r="C1205" t="str">
            <v>MORTGAGE LOAN</v>
          </cell>
          <cell r="D1205">
            <v>1</v>
          </cell>
          <cell r="E1205">
            <v>0</v>
          </cell>
        </row>
        <row r="1206">
          <cell r="A1206">
            <v>1196</v>
          </cell>
          <cell r="B1206">
            <v>2</v>
          </cell>
          <cell r="C1206" t="str">
            <v>LOAN AGAINST FDR</v>
          </cell>
          <cell r="D1206">
            <v>1</v>
          </cell>
          <cell r="E1206">
            <v>0</v>
          </cell>
        </row>
        <row r="1207">
          <cell r="A1207">
            <v>1197</v>
          </cell>
          <cell r="B1207">
            <v>2</v>
          </cell>
          <cell r="C1207" t="str">
            <v>RECEIVABLE LOAN</v>
          </cell>
          <cell r="D1207">
            <v>1</v>
          </cell>
          <cell r="E1207">
            <v>0</v>
          </cell>
        </row>
        <row r="1208">
          <cell r="A1208">
            <v>1198</v>
          </cell>
          <cell r="B1208">
            <v>2</v>
          </cell>
          <cell r="C1208" t="str">
            <v>STAFF LOAN</v>
          </cell>
          <cell r="D1208">
            <v>1</v>
          </cell>
          <cell r="E1208">
            <v>0</v>
          </cell>
        </row>
        <row r="1209">
          <cell r="A1209">
            <v>1199</v>
          </cell>
          <cell r="B1209">
            <v>2</v>
          </cell>
          <cell r="C1209" t="str">
            <v>AGRICULTURAL LOAN</v>
          </cell>
          <cell r="D1209">
            <v>1</v>
          </cell>
          <cell r="E1209">
            <v>0</v>
          </cell>
        </row>
        <row r="1210">
          <cell r="A1210">
            <v>1200</v>
          </cell>
          <cell r="B1210">
            <v>2</v>
          </cell>
          <cell r="C1210" t="str">
            <v>EARTHQUAKE RELIEF LO</v>
          </cell>
          <cell r="D1210">
            <v>1</v>
          </cell>
          <cell r="E1210">
            <v>0</v>
          </cell>
        </row>
        <row r="1211">
          <cell r="A1211">
            <v>1201</v>
          </cell>
          <cell r="B1211">
            <v>2</v>
          </cell>
          <cell r="C1211" t="str">
            <v>TOURISM SECTOR LOAN</v>
          </cell>
          <cell r="D1211">
            <v>1</v>
          </cell>
          <cell r="E1211">
            <v>0</v>
          </cell>
        </row>
        <row r="1212">
          <cell r="A1212">
            <v>1202</v>
          </cell>
          <cell r="B1212">
            <v>2</v>
          </cell>
          <cell r="C1212" t="str">
            <v>SME LOAN</v>
          </cell>
          <cell r="D1212">
            <v>1</v>
          </cell>
          <cell r="E1212">
            <v>0</v>
          </cell>
        </row>
        <row r="1213">
          <cell r="A1213">
            <v>1203</v>
          </cell>
          <cell r="B1213">
            <v>2</v>
          </cell>
          <cell r="C1213" t="str">
            <v>EDUCATIONAL LOAN EMI</v>
          </cell>
          <cell r="D1213">
            <v>1</v>
          </cell>
          <cell r="E1213">
            <v>0</v>
          </cell>
        </row>
        <row r="1214">
          <cell r="A1214">
            <v>1204</v>
          </cell>
          <cell r="B1214">
            <v>2</v>
          </cell>
          <cell r="C1214" t="str">
            <v>OVERDRAFT PROFESSION</v>
          </cell>
          <cell r="D1214">
            <v>1</v>
          </cell>
          <cell r="E1214">
            <v>0</v>
          </cell>
        </row>
        <row r="1215">
          <cell r="A1215">
            <v>1205</v>
          </cell>
          <cell r="B1215">
            <v>2</v>
          </cell>
          <cell r="C1215" t="str">
            <v>OD PERSONAL LOAN</v>
          </cell>
          <cell r="D1215">
            <v>2</v>
          </cell>
          <cell r="E1215">
            <v>0</v>
          </cell>
        </row>
        <row r="1216">
          <cell r="A1216">
            <v>1206</v>
          </cell>
          <cell r="B1216">
            <v>2</v>
          </cell>
          <cell r="C1216" t="str">
            <v>OD BUSINESS LOAN</v>
          </cell>
          <cell r="D1216">
            <v>2</v>
          </cell>
          <cell r="E1216">
            <v>0</v>
          </cell>
        </row>
        <row r="1217">
          <cell r="A1217">
            <v>1207</v>
          </cell>
          <cell r="B1217">
            <v>2</v>
          </cell>
          <cell r="C1217" t="str">
            <v>OD STAFF LOAN</v>
          </cell>
          <cell r="D1217">
            <v>2</v>
          </cell>
          <cell r="E1217">
            <v>0</v>
          </cell>
        </row>
        <row r="1218">
          <cell r="A1218">
            <v>1208</v>
          </cell>
          <cell r="B1218">
            <v>2</v>
          </cell>
          <cell r="C1218" t="str">
            <v>TERM LOAN</v>
          </cell>
          <cell r="D1218">
            <v>2</v>
          </cell>
          <cell r="E1218">
            <v>8.6867790610057449E-2</v>
          </cell>
        </row>
        <row r="1219">
          <cell r="A1219">
            <v>1209</v>
          </cell>
          <cell r="B1219">
            <v>2</v>
          </cell>
          <cell r="C1219" t="str">
            <v>WC TRADING/IND LOAN</v>
          </cell>
          <cell r="D1219">
            <v>2</v>
          </cell>
          <cell r="E1219">
            <v>0.12158941699327329</v>
          </cell>
        </row>
        <row r="1220">
          <cell r="A1220">
            <v>1210</v>
          </cell>
          <cell r="B1220">
            <v>2</v>
          </cell>
          <cell r="C1220" t="str">
            <v>HOUSING LOAN</v>
          </cell>
          <cell r="D1220">
            <v>2</v>
          </cell>
          <cell r="E1220">
            <v>0.43453210967394623</v>
          </cell>
        </row>
        <row r="1221">
          <cell r="A1221">
            <v>1211</v>
          </cell>
          <cell r="B1221">
            <v>2</v>
          </cell>
          <cell r="C1221" t="str">
            <v>RESI REAL EST LOAN</v>
          </cell>
          <cell r="D1221">
            <v>2</v>
          </cell>
          <cell r="E1221">
            <v>0.96497881521454287</v>
          </cell>
        </row>
        <row r="1222">
          <cell r="A1222">
            <v>1212</v>
          </cell>
          <cell r="B1222">
            <v>2</v>
          </cell>
          <cell r="C1222" t="str">
            <v>MARGIN NATURE LOAN</v>
          </cell>
          <cell r="D1222">
            <v>2</v>
          </cell>
          <cell r="E1222">
            <v>0</v>
          </cell>
        </row>
        <row r="1223">
          <cell r="A1223">
            <v>1213</v>
          </cell>
          <cell r="B1223">
            <v>2</v>
          </cell>
          <cell r="C1223" t="str">
            <v>HIRE PURCHASE LOAN</v>
          </cell>
          <cell r="D1223">
            <v>2</v>
          </cell>
          <cell r="E1223">
            <v>0.57071945360860055</v>
          </cell>
        </row>
        <row r="1224">
          <cell r="A1224">
            <v>1214</v>
          </cell>
          <cell r="B1224">
            <v>2</v>
          </cell>
          <cell r="C1224" t="str">
            <v>DEPRIVED SECTOR LOAN</v>
          </cell>
          <cell r="D1224">
            <v>2</v>
          </cell>
          <cell r="E1224">
            <v>8.0443879803218806E-5</v>
          </cell>
        </row>
        <row r="1225">
          <cell r="A1225">
            <v>1215</v>
          </cell>
          <cell r="B1225">
            <v>2</v>
          </cell>
          <cell r="C1225" t="str">
            <v>EDUCATIONAL LOAN</v>
          </cell>
          <cell r="D1225">
            <v>2</v>
          </cell>
          <cell r="E1225">
            <v>0.33628023982630956</v>
          </cell>
        </row>
        <row r="1226">
          <cell r="A1226">
            <v>1216</v>
          </cell>
          <cell r="B1226">
            <v>2</v>
          </cell>
          <cell r="C1226" t="str">
            <v>AGRICULTURE LOAN</v>
          </cell>
          <cell r="D1226">
            <v>2</v>
          </cell>
          <cell r="E1226">
            <v>0.5283551432546687</v>
          </cell>
        </row>
        <row r="1227">
          <cell r="A1227">
            <v>1217</v>
          </cell>
          <cell r="B1227">
            <v>2</v>
          </cell>
          <cell r="C1227" t="str">
            <v>RESI PER.HOME-EMI</v>
          </cell>
          <cell r="D1227">
            <v>2</v>
          </cell>
          <cell r="E1227">
            <v>0</v>
          </cell>
        </row>
        <row r="1228">
          <cell r="A1228">
            <v>1218</v>
          </cell>
          <cell r="B1228">
            <v>2</v>
          </cell>
          <cell r="C1228" t="str">
            <v>TERM LOAN - BUSINESS</v>
          </cell>
          <cell r="D1228">
            <v>2</v>
          </cell>
          <cell r="E1228">
            <v>0</v>
          </cell>
        </row>
        <row r="1229">
          <cell r="A1229">
            <v>1219</v>
          </cell>
          <cell r="B1229">
            <v>2</v>
          </cell>
          <cell r="C1229" t="str">
            <v>CONS FIN BUSN TRM LO</v>
          </cell>
          <cell r="D1229">
            <v>2</v>
          </cell>
          <cell r="E1229">
            <v>0</v>
          </cell>
        </row>
        <row r="1230">
          <cell r="A1230">
            <v>1220</v>
          </cell>
          <cell r="B1230">
            <v>2</v>
          </cell>
          <cell r="C1230" t="str">
            <v>BIS/PERHIRE PURCHASE</v>
          </cell>
          <cell r="D1230">
            <v>2</v>
          </cell>
          <cell r="E1230">
            <v>0</v>
          </cell>
        </row>
        <row r="1231">
          <cell r="A1231">
            <v>1221</v>
          </cell>
          <cell r="B1231">
            <v>2</v>
          </cell>
          <cell r="C1231" t="str">
            <v xml:space="preserve">INT CAP TERM LOAN </v>
          </cell>
          <cell r="D1231">
            <v>2</v>
          </cell>
          <cell r="E1231">
            <v>0</v>
          </cell>
        </row>
        <row r="1232">
          <cell r="A1232">
            <v>1222</v>
          </cell>
          <cell r="B1232">
            <v>2</v>
          </cell>
          <cell r="C1232" t="str">
            <v>PERSONAL LOAN</v>
          </cell>
          <cell r="D1232">
            <v>2</v>
          </cell>
          <cell r="E1232">
            <v>0.17400665754775721</v>
          </cell>
        </row>
        <row r="1233">
          <cell r="A1233">
            <v>1223</v>
          </cell>
          <cell r="B1233">
            <v>2</v>
          </cell>
          <cell r="C1233" t="str">
            <v>MORTGAGE LOAN</v>
          </cell>
          <cell r="D1233">
            <v>2</v>
          </cell>
          <cell r="E1233">
            <v>0</v>
          </cell>
        </row>
        <row r="1234">
          <cell r="A1234">
            <v>1224</v>
          </cell>
          <cell r="B1234">
            <v>2</v>
          </cell>
          <cell r="C1234" t="str">
            <v>LOAN AGAINST FDR</v>
          </cell>
          <cell r="D1234">
            <v>2</v>
          </cell>
          <cell r="E1234">
            <v>0</v>
          </cell>
        </row>
        <row r="1235">
          <cell r="A1235">
            <v>1225</v>
          </cell>
          <cell r="B1235">
            <v>2</v>
          </cell>
          <cell r="C1235" t="str">
            <v>RECEIVABLE LOAN</v>
          </cell>
          <cell r="D1235">
            <v>2</v>
          </cell>
          <cell r="E1235">
            <v>0</v>
          </cell>
        </row>
        <row r="1236">
          <cell r="A1236">
            <v>1226</v>
          </cell>
          <cell r="B1236">
            <v>2</v>
          </cell>
          <cell r="C1236" t="str">
            <v>STAFF LOAN</v>
          </cell>
          <cell r="D1236">
            <v>2</v>
          </cell>
          <cell r="E1236">
            <v>0</v>
          </cell>
        </row>
        <row r="1237">
          <cell r="A1237">
            <v>1227</v>
          </cell>
          <cell r="B1237">
            <v>2</v>
          </cell>
          <cell r="C1237" t="str">
            <v>AGRICULTURAL LOAN</v>
          </cell>
          <cell r="D1237">
            <v>2</v>
          </cell>
          <cell r="E1237">
            <v>0</v>
          </cell>
        </row>
        <row r="1238">
          <cell r="A1238">
            <v>1228</v>
          </cell>
          <cell r="B1238">
            <v>2</v>
          </cell>
          <cell r="C1238" t="str">
            <v>EARTHQUAKE RELIEF LO</v>
          </cell>
          <cell r="D1238">
            <v>2</v>
          </cell>
          <cell r="E1238">
            <v>0</v>
          </cell>
        </row>
        <row r="1239">
          <cell r="A1239">
            <v>1229</v>
          </cell>
          <cell r="B1239">
            <v>2</v>
          </cell>
          <cell r="C1239" t="str">
            <v>TOURISM SECTOR LOAN</v>
          </cell>
          <cell r="D1239">
            <v>2</v>
          </cell>
          <cell r="E1239">
            <v>0</v>
          </cell>
        </row>
        <row r="1240">
          <cell r="A1240">
            <v>1230</v>
          </cell>
          <cell r="B1240">
            <v>2</v>
          </cell>
          <cell r="C1240" t="str">
            <v>SME LOAN</v>
          </cell>
          <cell r="D1240">
            <v>2</v>
          </cell>
          <cell r="E1240">
            <v>0</v>
          </cell>
        </row>
        <row r="1241">
          <cell r="A1241">
            <v>1231</v>
          </cell>
          <cell r="B1241">
            <v>2</v>
          </cell>
          <cell r="C1241" t="str">
            <v>EDUCATIONAL LOAN EMI</v>
          </cell>
          <cell r="D1241">
            <v>2</v>
          </cell>
          <cell r="E1241">
            <v>0</v>
          </cell>
        </row>
        <row r="1242">
          <cell r="A1242">
            <v>1232</v>
          </cell>
          <cell r="B1242">
            <v>2</v>
          </cell>
          <cell r="C1242" t="str">
            <v>OVERDRAFT PROFESSION</v>
          </cell>
          <cell r="D1242">
            <v>2</v>
          </cell>
          <cell r="E1242">
            <v>0</v>
          </cell>
        </row>
        <row r="1243">
          <cell r="A1243">
            <v>1233</v>
          </cell>
          <cell r="B1243">
            <v>1</v>
          </cell>
          <cell r="C1243" t="str">
            <v>OD PERSONAL LOAN</v>
          </cell>
          <cell r="D1243">
            <v>1</v>
          </cell>
          <cell r="E1243">
            <v>0</v>
          </cell>
        </row>
        <row r="1244">
          <cell r="A1244">
            <v>1234</v>
          </cell>
          <cell r="B1244">
            <v>1</v>
          </cell>
          <cell r="C1244" t="str">
            <v>OD BUSINESS LOAN</v>
          </cell>
          <cell r="D1244">
            <v>1</v>
          </cell>
          <cell r="E1244">
            <v>0</v>
          </cell>
        </row>
        <row r="1245">
          <cell r="A1245">
            <v>1235</v>
          </cell>
          <cell r="B1245">
            <v>1</v>
          </cell>
          <cell r="C1245" t="str">
            <v>OD STAFF LOAN</v>
          </cell>
          <cell r="D1245">
            <v>1</v>
          </cell>
          <cell r="E1245">
            <v>0</v>
          </cell>
        </row>
        <row r="1246">
          <cell r="A1246">
            <v>1236</v>
          </cell>
          <cell r="B1246">
            <v>1</v>
          </cell>
          <cell r="C1246" t="str">
            <v>TERM LOAN</v>
          </cell>
          <cell r="D1246">
            <v>1</v>
          </cell>
          <cell r="E1246">
            <v>0</v>
          </cell>
        </row>
        <row r="1247">
          <cell r="A1247">
            <v>1237</v>
          </cell>
          <cell r="B1247">
            <v>1</v>
          </cell>
          <cell r="C1247" t="str">
            <v>WC TRADING/IND LOAN</v>
          </cell>
          <cell r="D1247">
            <v>1</v>
          </cell>
          <cell r="E1247">
            <v>0</v>
          </cell>
        </row>
        <row r="1248">
          <cell r="A1248">
            <v>1238</v>
          </cell>
          <cell r="B1248">
            <v>1</v>
          </cell>
          <cell r="C1248" t="str">
            <v>HOUSING LOAN</v>
          </cell>
          <cell r="D1248">
            <v>1</v>
          </cell>
          <cell r="E1248">
            <v>0</v>
          </cell>
        </row>
        <row r="1249">
          <cell r="A1249">
            <v>1239</v>
          </cell>
          <cell r="B1249">
            <v>1</v>
          </cell>
          <cell r="C1249" t="str">
            <v>RESI REAL EST LOAN</v>
          </cell>
          <cell r="D1249">
            <v>1</v>
          </cell>
          <cell r="E1249">
            <v>0</v>
          </cell>
        </row>
        <row r="1250">
          <cell r="A1250">
            <v>1240</v>
          </cell>
          <cell r="B1250">
            <v>1</v>
          </cell>
          <cell r="C1250" t="str">
            <v>MARGIN NATURE LOAN</v>
          </cell>
          <cell r="D1250">
            <v>1</v>
          </cell>
          <cell r="E1250">
            <v>0</v>
          </cell>
        </row>
        <row r="1251">
          <cell r="A1251">
            <v>1241</v>
          </cell>
          <cell r="B1251">
            <v>1</v>
          </cell>
          <cell r="C1251" t="str">
            <v>HIRE PURCHASE LOAN</v>
          </cell>
          <cell r="D1251">
            <v>1</v>
          </cell>
          <cell r="E1251">
            <v>0</v>
          </cell>
        </row>
        <row r="1252">
          <cell r="A1252">
            <v>1242</v>
          </cell>
          <cell r="B1252">
            <v>1</v>
          </cell>
          <cell r="C1252" t="str">
            <v>DEPRIVED SECTOR LOAN</v>
          </cell>
          <cell r="D1252">
            <v>1</v>
          </cell>
          <cell r="E1252">
            <v>0</v>
          </cell>
        </row>
        <row r="1253">
          <cell r="A1253">
            <v>1243</v>
          </cell>
          <cell r="B1253">
            <v>1</v>
          </cell>
          <cell r="C1253" t="str">
            <v>EDUCATIONAL LOAN</v>
          </cell>
          <cell r="D1253">
            <v>1</v>
          </cell>
          <cell r="E1253">
            <v>0</v>
          </cell>
        </row>
        <row r="1254">
          <cell r="A1254">
            <v>1244</v>
          </cell>
          <cell r="B1254">
            <v>1</v>
          </cell>
          <cell r="C1254" t="str">
            <v>AGRICULTURE LOAN</v>
          </cell>
          <cell r="D1254">
            <v>1</v>
          </cell>
          <cell r="E1254">
            <v>0</v>
          </cell>
        </row>
        <row r="1255">
          <cell r="A1255">
            <v>1245</v>
          </cell>
          <cell r="B1255">
            <v>1</v>
          </cell>
          <cell r="C1255" t="str">
            <v>RESI PER.HOME-EMI</v>
          </cell>
          <cell r="D1255">
            <v>1</v>
          </cell>
          <cell r="E1255">
            <v>0</v>
          </cell>
        </row>
        <row r="1256">
          <cell r="A1256">
            <v>1246</v>
          </cell>
          <cell r="B1256">
            <v>1</v>
          </cell>
          <cell r="C1256" t="str">
            <v>TERM LOAN - BUSINESS</v>
          </cell>
          <cell r="D1256">
            <v>1</v>
          </cell>
          <cell r="E1256">
            <v>0</v>
          </cell>
        </row>
        <row r="1257">
          <cell r="A1257">
            <v>1247</v>
          </cell>
          <cell r="B1257">
            <v>1</v>
          </cell>
          <cell r="C1257" t="str">
            <v>CONS FIN BUSN TRM LO</v>
          </cell>
          <cell r="D1257">
            <v>1</v>
          </cell>
          <cell r="E1257">
            <v>0</v>
          </cell>
        </row>
        <row r="1258">
          <cell r="A1258">
            <v>1248</v>
          </cell>
          <cell r="B1258">
            <v>1</v>
          </cell>
          <cell r="C1258" t="str">
            <v>BIS/PERHIRE PURCHASE</v>
          </cell>
          <cell r="D1258">
            <v>1</v>
          </cell>
          <cell r="E1258">
            <v>0</v>
          </cell>
        </row>
        <row r="1259">
          <cell r="A1259">
            <v>1249</v>
          </cell>
          <cell r="B1259">
            <v>1</v>
          </cell>
          <cell r="C1259" t="str">
            <v xml:space="preserve">INT CAP TERM LOAN </v>
          </cell>
          <cell r="D1259">
            <v>1</v>
          </cell>
          <cell r="E1259">
            <v>0</v>
          </cell>
        </row>
        <row r="1260">
          <cell r="A1260">
            <v>1250</v>
          </cell>
          <cell r="B1260">
            <v>1</v>
          </cell>
          <cell r="C1260" t="str">
            <v>PERSONAL LOAN</v>
          </cell>
          <cell r="D1260">
            <v>1</v>
          </cell>
          <cell r="E1260">
            <v>0</v>
          </cell>
        </row>
        <row r="1261">
          <cell r="A1261">
            <v>1251</v>
          </cell>
          <cell r="B1261">
            <v>1</v>
          </cell>
          <cell r="C1261" t="str">
            <v>MORTGAGE LOAN</v>
          </cell>
          <cell r="D1261">
            <v>1</v>
          </cell>
          <cell r="E1261">
            <v>0</v>
          </cell>
        </row>
        <row r="1262">
          <cell r="A1262">
            <v>1252</v>
          </cell>
          <cell r="B1262">
            <v>1</v>
          </cell>
          <cell r="C1262" t="str">
            <v>LOAN AGAINST FDR</v>
          </cell>
          <cell r="D1262">
            <v>1</v>
          </cell>
          <cell r="E1262">
            <v>0</v>
          </cell>
        </row>
        <row r="1263">
          <cell r="A1263">
            <v>1253</v>
          </cell>
          <cell r="B1263">
            <v>1</v>
          </cell>
          <cell r="C1263" t="str">
            <v>RECEIVABLE LOAN</v>
          </cell>
          <cell r="D1263">
            <v>1</v>
          </cell>
          <cell r="E1263">
            <v>0</v>
          </cell>
        </row>
        <row r="1264">
          <cell r="A1264">
            <v>1254</v>
          </cell>
          <cell r="B1264">
            <v>1</v>
          </cell>
          <cell r="C1264" t="str">
            <v>STAFF LOAN</v>
          </cell>
          <cell r="D1264">
            <v>1</v>
          </cell>
          <cell r="E1264">
            <v>0</v>
          </cell>
        </row>
        <row r="1265">
          <cell r="A1265">
            <v>1255</v>
          </cell>
          <cell r="B1265">
            <v>1</v>
          </cell>
          <cell r="C1265" t="str">
            <v>AGRICULTURAL LOAN</v>
          </cell>
          <cell r="D1265">
            <v>1</v>
          </cell>
          <cell r="E1265">
            <v>0</v>
          </cell>
        </row>
        <row r="1266">
          <cell r="A1266">
            <v>1256</v>
          </cell>
          <cell r="B1266">
            <v>1</v>
          </cell>
          <cell r="C1266" t="str">
            <v>EARTHQUAKE RELIEF LO</v>
          </cell>
          <cell r="D1266">
            <v>1</v>
          </cell>
          <cell r="E1266">
            <v>0</v>
          </cell>
        </row>
        <row r="1267">
          <cell r="A1267">
            <v>1257</v>
          </cell>
          <cell r="B1267">
            <v>1</v>
          </cell>
          <cell r="C1267" t="str">
            <v>TOURISM SECTOR LOAN</v>
          </cell>
          <cell r="D1267">
            <v>1</v>
          </cell>
          <cell r="E1267">
            <v>0</v>
          </cell>
        </row>
        <row r="1268">
          <cell r="A1268">
            <v>1258</v>
          </cell>
          <cell r="B1268">
            <v>1</v>
          </cell>
          <cell r="C1268" t="str">
            <v>SME LOAN</v>
          </cell>
          <cell r="D1268">
            <v>1</v>
          </cell>
          <cell r="E1268">
            <v>0</v>
          </cell>
        </row>
        <row r="1269">
          <cell r="A1269">
            <v>1259</v>
          </cell>
          <cell r="B1269">
            <v>1</v>
          </cell>
          <cell r="C1269" t="str">
            <v>EDUCATIONAL LOAN EMI</v>
          </cell>
          <cell r="D1269">
            <v>1</v>
          </cell>
          <cell r="E1269">
            <v>0</v>
          </cell>
        </row>
        <row r="1270">
          <cell r="A1270">
            <v>1260</v>
          </cell>
          <cell r="B1270">
            <v>1</v>
          </cell>
          <cell r="C1270" t="str">
            <v>OVERDRAFT PROFESSION</v>
          </cell>
          <cell r="D1270">
            <v>1</v>
          </cell>
          <cell r="E1270">
            <v>0</v>
          </cell>
        </row>
        <row r="1271">
          <cell r="A1271">
            <v>1261</v>
          </cell>
          <cell r="B1271">
            <v>1</v>
          </cell>
          <cell r="C1271" t="str">
            <v>OD PERSONAL LOAN</v>
          </cell>
          <cell r="D1271">
            <v>2</v>
          </cell>
          <cell r="E1271">
            <v>0</v>
          </cell>
        </row>
        <row r="1272">
          <cell r="A1272">
            <v>1262</v>
          </cell>
          <cell r="B1272">
            <v>1</v>
          </cell>
          <cell r="C1272" t="str">
            <v>OD BUSINESS LOAN</v>
          </cell>
          <cell r="D1272">
            <v>2</v>
          </cell>
          <cell r="E1272">
            <v>0</v>
          </cell>
        </row>
        <row r="1273">
          <cell r="A1273">
            <v>1263</v>
          </cell>
          <cell r="B1273">
            <v>1</v>
          </cell>
          <cell r="C1273" t="str">
            <v>OD STAFF LOAN</v>
          </cell>
          <cell r="D1273">
            <v>2</v>
          </cell>
          <cell r="E1273">
            <v>0</v>
          </cell>
        </row>
        <row r="1274">
          <cell r="A1274">
            <v>1264</v>
          </cell>
          <cell r="B1274">
            <v>1</v>
          </cell>
          <cell r="C1274" t="str">
            <v>TERM LOAN</v>
          </cell>
          <cell r="D1274">
            <v>2</v>
          </cell>
          <cell r="E1274">
            <v>0</v>
          </cell>
        </row>
        <row r="1275">
          <cell r="A1275">
            <v>1265</v>
          </cell>
          <cell r="B1275">
            <v>1</v>
          </cell>
          <cell r="C1275" t="str">
            <v>WC TRADING/IND LOAN</v>
          </cell>
          <cell r="D1275">
            <v>2</v>
          </cell>
          <cell r="E1275">
            <v>0</v>
          </cell>
        </row>
        <row r="1276">
          <cell r="A1276">
            <v>1266</v>
          </cell>
          <cell r="B1276">
            <v>1</v>
          </cell>
          <cell r="C1276" t="str">
            <v>HOUSING LOAN</v>
          </cell>
          <cell r="D1276">
            <v>2</v>
          </cell>
          <cell r="E1276">
            <v>0</v>
          </cell>
        </row>
        <row r="1277">
          <cell r="A1277">
            <v>1267</v>
          </cell>
          <cell r="B1277">
            <v>1</v>
          </cell>
          <cell r="C1277" t="str">
            <v>RESI REAL EST LOAN</v>
          </cell>
          <cell r="D1277">
            <v>2</v>
          </cell>
          <cell r="E1277">
            <v>0</v>
          </cell>
        </row>
        <row r="1278">
          <cell r="A1278">
            <v>1268</v>
          </cell>
          <cell r="B1278">
            <v>1</v>
          </cell>
          <cell r="C1278" t="str">
            <v>MARGIN NATURE LOAN</v>
          </cell>
          <cell r="D1278">
            <v>2</v>
          </cell>
          <cell r="E1278">
            <v>0</v>
          </cell>
        </row>
        <row r="1279">
          <cell r="A1279">
            <v>1269</v>
          </cell>
          <cell r="B1279">
            <v>1</v>
          </cell>
          <cell r="C1279" t="str">
            <v>HIRE PURCHASE LOAN</v>
          </cell>
          <cell r="D1279">
            <v>2</v>
          </cell>
          <cell r="E1279">
            <v>0</v>
          </cell>
        </row>
        <row r="1280">
          <cell r="A1280">
            <v>1270</v>
          </cell>
          <cell r="B1280">
            <v>1</v>
          </cell>
          <cell r="C1280" t="str">
            <v>DEPRIVED SECTOR LOAN</v>
          </cell>
          <cell r="D1280">
            <v>2</v>
          </cell>
          <cell r="E1280">
            <v>0</v>
          </cell>
        </row>
        <row r="1281">
          <cell r="A1281">
            <v>1271</v>
          </cell>
          <cell r="B1281">
            <v>1</v>
          </cell>
          <cell r="C1281" t="str">
            <v>EDUCATIONAL LOAN</v>
          </cell>
          <cell r="D1281">
            <v>2</v>
          </cell>
          <cell r="E1281">
            <v>0</v>
          </cell>
        </row>
        <row r="1282">
          <cell r="A1282">
            <v>1272</v>
          </cell>
          <cell r="B1282">
            <v>1</v>
          </cell>
          <cell r="C1282" t="str">
            <v>AGRICULTURE LOAN</v>
          </cell>
          <cell r="D1282">
            <v>2</v>
          </cell>
          <cell r="E1282">
            <v>0</v>
          </cell>
        </row>
        <row r="1283">
          <cell r="A1283">
            <v>1273</v>
          </cell>
          <cell r="B1283">
            <v>1</v>
          </cell>
          <cell r="C1283" t="str">
            <v>RESI PER.HOME-EMI</v>
          </cell>
          <cell r="D1283">
            <v>2</v>
          </cell>
          <cell r="E1283">
            <v>0</v>
          </cell>
        </row>
        <row r="1284">
          <cell r="A1284">
            <v>1274</v>
          </cell>
          <cell r="B1284">
            <v>1</v>
          </cell>
          <cell r="C1284" t="str">
            <v>TERM LOAN - BUSINESS</v>
          </cell>
          <cell r="D1284">
            <v>2</v>
          </cell>
          <cell r="E1284">
            <v>0</v>
          </cell>
        </row>
        <row r="1285">
          <cell r="A1285">
            <v>1275</v>
          </cell>
          <cell r="B1285">
            <v>1</v>
          </cell>
          <cell r="C1285" t="str">
            <v>CONS FIN BUSN TRM LO</v>
          </cell>
          <cell r="D1285">
            <v>2</v>
          </cell>
          <cell r="E1285">
            <v>0</v>
          </cell>
        </row>
        <row r="1286">
          <cell r="A1286">
            <v>1276</v>
          </cell>
          <cell r="B1286">
            <v>1</v>
          </cell>
          <cell r="C1286" t="str">
            <v>BIS/PERHIRE PURCHASE</v>
          </cell>
          <cell r="D1286">
            <v>2</v>
          </cell>
          <cell r="E1286">
            <v>0</v>
          </cell>
        </row>
        <row r="1287">
          <cell r="A1287">
            <v>1277</v>
          </cell>
          <cell r="B1287">
            <v>1</v>
          </cell>
          <cell r="C1287" t="str">
            <v xml:space="preserve">INT CAP TERM LOAN </v>
          </cell>
          <cell r="D1287">
            <v>2</v>
          </cell>
          <cell r="E1287">
            <v>0</v>
          </cell>
        </row>
        <row r="1288">
          <cell r="A1288">
            <v>1278</v>
          </cell>
          <cell r="B1288">
            <v>1</v>
          </cell>
          <cell r="C1288" t="str">
            <v>PERSONAL LOAN</v>
          </cell>
          <cell r="D1288">
            <v>2</v>
          </cell>
          <cell r="E1288">
            <v>0</v>
          </cell>
        </row>
        <row r="1289">
          <cell r="A1289">
            <v>1279</v>
          </cell>
          <cell r="B1289">
            <v>1</v>
          </cell>
          <cell r="C1289" t="str">
            <v>MORTGAGE LOAN</v>
          </cell>
          <cell r="D1289">
            <v>2</v>
          </cell>
          <cell r="E1289">
            <v>0</v>
          </cell>
        </row>
        <row r="1290">
          <cell r="A1290">
            <v>1280</v>
          </cell>
          <cell r="B1290">
            <v>1</v>
          </cell>
          <cell r="C1290" t="str">
            <v>LOAN AGAINST FDR</v>
          </cell>
          <cell r="D1290">
            <v>2</v>
          </cell>
          <cell r="E1290">
            <v>0</v>
          </cell>
        </row>
        <row r="1291">
          <cell r="A1291">
            <v>1281</v>
          </cell>
          <cell r="B1291">
            <v>1</v>
          </cell>
          <cell r="C1291" t="str">
            <v>RECEIVABLE LOAN</v>
          </cell>
          <cell r="D1291">
            <v>2</v>
          </cell>
          <cell r="E1291">
            <v>0</v>
          </cell>
        </row>
        <row r="1292">
          <cell r="A1292">
            <v>1282</v>
          </cell>
          <cell r="B1292">
            <v>1</v>
          </cell>
          <cell r="C1292" t="str">
            <v>STAFF LOAN</v>
          </cell>
          <cell r="D1292">
            <v>2</v>
          </cell>
          <cell r="E1292">
            <v>0</v>
          </cell>
        </row>
        <row r="1293">
          <cell r="A1293">
            <v>1283</v>
          </cell>
          <cell r="B1293">
            <v>1</v>
          </cell>
          <cell r="C1293" t="str">
            <v>AGRICULTURAL LOAN</v>
          </cell>
          <cell r="D1293">
            <v>2</v>
          </cell>
          <cell r="E1293">
            <v>0</v>
          </cell>
        </row>
        <row r="1294">
          <cell r="A1294">
            <v>1284</v>
          </cell>
          <cell r="B1294">
            <v>1</v>
          </cell>
          <cell r="C1294" t="str">
            <v>EARTHQUAKE RELIEF LO</v>
          </cell>
          <cell r="D1294">
            <v>2</v>
          </cell>
          <cell r="E1294">
            <v>0</v>
          </cell>
        </row>
        <row r="1295">
          <cell r="A1295">
            <v>1285</v>
          </cell>
          <cell r="B1295">
            <v>1</v>
          </cell>
          <cell r="C1295" t="str">
            <v>TOURISM SECTOR LOAN</v>
          </cell>
          <cell r="D1295">
            <v>2</v>
          </cell>
          <cell r="E1295">
            <v>0</v>
          </cell>
        </row>
        <row r="1296">
          <cell r="A1296">
            <v>1286</v>
          </cell>
          <cell r="B1296">
            <v>1</v>
          </cell>
          <cell r="C1296" t="str">
            <v>SME LOAN</v>
          </cell>
          <cell r="D1296">
            <v>2</v>
          </cell>
          <cell r="E1296">
            <v>0</v>
          </cell>
        </row>
        <row r="1297">
          <cell r="A1297">
            <v>1287</v>
          </cell>
          <cell r="B1297">
            <v>1</v>
          </cell>
          <cell r="C1297" t="str">
            <v>EDUCATIONAL LOAN EMI</v>
          </cell>
          <cell r="D1297">
            <v>2</v>
          </cell>
          <cell r="E1297">
            <v>0</v>
          </cell>
        </row>
        <row r="1298">
          <cell r="A1298">
            <v>1288</v>
          </cell>
          <cell r="B1298">
            <v>1</v>
          </cell>
          <cell r="C1298" t="str">
            <v>OVERDRAFT PROFESSION</v>
          </cell>
          <cell r="D1298">
            <v>2</v>
          </cell>
          <cell r="E1298">
            <v>0</v>
          </cell>
        </row>
      </sheetData>
      <sheetData sheetId="2" refreshError="1"/>
      <sheetData sheetId="3" refreshError="1"/>
      <sheetData sheetId="4">
        <row r="1">
          <cell r="A1" t="str">
            <v>Quarter Mapping</v>
          </cell>
          <cell r="D1" t="str">
            <v>S.N.</v>
          </cell>
        </row>
        <row r="2">
          <cell r="A2" t="str">
            <v>Asadh 76</v>
          </cell>
          <cell r="D2">
            <v>1</v>
          </cell>
          <cell r="E2">
            <v>2019</v>
          </cell>
        </row>
        <row r="3">
          <cell r="A3" t="str">
            <v>Ashoj 76</v>
          </cell>
          <cell r="D3">
            <v>2</v>
          </cell>
          <cell r="E3">
            <v>2019</v>
          </cell>
        </row>
        <row r="4">
          <cell r="A4" t="str">
            <v>poush 76</v>
          </cell>
          <cell r="D4">
            <v>3</v>
          </cell>
          <cell r="E4">
            <v>2019</v>
          </cell>
        </row>
        <row r="5">
          <cell r="A5" t="str">
            <v>chaitra 76</v>
          </cell>
          <cell r="D5">
            <v>4</v>
          </cell>
          <cell r="E5">
            <v>2020</v>
          </cell>
        </row>
        <row r="6">
          <cell r="A6" t="str">
            <v>Asadh 77</v>
          </cell>
          <cell r="D6">
            <v>5</v>
          </cell>
          <cell r="E6">
            <v>2020</v>
          </cell>
        </row>
        <row r="7">
          <cell r="A7" t="str">
            <v>Asoj 77</v>
          </cell>
          <cell r="D7">
            <v>6</v>
          </cell>
          <cell r="E7">
            <v>2020</v>
          </cell>
        </row>
        <row r="8">
          <cell r="A8" t="str">
            <v>Poush 77</v>
          </cell>
          <cell r="D8">
            <v>7</v>
          </cell>
          <cell r="E8">
            <v>2020</v>
          </cell>
        </row>
        <row r="9">
          <cell r="A9" t="str">
            <v>Chaitra 77</v>
          </cell>
          <cell r="D9">
            <v>8</v>
          </cell>
          <cell r="E9">
            <v>2021</v>
          </cell>
        </row>
        <row r="10">
          <cell r="A10" t="str">
            <v>Asadh 78</v>
          </cell>
          <cell r="D10">
            <v>9</v>
          </cell>
          <cell r="E10">
            <v>2021</v>
          </cell>
        </row>
        <row r="11">
          <cell r="A11" t="str">
            <v>Ashoj 78</v>
          </cell>
          <cell r="D11">
            <v>10</v>
          </cell>
          <cell r="E11">
            <v>2021</v>
          </cell>
        </row>
        <row r="12">
          <cell r="A12" t="str">
            <v>Poush 78</v>
          </cell>
          <cell r="D12">
            <v>11</v>
          </cell>
          <cell r="E12">
            <v>2021</v>
          </cell>
        </row>
        <row r="13">
          <cell r="A13" t="str">
            <v>Chaitra 78</v>
          </cell>
          <cell r="D13">
            <v>12</v>
          </cell>
          <cell r="E13">
            <v>2022</v>
          </cell>
        </row>
        <row r="14">
          <cell r="A14" t="str">
            <v>Asadh 79</v>
          </cell>
          <cell r="D14">
            <v>13</v>
          </cell>
          <cell r="E14">
            <v>2022</v>
          </cell>
        </row>
        <row r="15">
          <cell r="A15" t="str">
            <v>Ashoj 79</v>
          </cell>
          <cell r="D15">
            <v>14</v>
          </cell>
          <cell r="E15">
            <v>2022</v>
          </cell>
        </row>
        <row r="16">
          <cell r="A16" t="str">
            <v>Poush 79</v>
          </cell>
          <cell r="D16">
            <v>15</v>
          </cell>
          <cell r="E16">
            <v>2022</v>
          </cell>
        </row>
        <row r="17">
          <cell r="A17" t="str">
            <v>Chaitra 79</v>
          </cell>
          <cell r="D17">
            <v>16</v>
          </cell>
          <cell r="E17">
            <v>2023</v>
          </cell>
        </row>
        <row r="18">
          <cell r="A18" t="str">
            <v>Asadh 80</v>
          </cell>
          <cell r="D18">
            <v>17</v>
          </cell>
          <cell r="E18">
            <v>2023</v>
          </cell>
        </row>
        <row r="19">
          <cell r="A19" t="str">
            <v>Ashoj 80</v>
          </cell>
          <cell r="D19">
            <v>18</v>
          </cell>
          <cell r="E19">
            <v>2023</v>
          </cell>
        </row>
        <row r="20">
          <cell r="A20" t="str">
            <v>Poush 80</v>
          </cell>
          <cell r="D20">
            <v>19</v>
          </cell>
          <cell r="E20">
            <v>2023</v>
          </cell>
        </row>
        <row r="21">
          <cell r="A21" t="str">
            <v>Chaitra 80</v>
          </cell>
          <cell r="D21">
            <v>20</v>
          </cell>
          <cell r="E21">
            <v>2024</v>
          </cell>
        </row>
        <row r="22">
          <cell r="A22" t="str">
            <v>Asadh 81</v>
          </cell>
          <cell r="D22">
            <v>21</v>
          </cell>
          <cell r="E22">
            <v>2024</v>
          </cell>
        </row>
        <row r="23">
          <cell r="A23" t="str">
            <v>Ashoj 81</v>
          </cell>
          <cell r="D23">
            <v>22</v>
          </cell>
          <cell r="E23">
            <v>2024</v>
          </cell>
        </row>
        <row r="24">
          <cell r="A24" t="str">
            <v>Poush 81</v>
          </cell>
          <cell r="D24">
            <v>23</v>
          </cell>
          <cell r="E24">
            <v>2025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isualization"/>
      <sheetName val="Summary"/>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41"/>
      <sheetName val="42"/>
      <sheetName val="43"/>
      <sheetName val="44"/>
      <sheetName val="45"/>
      <sheetName val="46"/>
      <sheetName val="47"/>
      <sheetName val="48"/>
      <sheetName val="49"/>
      <sheetName val="50"/>
      <sheetName val="51"/>
      <sheetName val="52"/>
      <sheetName val="53"/>
      <sheetName val="54"/>
      <sheetName val="55"/>
      <sheetName val="56"/>
    </sheetNames>
    <sheetDataSet>
      <sheetData sheetId="0"/>
      <sheetData sheetId="1"/>
      <sheetData sheetId="2">
        <row r="11">
          <cell r="A11">
            <v>2019</v>
          </cell>
          <cell r="C11">
            <v>7.6223761076818732</v>
          </cell>
          <cell r="D11">
            <v>4.6399999999999997</v>
          </cell>
          <cell r="E11">
            <v>10.64</v>
          </cell>
          <cell r="F11">
            <v>12.134092700177552</v>
          </cell>
          <cell r="G11">
            <v>1259.02</v>
          </cell>
        </row>
        <row r="12">
          <cell r="A12">
            <v>2020</v>
          </cell>
          <cell r="C12">
            <v>6.6570554280283449</v>
          </cell>
          <cell r="D12">
            <v>6.15</v>
          </cell>
          <cell r="E12">
            <v>13.119</v>
          </cell>
          <cell r="F12">
            <v>10.109165203675886</v>
          </cell>
          <cell r="G12">
            <v>1362.35</v>
          </cell>
        </row>
        <row r="13">
          <cell r="A13">
            <v>2021</v>
          </cell>
          <cell r="C13">
            <v>-2.3696206265287998</v>
          </cell>
          <cell r="D13">
            <v>3.6</v>
          </cell>
          <cell r="E13">
            <v>12.581</v>
          </cell>
          <cell r="F13">
            <v>8.4600000000000009</v>
          </cell>
          <cell r="G13">
            <v>2883.41</v>
          </cell>
        </row>
        <row r="14">
          <cell r="A14">
            <v>2022</v>
          </cell>
          <cell r="C14">
            <v>4.8381498272749335</v>
          </cell>
          <cell r="D14">
            <v>6.26</v>
          </cell>
          <cell r="E14">
            <v>10.923</v>
          </cell>
          <cell r="F14">
            <v>11.620299693912473</v>
          </cell>
          <cell r="G14">
            <v>2009.47</v>
          </cell>
        </row>
        <row r="15">
          <cell r="A15">
            <v>2023</v>
          </cell>
          <cell r="C15">
            <v>5.6131931650736817</v>
          </cell>
          <cell r="D15">
            <v>7.84</v>
          </cell>
          <cell r="E15">
            <v>10.97</v>
          </cell>
          <cell r="F15">
            <v>12.2968211469067</v>
          </cell>
          <cell r="G15">
            <v>2097.1</v>
          </cell>
        </row>
        <row r="16">
          <cell r="A16">
            <v>2024</v>
          </cell>
          <cell r="C16">
            <v>3.3</v>
          </cell>
          <cell r="D16">
            <v>4.0999999999999996</v>
          </cell>
          <cell r="E16">
            <v>11.953800000000001</v>
          </cell>
          <cell r="F16">
            <v>9.9340099482150723</v>
          </cell>
          <cell r="G16">
            <v>2240.41</v>
          </cell>
        </row>
        <row r="17">
          <cell r="A17">
            <v>2025</v>
          </cell>
          <cell r="C17">
            <v>3.9883664394333493</v>
          </cell>
          <cell r="D17">
            <v>5.6319999999999979</v>
          </cell>
          <cell r="E17">
            <v>10.726940000000013</v>
          </cell>
          <cell r="F17">
            <v>11.530012389337571</v>
          </cell>
          <cell r="G17">
            <v>2409.4910000000091</v>
          </cell>
        </row>
        <row r="18">
          <cell r="A18">
            <v>2026</v>
          </cell>
          <cell r="C18">
            <v>4.1152367329879382</v>
          </cell>
          <cell r="D18">
            <v>5.6459999999999972</v>
          </cell>
          <cell r="E18">
            <v>10.33280000000002</v>
          </cell>
          <cell r="F18">
            <v>11.878663452936053</v>
          </cell>
          <cell r="G18">
            <v>2506.4720000000088</v>
          </cell>
        </row>
        <row r="19">
          <cell r="A19">
            <v>2027</v>
          </cell>
          <cell r="C19">
            <v>4.2421070265425271</v>
          </cell>
          <cell r="D19">
            <v>5.6599999999999966</v>
          </cell>
          <cell r="E19">
            <v>9.9386600000000271</v>
          </cell>
          <cell r="F19">
            <v>12.227314516534534</v>
          </cell>
          <cell r="G19">
            <v>2603.4530000000086</v>
          </cell>
        </row>
        <row r="20">
          <cell r="A20">
            <v>2028</v>
          </cell>
          <cell r="C20">
            <v>4.368977320097116</v>
          </cell>
          <cell r="D20">
            <v>5.6739999999999995</v>
          </cell>
          <cell r="E20">
            <v>9.5445200000000341</v>
          </cell>
          <cell r="F20">
            <v>12.575965580133015</v>
          </cell>
          <cell r="G20">
            <v>2700.4340000000084</v>
          </cell>
        </row>
        <row r="21">
          <cell r="A21">
            <v>2029</v>
          </cell>
          <cell r="C21">
            <v>4.4958476136516481</v>
          </cell>
          <cell r="D21">
            <v>5.6879999999999988</v>
          </cell>
          <cell r="E21">
            <v>9.150380000000041</v>
          </cell>
          <cell r="F21">
            <v>12.924616643731611</v>
          </cell>
          <cell r="G21">
            <v>2797.4150000000081</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persons/person.xml><?xml version="1.0" encoding="utf-8"?>
<personList xmlns="http://schemas.microsoft.com/office/spreadsheetml/2018/threadedcomments" xmlns:x="http://schemas.openxmlformats.org/spreadsheetml/2006/main">
  <person displayName="Nikesh pandey" id="{0E07AC42-3D03-4375-AC74-423B6F6EE0BD}" userId="S::nikssspandey2000@nikeshpandey.onmicrosoft.com::89ed9e08-fe40-4c13-ba7c-4ece3cceb7fe"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esh Pandey" refreshedDate="45821.569547569445" createdVersion="8" refreshedVersion="8" minRefreshableVersion="3" recordCount="1288" xr:uid="{595AFA5F-AD5B-408C-9D2E-81F736304869}">
  <cacheSource type="worksheet">
    <worksheetSource ref="A1:G1289" sheet="01. Main"/>
  </cacheSource>
  <cacheFields count="7">
    <cacheField name="S.N." numFmtId="0">
      <sharedItems containsSemiMixedTypes="0" containsString="0" containsNumber="1" containsInteger="1" minValue="1" maxValue="1288"/>
    </cacheField>
    <cacheField name="Quarter" numFmtId="0">
      <sharedItems containsSemiMixedTypes="0" containsString="0" containsNumber="1" containsInteger="1" minValue="1" maxValue="23" count="23">
        <n v="23"/>
        <n v="22"/>
        <n v="21"/>
        <n v="20"/>
        <n v="19"/>
        <n v="18"/>
        <n v="17"/>
        <n v="16"/>
        <n v="15"/>
        <n v="14"/>
        <n v="13"/>
        <n v="12"/>
        <n v="11"/>
        <n v="10"/>
        <n v="9"/>
        <n v="8"/>
        <n v="7"/>
        <n v="6"/>
        <n v="5"/>
        <n v="4"/>
        <n v="3"/>
        <n v="2"/>
        <n v="1"/>
      </sharedItems>
    </cacheField>
    <cacheField name="ProductType" numFmtId="0">
      <sharedItems count="28">
        <s v="OD PERSONAL LOAN"/>
        <s v="OD BUSINESS LOAN"/>
        <s v="OD STAFF LOAN"/>
        <s v="TERM LOAN"/>
        <s v="WC TRADING/IND LOAN"/>
        <s v="HOUSING LOAN"/>
        <s v="RESI REAL EST LOAN"/>
        <s v="MARGIN NATURE LOAN"/>
        <s v="HIRE PURCHASE LOAN"/>
        <s v="DEPRIVED SECTOR LOAN"/>
        <s v="EDUCATIONAL LOAN"/>
        <s v="AGRICULTURE LOAN"/>
        <s v="RESI PER.HOME-EMI"/>
        <s v="TERM LOAN - BUSINESS"/>
        <s v="CONS FIN BUSN TRM LO"/>
        <s v="BIS/PERHIRE PURCHASE"/>
        <s v="INT CAP TERM LOAN "/>
        <s v="PERSONAL LOAN"/>
        <s v="MORTGAGE LOAN"/>
        <s v="LOAN AGAINST FDR"/>
        <s v="RECEIVABLE LOAN"/>
        <s v="STAFF LOAN"/>
        <s v="AGRICULTURAL LOAN"/>
        <s v="EARTHQUAKE RELIEF LO"/>
        <s v="TOURISM SECTOR LOAN"/>
        <s v="SME LOAN"/>
        <s v="EDUCATIONAL LOAN EMI"/>
        <s v="OVERDRAFT PROFESSION"/>
      </sharedItems>
    </cacheField>
    <cacheField name="Stage" numFmtId="0">
      <sharedItems containsSemiMixedTypes="0" containsString="0" containsNumber="1" containsInteger="1" minValue="1" maxValue="2" count="2">
        <n v="1"/>
        <n v="2"/>
      </sharedItems>
    </cacheField>
    <cacheField name="12M PD" numFmtId="9">
      <sharedItems containsSemiMixedTypes="0" containsString="0" containsNumber="1" minValue="0" maxValue="1"/>
    </cacheField>
    <cacheField name="Year" numFmtId="0">
      <sharedItems/>
    </cacheField>
    <cacheField name="Year AD" numFmtId="0">
      <sharedItems containsSemiMixedTypes="0" containsString="0" containsNumber="1" containsInteger="1" minValue="2019" maxValue="2025"/>
    </cacheField>
  </cacheFields>
  <extLst>
    <ext xmlns:x14="http://schemas.microsoft.com/office/spreadsheetml/2009/9/main" uri="{725AE2AE-9491-48be-B2B4-4EB974FC3084}">
      <x14:pivotCacheDefinition pivotCacheId="192720990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esh Pandey" refreshedDate="45821.56954837963" createdVersion="8" refreshedVersion="8" minRefreshableVersion="3" recordCount="1288" xr:uid="{F7A518DE-D498-4CF4-A481-5BDEAFD1C6F0}">
  <cacheSource type="worksheet">
    <worksheetSource ref="C1:G1289" sheet="01. Main"/>
  </cacheSource>
  <cacheFields count="5">
    <cacheField name="ProductType" numFmtId="0">
      <sharedItems count="28">
        <s v="OD PERSONAL LOAN"/>
        <s v="OD BUSINESS LOAN"/>
        <s v="OD STAFF LOAN"/>
        <s v="TERM LOAN"/>
        <s v="WC TRADING/IND LOAN"/>
        <s v="HOUSING LOAN"/>
        <s v="RESI REAL EST LOAN"/>
        <s v="MARGIN NATURE LOAN"/>
        <s v="HIRE PURCHASE LOAN"/>
        <s v="DEPRIVED SECTOR LOAN"/>
        <s v="EDUCATIONAL LOAN"/>
        <s v="AGRICULTURE LOAN"/>
        <s v="RESI PER.HOME-EMI"/>
        <s v="TERM LOAN - BUSINESS"/>
        <s v="CONS FIN BUSN TRM LO"/>
        <s v="BIS/PERHIRE PURCHASE"/>
        <s v="INT CAP TERM LOAN "/>
        <s v="PERSONAL LOAN"/>
        <s v="MORTGAGE LOAN"/>
        <s v="LOAN AGAINST FDR"/>
        <s v="RECEIVABLE LOAN"/>
        <s v="STAFF LOAN"/>
        <s v="AGRICULTURAL LOAN"/>
        <s v="EARTHQUAKE RELIEF LO"/>
        <s v="TOURISM SECTOR LOAN"/>
        <s v="SME LOAN"/>
        <s v="EDUCATIONAL LOAN EMI"/>
        <s v="OVERDRAFT PROFESSION"/>
      </sharedItems>
    </cacheField>
    <cacheField name="Stage" numFmtId="0">
      <sharedItems containsSemiMixedTypes="0" containsString="0" containsNumber="1" containsInteger="1" minValue="1" maxValue="2" count="2">
        <n v="1"/>
        <n v="2"/>
      </sharedItems>
    </cacheField>
    <cacheField name="12M PD" numFmtId="9">
      <sharedItems containsSemiMixedTypes="0" containsString="0" containsNumber="1" minValue="0" maxValue="1"/>
    </cacheField>
    <cacheField name="Year" numFmtId="0">
      <sharedItems/>
    </cacheField>
    <cacheField name="Year AD" numFmtId="0">
      <sharedItems containsSemiMixedTypes="0" containsString="0" containsNumber="1" containsInteger="1" minValue="2019" maxValue="2025" count="7">
        <n v="2025"/>
        <n v="2024"/>
        <n v="2023"/>
        <n v="2022"/>
        <n v="2021"/>
        <n v="2020"/>
        <n v="2019"/>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esh Pandey" refreshedDate="45821.569549074076" createdVersion="8" refreshedVersion="8" minRefreshableVersion="3" recordCount="392" xr:uid="{454B8760-E54A-48E8-8A11-7FF6C8B6FA3B}">
  <cacheSource type="worksheet">
    <worksheetSource ref="G1:O393" sheet="02. Average"/>
  </cacheSource>
  <cacheFields count="9">
    <cacheField name="Year AD" numFmtId="0">
      <sharedItems containsSemiMixedTypes="0" containsString="0" containsNumber="1" containsInteger="1" minValue="2019" maxValue="2025" count="7">
        <n v="2019"/>
        <n v="2020"/>
        <n v="2021"/>
        <n v="2022"/>
        <n v="2023"/>
        <n v="2024"/>
        <n v="2025"/>
      </sharedItems>
    </cacheField>
    <cacheField name="ProductType" numFmtId="0">
      <sharedItems count="28">
        <s v="AGRICULTURAL LOAN"/>
        <s v="AGRICULTURE LOAN"/>
        <s v="BIS/PERHIRE PURCHASE"/>
        <s v="CONS FIN BUSN TRM LO"/>
        <s v="DEPRIVED SECTOR LOAN"/>
        <s v="EARTHQUAKE RELIEF LO"/>
        <s v="EDUCATIONAL LOAN"/>
        <s v="EDUCATIONAL LOAN EMI"/>
        <s v="HIRE PURCHASE LOAN"/>
        <s v="HOUSING LOAN"/>
        <s v="INT CAP TERM LOAN "/>
        <s v="LOAN AGAINST FDR"/>
        <s v="MARGIN NATURE LOAN"/>
        <s v="MORTGAGE LOAN"/>
        <s v="OD BUSINESS LOAN"/>
        <s v="OD PERSONAL LOAN"/>
        <s v="OD STAFF LOAN"/>
        <s v="OVERDRAFT PROFESSION"/>
        <s v="PERSONAL LOAN"/>
        <s v="RECEIVABLE LOAN"/>
        <s v="RESI PER.HOME-EMI"/>
        <s v="RESI REAL EST LOAN"/>
        <s v="SME LOAN"/>
        <s v="STAFF LOAN"/>
        <s v="TERM LOAN"/>
        <s v="TERM LOAN - BUSINESS"/>
        <s v="TOURISM SECTOR LOAN"/>
        <s v="WC TRADING/IND LOAN"/>
      </sharedItems>
    </cacheField>
    <cacheField name="Stage" numFmtId="0">
      <sharedItems containsSemiMixedTypes="0" containsString="0" containsNumber="1" containsInteger="1" minValue="1" maxValue="2" count="2">
        <n v="1"/>
        <n v="2"/>
      </sharedItems>
    </cacheField>
    <cacheField name="Average of 12M PD" numFmtId="9">
      <sharedItems containsSemiMixedTypes="0" containsString="0" containsNumber="1" minValue="0" maxValue="0.62999259167318733"/>
    </cacheField>
    <cacheField name="GDP" numFmtId="43">
      <sharedItems containsSemiMixedTypes="0" containsString="0" containsNumber="1" minValue="-2.3696206265287998" maxValue="7.6223761076818732" count="7">
        <n v="7.6223761076818732"/>
        <n v="6.6570554280283449"/>
        <n v="-2.3696206265287998"/>
        <n v="4.8381498272749335"/>
        <n v="5.6131931650736817"/>
        <n v="3.3"/>
        <n v="3.9883664394333493"/>
      </sharedItems>
    </cacheField>
    <cacheField name="Inflation" numFmtId="43">
      <sharedItems containsSemiMixedTypes="0" containsString="0" containsNumber="1" minValue="3.6" maxValue="7.84" count="7">
        <n v="4.6399999999999997"/>
        <n v="6.15"/>
        <n v="3.6"/>
        <n v="6.26"/>
        <n v="7.84"/>
        <n v="4.0999999999999996"/>
        <n v="5.6319999999999979"/>
      </sharedItems>
    </cacheField>
    <cacheField name="Unemployment Rate" numFmtId="43">
      <sharedItems containsSemiMixedTypes="0" containsString="0" containsNumber="1" minValue="10.64" maxValue="13.119" count="7">
        <n v="10.64"/>
        <n v="13.119"/>
        <n v="12.581"/>
        <n v="10.923"/>
        <n v="10.97"/>
        <n v="11.953800000000001"/>
        <n v="10.726940000000013"/>
      </sharedItems>
    </cacheField>
    <cacheField name="Interest Rate" numFmtId="43">
      <sharedItems containsSemiMixedTypes="0" containsString="0" containsNumber="1" minValue="8.4600000000000009" maxValue="12.2968211469067" count="7">
        <n v="12.134092700177552"/>
        <n v="10.109165203675886"/>
        <n v="8.4600000000000009"/>
        <n v="11.620299693912473"/>
        <n v="12.2968211469067"/>
        <n v="9.9340099482150723"/>
        <n v="11.530012389337571"/>
      </sharedItems>
    </cacheField>
    <cacheField name="NEPSE Index" numFmtId="43">
      <sharedItems containsSemiMixedTypes="0" containsString="0" containsNumber="1" minValue="1259.02" maxValue="2883.41" count="7">
        <n v="1259.02"/>
        <n v="1362.35"/>
        <n v="2883.41"/>
        <n v="2009.47"/>
        <n v="2097.1"/>
        <n v="2240.41"/>
        <n v="2409.491000000009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88">
  <r>
    <n v="1"/>
    <x v="0"/>
    <x v="0"/>
    <x v="0"/>
    <n v="0.12892252146601907"/>
    <s v="Poush 81"/>
    <n v="2025"/>
  </r>
  <r>
    <n v="2"/>
    <x v="0"/>
    <x v="1"/>
    <x v="0"/>
    <n v="0"/>
    <s v="Poush 81"/>
    <n v="2025"/>
  </r>
  <r>
    <n v="3"/>
    <x v="0"/>
    <x v="2"/>
    <x v="0"/>
    <n v="0"/>
    <s v="Poush 81"/>
    <n v="2025"/>
  </r>
  <r>
    <n v="4"/>
    <x v="0"/>
    <x v="3"/>
    <x v="0"/>
    <n v="9.1355400283232524E-2"/>
    <s v="Poush 81"/>
    <n v="2025"/>
  </r>
  <r>
    <n v="5"/>
    <x v="0"/>
    <x v="4"/>
    <x v="0"/>
    <n v="0.12010395924220262"/>
    <s v="Poush 81"/>
    <n v="2025"/>
  </r>
  <r>
    <n v="6"/>
    <x v="0"/>
    <x v="5"/>
    <x v="0"/>
    <n v="0.19430909865599366"/>
    <s v="Poush 81"/>
    <n v="2025"/>
  </r>
  <r>
    <n v="7"/>
    <x v="0"/>
    <x v="6"/>
    <x v="0"/>
    <n v="0"/>
    <s v="Poush 81"/>
    <n v="2025"/>
  </r>
  <r>
    <n v="8"/>
    <x v="0"/>
    <x v="7"/>
    <x v="0"/>
    <n v="0"/>
    <s v="Poush 81"/>
    <n v="2025"/>
  </r>
  <r>
    <n v="9"/>
    <x v="0"/>
    <x v="8"/>
    <x v="0"/>
    <n v="4.6706172782707431E-2"/>
    <s v="Poush 81"/>
    <n v="2025"/>
  </r>
  <r>
    <n v="10"/>
    <x v="0"/>
    <x v="9"/>
    <x v="0"/>
    <n v="2.8464920153483124E-3"/>
    <s v="Poush 81"/>
    <n v="2025"/>
  </r>
  <r>
    <n v="11"/>
    <x v="0"/>
    <x v="10"/>
    <x v="0"/>
    <n v="0"/>
    <s v="Poush 81"/>
    <n v="2025"/>
  </r>
  <r>
    <n v="12"/>
    <x v="0"/>
    <x v="11"/>
    <x v="0"/>
    <n v="8.3882953150711342E-2"/>
    <s v="Poush 81"/>
    <n v="2025"/>
  </r>
  <r>
    <n v="13"/>
    <x v="0"/>
    <x v="12"/>
    <x v="0"/>
    <n v="0.169393802772486"/>
    <s v="Poush 81"/>
    <n v="2025"/>
  </r>
  <r>
    <n v="14"/>
    <x v="0"/>
    <x v="13"/>
    <x v="0"/>
    <n v="0.10875601451192747"/>
    <s v="Poush 81"/>
    <n v="2025"/>
  </r>
  <r>
    <n v="15"/>
    <x v="0"/>
    <x v="14"/>
    <x v="0"/>
    <n v="0"/>
    <s v="Poush 81"/>
    <n v="2025"/>
  </r>
  <r>
    <n v="16"/>
    <x v="0"/>
    <x v="15"/>
    <x v="0"/>
    <n v="0.19528280506701479"/>
    <s v="Poush 81"/>
    <n v="2025"/>
  </r>
  <r>
    <n v="17"/>
    <x v="0"/>
    <x v="16"/>
    <x v="0"/>
    <n v="0"/>
    <s v="Poush 81"/>
    <n v="2025"/>
  </r>
  <r>
    <n v="18"/>
    <x v="0"/>
    <x v="17"/>
    <x v="0"/>
    <n v="7.5862093206630316E-2"/>
    <s v="Poush 81"/>
    <n v="2025"/>
  </r>
  <r>
    <n v="19"/>
    <x v="0"/>
    <x v="18"/>
    <x v="0"/>
    <n v="2.7180805999842732E-2"/>
    <s v="Poush 81"/>
    <n v="2025"/>
  </r>
  <r>
    <n v="20"/>
    <x v="0"/>
    <x v="19"/>
    <x v="0"/>
    <n v="0"/>
    <s v="Poush 81"/>
    <n v="2025"/>
  </r>
  <r>
    <n v="21"/>
    <x v="0"/>
    <x v="20"/>
    <x v="0"/>
    <n v="0"/>
    <s v="Poush 81"/>
    <n v="2025"/>
  </r>
  <r>
    <n v="22"/>
    <x v="0"/>
    <x v="21"/>
    <x v="0"/>
    <n v="0"/>
    <s v="Poush 81"/>
    <n v="2025"/>
  </r>
  <r>
    <n v="23"/>
    <x v="0"/>
    <x v="22"/>
    <x v="0"/>
    <n v="1.2675887527856542E-2"/>
    <s v="Poush 81"/>
    <n v="2025"/>
  </r>
  <r>
    <n v="24"/>
    <x v="0"/>
    <x v="23"/>
    <x v="0"/>
    <n v="0"/>
    <s v="Poush 81"/>
    <n v="2025"/>
  </r>
  <r>
    <n v="25"/>
    <x v="0"/>
    <x v="24"/>
    <x v="0"/>
    <n v="0"/>
    <s v="Poush 81"/>
    <n v="2025"/>
  </r>
  <r>
    <n v="26"/>
    <x v="0"/>
    <x v="25"/>
    <x v="0"/>
    <n v="0"/>
    <s v="Poush 81"/>
    <n v="2025"/>
  </r>
  <r>
    <n v="27"/>
    <x v="0"/>
    <x v="26"/>
    <x v="0"/>
    <n v="0"/>
    <s v="Poush 81"/>
    <n v="2025"/>
  </r>
  <r>
    <n v="28"/>
    <x v="0"/>
    <x v="27"/>
    <x v="0"/>
    <n v="0"/>
    <s v="Poush 81"/>
    <n v="2025"/>
  </r>
  <r>
    <n v="29"/>
    <x v="0"/>
    <x v="0"/>
    <x v="1"/>
    <n v="0.19989453956925751"/>
    <s v="Poush 81"/>
    <n v="2025"/>
  </r>
  <r>
    <n v="30"/>
    <x v="0"/>
    <x v="1"/>
    <x v="1"/>
    <n v="0"/>
    <s v="Poush 81"/>
    <n v="2025"/>
  </r>
  <r>
    <n v="31"/>
    <x v="0"/>
    <x v="2"/>
    <x v="1"/>
    <n v="0"/>
    <s v="Poush 81"/>
    <n v="2025"/>
  </r>
  <r>
    <n v="32"/>
    <x v="0"/>
    <x v="3"/>
    <x v="1"/>
    <n v="0.27760798271423498"/>
    <s v="Poush 81"/>
    <n v="2025"/>
  </r>
  <r>
    <n v="33"/>
    <x v="0"/>
    <x v="4"/>
    <x v="1"/>
    <n v="0.17640008496844142"/>
    <s v="Poush 81"/>
    <n v="2025"/>
  </r>
  <r>
    <n v="34"/>
    <x v="0"/>
    <x v="5"/>
    <x v="1"/>
    <n v="0.33440376138467287"/>
    <s v="Poush 81"/>
    <n v="2025"/>
  </r>
  <r>
    <n v="35"/>
    <x v="0"/>
    <x v="6"/>
    <x v="1"/>
    <n v="0"/>
    <s v="Poush 81"/>
    <n v="2025"/>
  </r>
  <r>
    <n v="36"/>
    <x v="0"/>
    <x v="7"/>
    <x v="1"/>
    <n v="0"/>
    <s v="Poush 81"/>
    <n v="2025"/>
  </r>
  <r>
    <n v="37"/>
    <x v="0"/>
    <x v="8"/>
    <x v="1"/>
    <n v="0.53049772939435369"/>
    <s v="Poush 81"/>
    <n v="2025"/>
  </r>
  <r>
    <n v="38"/>
    <x v="0"/>
    <x v="9"/>
    <x v="1"/>
    <n v="0.14453319613355389"/>
    <s v="Poush 81"/>
    <n v="2025"/>
  </r>
  <r>
    <n v="39"/>
    <x v="0"/>
    <x v="10"/>
    <x v="1"/>
    <n v="0"/>
    <s v="Poush 81"/>
    <n v="2025"/>
  </r>
  <r>
    <n v="40"/>
    <x v="0"/>
    <x v="11"/>
    <x v="1"/>
    <n v="0.2926079436429429"/>
    <s v="Poush 81"/>
    <n v="2025"/>
  </r>
  <r>
    <n v="41"/>
    <x v="0"/>
    <x v="12"/>
    <x v="1"/>
    <n v="0.27219558992150272"/>
    <s v="Poush 81"/>
    <n v="2025"/>
  </r>
  <r>
    <n v="42"/>
    <x v="0"/>
    <x v="13"/>
    <x v="1"/>
    <n v="0.37308697078314568"/>
    <s v="Poush 81"/>
    <n v="2025"/>
  </r>
  <r>
    <n v="43"/>
    <x v="0"/>
    <x v="14"/>
    <x v="1"/>
    <n v="0"/>
    <s v="Poush 81"/>
    <n v="2025"/>
  </r>
  <r>
    <n v="44"/>
    <x v="0"/>
    <x v="15"/>
    <x v="1"/>
    <n v="0.50149529230205137"/>
    <s v="Poush 81"/>
    <n v="2025"/>
  </r>
  <r>
    <n v="45"/>
    <x v="0"/>
    <x v="16"/>
    <x v="1"/>
    <n v="0"/>
    <s v="Poush 81"/>
    <n v="2025"/>
  </r>
  <r>
    <n v="46"/>
    <x v="0"/>
    <x v="17"/>
    <x v="1"/>
    <n v="0.14291013368759392"/>
    <s v="Poush 81"/>
    <n v="2025"/>
  </r>
  <r>
    <n v="47"/>
    <x v="0"/>
    <x v="18"/>
    <x v="1"/>
    <n v="0.13346956069709026"/>
    <s v="Poush 81"/>
    <n v="2025"/>
  </r>
  <r>
    <n v="48"/>
    <x v="0"/>
    <x v="19"/>
    <x v="1"/>
    <n v="0"/>
    <s v="Poush 81"/>
    <n v="2025"/>
  </r>
  <r>
    <n v="49"/>
    <x v="0"/>
    <x v="20"/>
    <x v="1"/>
    <n v="0"/>
    <s v="Poush 81"/>
    <n v="2025"/>
  </r>
  <r>
    <n v="50"/>
    <x v="0"/>
    <x v="21"/>
    <x v="1"/>
    <n v="0"/>
    <s v="Poush 81"/>
    <n v="2025"/>
  </r>
  <r>
    <n v="51"/>
    <x v="0"/>
    <x v="22"/>
    <x v="1"/>
    <n v="4.1531125708018715E-2"/>
    <s v="Poush 81"/>
    <n v="2025"/>
  </r>
  <r>
    <n v="52"/>
    <x v="0"/>
    <x v="23"/>
    <x v="1"/>
    <n v="0"/>
    <s v="Poush 81"/>
    <n v="2025"/>
  </r>
  <r>
    <n v="53"/>
    <x v="0"/>
    <x v="24"/>
    <x v="1"/>
    <n v="0"/>
    <s v="Poush 81"/>
    <n v="2025"/>
  </r>
  <r>
    <n v="54"/>
    <x v="0"/>
    <x v="25"/>
    <x v="1"/>
    <n v="0"/>
    <s v="Poush 81"/>
    <n v="2025"/>
  </r>
  <r>
    <n v="55"/>
    <x v="0"/>
    <x v="26"/>
    <x v="1"/>
    <n v="0"/>
    <s v="Poush 81"/>
    <n v="2025"/>
  </r>
  <r>
    <n v="56"/>
    <x v="0"/>
    <x v="27"/>
    <x v="1"/>
    <n v="0"/>
    <s v="Poush 81"/>
    <n v="2025"/>
  </r>
  <r>
    <n v="57"/>
    <x v="1"/>
    <x v="0"/>
    <x v="0"/>
    <n v="0.49586094004758607"/>
    <s v="Ashoj 81"/>
    <n v="2024"/>
  </r>
  <r>
    <n v="58"/>
    <x v="1"/>
    <x v="1"/>
    <x v="0"/>
    <n v="0.34258776323503548"/>
    <s v="Ashoj 81"/>
    <n v="2024"/>
  </r>
  <r>
    <n v="59"/>
    <x v="1"/>
    <x v="2"/>
    <x v="0"/>
    <n v="0"/>
    <s v="Ashoj 81"/>
    <n v="2024"/>
  </r>
  <r>
    <n v="60"/>
    <x v="1"/>
    <x v="3"/>
    <x v="0"/>
    <n v="0.38463349642868516"/>
    <s v="Ashoj 81"/>
    <n v="2024"/>
  </r>
  <r>
    <n v="61"/>
    <x v="1"/>
    <x v="4"/>
    <x v="0"/>
    <n v="0.70304922120911018"/>
    <s v="Ashoj 81"/>
    <n v="2024"/>
  </r>
  <r>
    <n v="62"/>
    <x v="1"/>
    <x v="5"/>
    <x v="0"/>
    <n v="0.26930361770305944"/>
    <s v="Ashoj 81"/>
    <n v="2024"/>
  </r>
  <r>
    <n v="63"/>
    <x v="1"/>
    <x v="6"/>
    <x v="0"/>
    <n v="0.24108653255993465"/>
    <s v="Ashoj 81"/>
    <n v="2024"/>
  </r>
  <r>
    <n v="64"/>
    <x v="1"/>
    <x v="7"/>
    <x v="0"/>
    <n v="0"/>
    <s v="Ashoj 81"/>
    <n v="2024"/>
  </r>
  <r>
    <n v="65"/>
    <x v="1"/>
    <x v="8"/>
    <x v="0"/>
    <n v="0"/>
    <s v="Ashoj 81"/>
    <n v="2024"/>
  </r>
  <r>
    <n v="66"/>
    <x v="1"/>
    <x v="9"/>
    <x v="0"/>
    <n v="0"/>
    <s v="Ashoj 81"/>
    <n v="2024"/>
  </r>
  <r>
    <n v="67"/>
    <x v="1"/>
    <x v="10"/>
    <x v="0"/>
    <n v="0.3500157557074679"/>
    <s v="Ashoj 81"/>
    <n v="2024"/>
  </r>
  <r>
    <n v="68"/>
    <x v="1"/>
    <x v="11"/>
    <x v="0"/>
    <n v="0.36677310133886826"/>
    <s v="Ashoj 81"/>
    <n v="2024"/>
  </r>
  <r>
    <n v="69"/>
    <x v="1"/>
    <x v="12"/>
    <x v="0"/>
    <n v="0.41549801266549646"/>
    <s v="Ashoj 81"/>
    <n v="2024"/>
  </r>
  <r>
    <n v="70"/>
    <x v="1"/>
    <x v="13"/>
    <x v="0"/>
    <n v="0.50549986246368184"/>
    <s v="Ashoj 81"/>
    <n v="2024"/>
  </r>
  <r>
    <n v="71"/>
    <x v="1"/>
    <x v="14"/>
    <x v="0"/>
    <n v="0"/>
    <s v="Ashoj 81"/>
    <n v="2024"/>
  </r>
  <r>
    <n v="72"/>
    <x v="1"/>
    <x v="15"/>
    <x v="0"/>
    <n v="0.63054644323850739"/>
    <s v="Ashoj 81"/>
    <n v="2024"/>
  </r>
  <r>
    <n v="73"/>
    <x v="1"/>
    <x v="16"/>
    <x v="0"/>
    <n v="0"/>
    <s v="Ashoj 81"/>
    <n v="2024"/>
  </r>
  <r>
    <n v="74"/>
    <x v="1"/>
    <x v="17"/>
    <x v="0"/>
    <n v="0.35043158362439203"/>
    <s v="Ashoj 81"/>
    <n v="2024"/>
  </r>
  <r>
    <n v="75"/>
    <x v="1"/>
    <x v="18"/>
    <x v="0"/>
    <n v="0.23432967788063058"/>
    <s v="Ashoj 81"/>
    <n v="2024"/>
  </r>
  <r>
    <n v="76"/>
    <x v="1"/>
    <x v="19"/>
    <x v="0"/>
    <n v="0"/>
    <s v="Ashoj 81"/>
    <n v="2024"/>
  </r>
  <r>
    <n v="77"/>
    <x v="1"/>
    <x v="20"/>
    <x v="0"/>
    <n v="0"/>
    <s v="Ashoj 81"/>
    <n v="2024"/>
  </r>
  <r>
    <n v="78"/>
    <x v="1"/>
    <x v="21"/>
    <x v="0"/>
    <n v="0"/>
    <s v="Ashoj 81"/>
    <n v="2024"/>
  </r>
  <r>
    <n v="79"/>
    <x v="1"/>
    <x v="22"/>
    <x v="0"/>
    <n v="0.17934080413031375"/>
    <s v="Ashoj 81"/>
    <n v="2024"/>
  </r>
  <r>
    <n v="80"/>
    <x v="1"/>
    <x v="23"/>
    <x v="0"/>
    <n v="0"/>
    <s v="Ashoj 81"/>
    <n v="2024"/>
  </r>
  <r>
    <n v="81"/>
    <x v="1"/>
    <x v="24"/>
    <x v="0"/>
    <n v="0"/>
    <s v="Ashoj 81"/>
    <n v="2024"/>
  </r>
  <r>
    <n v="82"/>
    <x v="1"/>
    <x v="25"/>
    <x v="0"/>
    <n v="0"/>
    <s v="Ashoj 81"/>
    <n v="2024"/>
  </r>
  <r>
    <n v="83"/>
    <x v="1"/>
    <x v="26"/>
    <x v="0"/>
    <n v="0"/>
    <s v="Ashoj 81"/>
    <n v="2024"/>
  </r>
  <r>
    <n v="84"/>
    <x v="1"/>
    <x v="27"/>
    <x v="0"/>
    <n v="0"/>
    <s v="Ashoj 81"/>
    <n v="2024"/>
  </r>
  <r>
    <n v="85"/>
    <x v="1"/>
    <x v="0"/>
    <x v="1"/>
    <n v="0.65111632587012092"/>
    <s v="Ashoj 81"/>
    <n v="2024"/>
  </r>
  <r>
    <n v="86"/>
    <x v="1"/>
    <x v="1"/>
    <x v="1"/>
    <n v="0.88630958164983864"/>
    <s v="Ashoj 81"/>
    <n v="2024"/>
  </r>
  <r>
    <n v="87"/>
    <x v="1"/>
    <x v="2"/>
    <x v="1"/>
    <n v="0"/>
    <s v="Ashoj 81"/>
    <n v="2024"/>
  </r>
  <r>
    <n v="88"/>
    <x v="1"/>
    <x v="3"/>
    <x v="1"/>
    <n v="0.78604933431442336"/>
    <s v="Ashoj 81"/>
    <n v="2024"/>
  </r>
  <r>
    <n v="89"/>
    <x v="1"/>
    <x v="4"/>
    <x v="1"/>
    <n v="0.82199116840477504"/>
    <s v="Ashoj 81"/>
    <n v="2024"/>
  </r>
  <r>
    <n v="90"/>
    <x v="1"/>
    <x v="5"/>
    <x v="1"/>
    <n v="0.62278649313796453"/>
    <s v="Ashoj 81"/>
    <n v="2024"/>
  </r>
  <r>
    <n v="91"/>
    <x v="1"/>
    <x v="6"/>
    <x v="1"/>
    <n v="0"/>
    <s v="Ashoj 81"/>
    <n v="2024"/>
  </r>
  <r>
    <n v="92"/>
    <x v="1"/>
    <x v="7"/>
    <x v="1"/>
    <n v="0"/>
    <s v="Ashoj 81"/>
    <n v="2024"/>
  </r>
  <r>
    <n v="93"/>
    <x v="1"/>
    <x v="8"/>
    <x v="1"/>
    <n v="0"/>
    <s v="Ashoj 81"/>
    <n v="2024"/>
  </r>
  <r>
    <n v="94"/>
    <x v="1"/>
    <x v="9"/>
    <x v="1"/>
    <n v="0"/>
    <s v="Ashoj 81"/>
    <n v="2024"/>
  </r>
  <r>
    <n v="95"/>
    <x v="1"/>
    <x v="10"/>
    <x v="1"/>
    <n v="0"/>
    <s v="Ashoj 81"/>
    <n v="2024"/>
  </r>
  <r>
    <n v="96"/>
    <x v="1"/>
    <x v="11"/>
    <x v="1"/>
    <n v="0.44459816001643915"/>
    <s v="Ashoj 81"/>
    <n v="2024"/>
  </r>
  <r>
    <n v="97"/>
    <x v="1"/>
    <x v="12"/>
    <x v="1"/>
    <n v="0.74235887702908776"/>
    <s v="Ashoj 81"/>
    <n v="2024"/>
  </r>
  <r>
    <n v="98"/>
    <x v="1"/>
    <x v="13"/>
    <x v="1"/>
    <n v="0.95708174455409389"/>
    <s v="Ashoj 81"/>
    <n v="2024"/>
  </r>
  <r>
    <n v="99"/>
    <x v="1"/>
    <x v="14"/>
    <x v="1"/>
    <n v="0"/>
    <s v="Ashoj 81"/>
    <n v="2024"/>
  </r>
  <r>
    <n v="100"/>
    <x v="1"/>
    <x v="15"/>
    <x v="1"/>
    <n v="0.86608243894196302"/>
    <s v="Ashoj 81"/>
    <n v="2024"/>
  </r>
  <r>
    <n v="101"/>
    <x v="1"/>
    <x v="16"/>
    <x v="1"/>
    <n v="0"/>
    <s v="Ashoj 81"/>
    <n v="2024"/>
  </r>
  <r>
    <n v="102"/>
    <x v="1"/>
    <x v="17"/>
    <x v="1"/>
    <n v="0.55581064050733486"/>
    <s v="Ashoj 81"/>
    <n v="2024"/>
  </r>
  <r>
    <n v="103"/>
    <x v="1"/>
    <x v="18"/>
    <x v="1"/>
    <n v="0.26304313637247767"/>
    <s v="Ashoj 81"/>
    <n v="2024"/>
  </r>
  <r>
    <n v="104"/>
    <x v="1"/>
    <x v="19"/>
    <x v="1"/>
    <n v="0"/>
    <s v="Ashoj 81"/>
    <n v="2024"/>
  </r>
  <r>
    <n v="105"/>
    <x v="1"/>
    <x v="20"/>
    <x v="1"/>
    <n v="0"/>
    <s v="Ashoj 81"/>
    <n v="2024"/>
  </r>
  <r>
    <n v="106"/>
    <x v="1"/>
    <x v="21"/>
    <x v="1"/>
    <n v="0"/>
    <s v="Ashoj 81"/>
    <n v="2024"/>
  </r>
  <r>
    <n v="107"/>
    <x v="1"/>
    <x v="22"/>
    <x v="1"/>
    <n v="0.24237554927466676"/>
    <s v="Ashoj 81"/>
    <n v="2024"/>
  </r>
  <r>
    <n v="108"/>
    <x v="1"/>
    <x v="23"/>
    <x v="1"/>
    <n v="0"/>
    <s v="Ashoj 81"/>
    <n v="2024"/>
  </r>
  <r>
    <n v="109"/>
    <x v="1"/>
    <x v="24"/>
    <x v="1"/>
    <n v="0"/>
    <s v="Ashoj 81"/>
    <n v="2024"/>
  </r>
  <r>
    <n v="110"/>
    <x v="1"/>
    <x v="25"/>
    <x v="1"/>
    <n v="0"/>
    <s v="Ashoj 81"/>
    <n v="2024"/>
  </r>
  <r>
    <n v="111"/>
    <x v="1"/>
    <x v="26"/>
    <x v="1"/>
    <n v="0"/>
    <s v="Ashoj 81"/>
    <n v="2024"/>
  </r>
  <r>
    <n v="112"/>
    <x v="1"/>
    <x v="27"/>
    <x v="1"/>
    <n v="0"/>
    <s v="Ashoj 81"/>
    <n v="2024"/>
  </r>
  <r>
    <n v="113"/>
    <x v="2"/>
    <x v="0"/>
    <x v="0"/>
    <n v="0.2277883815570548"/>
    <s v="Asadh 81"/>
    <n v="2024"/>
  </r>
  <r>
    <n v="114"/>
    <x v="2"/>
    <x v="1"/>
    <x v="0"/>
    <n v="0.27938790242853773"/>
    <s v="Asadh 81"/>
    <n v="2024"/>
  </r>
  <r>
    <n v="115"/>
    <x v="2"/>
    <x v="2"/>
    <x v="0"/>
    <n v="0"/>
    <s v="Asadh 81"/>
    <n v="2024"/>
  </r>
  <r>
    <n v="116"/>
    <x v="2"/>
    <x v="3"/>
    <x v="0"/>
    <n v="3.8252531512235011E-2"/>
    <s v="Asadh 81"/>
    <n v="2024"/>
  </r>
  <r>
    <n v="117"/>
    <x v="2"/>
    <x v="4"/>
    <x v="0"/>
    <n v="8.9934160810423297E-2"/>
    <s v="Asadh 81"/>
    <n v="2024"/>
  </r>
  <r>
    <n v="118"/>
    <x v="2"/>
    <x v="5"/>
    <x v="0"/>
    <n v="5.2609987778126296E-2"/>
    <s v="Asadh 81"/>
    <n v="2024"/>
  </r>
  <r>
    <n v="119"/>
    <x v="2"/>
    <x v="6"/>
    <x v="0"/>
    <n v="0"/>
    <s v="Asadh 81"/>
    <n v="2024"/>
  </r>
  <r>
    <n v="120"/>
    <x v="2"/>
    <x v="7"/>
    <x v="0"/>
    <n v="0"/>
    <s v="Asadh 81"/>
    <n v="2024"/>
  </r>
  <r>
    <n v="121"/>
    <x v="2"/>
    <x v="8"/>
    <x v="0"/>
    <n v="0"/>
    <s v="Asadh 81"/>
    <n v="2024"/>
  </r>
  <r>
    <n v="122"/>
    <x v="2"/>
    <x v="9"/>
    <x v="0"/>
    <n v="1.7866060529915066E-2"/>
    <s v="Asadh 81"/>
    <n v="2024"/>
  </r>
  <r>
    <n v="123"/>
    <x v="2"/>
    <x v="10"/>
    <x v="0"/>
    <n v="0"/>
    <s v="Asadh 81"/>
    <n v="2024"/>
  </r>
  <r>
    <n v="124"/>
    <x v="2"/>
    <x v="11"/>
    <x v="0"/>
    <n v="7.1488491583689667E-2"/>
    <s v="Asadh 81"/>
    <n v="2024"/>
  </r>
  <r>
    <n v="125"/>
    <x v="2"/>
    <x v="12"/>
    <x v="0"/>
    <n v="5.2167900550347091E-2"/>
    <s v="Asadh 81"/>
    <n v="2024"/>
  </r>
  <r>
    <n v="126"/>
    <x v="2"/>
    <x v="13"/>
    <x v="0"/>
    <n v="0"/>
    <s v="Asadh 81"/>
    <n v="2024"/>
  </r>
  <r>
    <n v="127"/>
    <x v="2"/>
    <x v="14"/>
    <x v="0"/>
    <n v="0"/>
    <s v="Asadh 81"/>
    <n v="2024"/>
  </r>
  <r>
    <n v="128"/>
    <x v="2"/>
    <x v="15"/>
    <x v="0"/>
    <n v="0.162330219300657"/>
    <s v="Asadh 81"/>
    <n v="2024"/>
  </r>
  <r>
    <n v="129"/>
    <x v="2"/>
    <x v="16"/>
    <x v="0"/>
    <n v="0"/>
    <s v="Asadh 81"/>
    <n v="2024"/>
  </r>
  <r>
    <n v="130"/>
    <x v="2"/>
    <x v="17"/>
    <x v="0"/>
    <n v="0.11823937926215786"/>
    <s v="Asadh 81"/>
    <n v="2024"/>
  </r>
  <r>
    <n v="131"/>
    <x v="2"/>
    <x v="18"/>
    <x v="0"/>
    <n v="0.1996449727669497"/>
    <s v="Asadh 81"/>
    <n v="2024"/>
  </r>
  <r>
    <n v="132"/>
    <x v="2"/>
    <x v="19"/>
    <x v="0"/>
    <n v="0"/>
    <s v="Asadh 81"/>
    <n v="2024"/>
  </r>
  <r>
    <n v="133"/>
    <x v="2"/>
    <x v="20"/>
    <x v="0"/>
    <n v="9.2085259443766346E-2"/>
    <s v="Asadh 81"/>
    <n v="2024"/>
  </r>
  <r>
    <n v="134"/>
    <x v="2"/>
    <x v="21"/>
    <x v="0"/>
    <n v="0"/>
    <s v="Asadh 81"/>
    <n v="2024"/>
  </r>
  <r>
    <n v="135"/>
    <x v="2"/>
    <x v="22"/>
    <x v="0"/>
    <n v="0.25482952100793271"/>
    <s v="Asadh 81"/>
    <n v="2024"/>
  </r>
  <r>
    <n v="136"/>
    <x v="2"/>
    <x v="23"/>
    <x v="0"/>
    <n v="0"/>
    <s v="Asadh 81"/>
    <n v="2024"/>
  </r>
  <r>
    <n v="137"/>
    <x v="2"/>
    <x v="24"/>
    <x v="0"/>
    <n v="0"/>
    <s v="Asadh 81"/>
    <n v="2024"/>
  </r>
  <r>
    <n v="138"/>
    <x v="2"/>
    <x v="25"/>
    <x v="0"/>
    <n v="0"/>
    <s v="Asadh 81"/>
    <n v="2024"/>
  </r>
  <r>
    <n v="139"/>
    <x v="2"/>
    <x v="26"/>
    <x v="0"/>
    <n v="0"/>
    <s v="Asadh 81"/>
    <n v="2024"/>
  </r>
  <r>
    <n v="140"/>
    <x v="2"/>
    <x v="27"/>
    <x v="0"/>
    <n v="0"/>
    <s v="Asadh 81"/>
    <n v="2024"/>
  </r>
  <r>
    <n v="141"/>
    <x v="2"/>
    <x v="0"/>
    <x v="1"/>
    <n v="0.61990858199989551"/>
    <s v="Asadh 81"/>
    <n v="2024"/>
  </r>
  <r>
    <n v="142"/>
    <x v="2"/>
    <x v="1"/>
    <x v="1"/>
    <n v="0.28086496500895308"/>
    <s v="Asadh 81"/>
    <n v="2024"/>
  </r>
  <r>
    <n v="143"/>
    <x v="2"/>
    <x v="2"/>
    <x v="1"/>
    <n v="0"/>
    <s v="Asadh 81"/>
    <n v="2024"/>
  </r>
  <r>
    <n v="144"/>
    <x v="2"/>
    <x v="3"/>
    <x v="1"/>
    <n v="0.15656918407788242"/>
    <s v="Asadh 81"/>
    <n v="2024"/>
  </r>
  <r>
    <n v="145"/>
    <x v="2"/>
    <x v="4"/>
    <x v="1"/>
    <n v="0.25447945990783827"/>
    <s v="Asadh 81"/>
    <n v="2024"/>
  </r>
  <r>
    <n v="146"/>
    <x v="2"/>
    <x v="5"/>
    <x v="1"/>
    <n v="0.35705716374433244"/>
    <s v="Asadh 81"/>
    <n v="2024"/>
  </r>
  <r>
    <n v="147"/>
    <x v="2"/>
    <x v="6"/>
    <x v="1"/>
    <n v="8.1893763283625132E-2"/>
    <s v="Asadh 81"/>
    <n v="2024"/>
  </r>
  <r>
    <n v="148"/>
    <x v="2"/>
    <x v="7"/>
    <x v="1"/>
    <n v="0"/>
    <s v="Asadh 81"/>
    <n v="2024"/>
  </r>
  <r>
    <n v="149"/>
    <x v="2"/>
    <x v="8"/>
    <x v="1"/>
    <n v="0.38579968151585775"/>
    <s v="Asadh 81"/>
    <n v="2024"/>
  </r>
  <r>
    <n v="150"/>
    <x v="2"/>
    <x v="9"/>
    <x v="1"/>
    <n v="0.25646527008690895"/>
    <s v="Asadh 81"/>
    <n v="2024"/>
  </r>
  <r>
    <n v="151"/>
    <x v="2"/>
    <x v="10"/>
    <x v="1"/>
    <n v="0"/>
    <s v="Asadh 81"/>
    <n v="2024"/>
  </r>
  <r>
    <n v="152"/>
    <x v="2"/>
    <x v="11"/>
    <x v="1"/>
    <n v="0.34808462424066772"/>
    <s v="Asadh 81"/>
    <n v="2024"/>
  </r>
  <r>
    <n v="153"/>
    <x v="2"/>
    <x v="12"/>
    <x v="1"/>
    <n v="0.13691179522490765"/>
    <s v="Asadh 81"/>
    <n v="2024"/>
  </r>
  <r>
    <n v="154"/>
    <x v="2"/>
    <x v="13"/>
    <x v="1"/>
    <n v="0"/>
    <s v="Asadh 81"/>
    <n v="2024"/>
  </r>
  <r>
    <n v="155"/>
    <x v="2"/>
    <x v="14"/>
    <x v="1"/>
    <n v="0"/>
    <s v="Asadh 81"/>
    <n v="2024"/>
  </r>
  <r>
    <n v="156"/>
    <x v="2"/>
    <x v="15"/>
    <x v="1"/>
    <n v="0.14276871879255654"/>
    <s v="Asadh 81"/>
    <n v="2024"/>
  </r>
  <r>
    <n v="157"/>
    <x v="2"/>
    <x v="16"/>
    <x v="1"/>
    <n v="0"/>
    <s v="Asadh 81"/>
    <n v="2024"/>
  </r>
  <r>
    <n v="158"/>
    <x v="2"/>
    <x v="17"/>
    <x v="1"/>
    <n v="0.25143303622968649"/>
    <s v="Asadh 81"/>
    <n v="2024"/>
  </r>
  <r>
    <n v="159"/>
    <x v="2"/>
    <x v="18"/>
    <x v="1"/>
    <n v="0.33184249928914611"/>
    <s v="Asadh 81"/>
    <n v="2024"/>
  </r>
  <r>
    <n v="160"/>
    <x v="2"/>
    <x v="19"/>
    <x v="1"/>
    <n v="0"/>
    <s v="Asadh 81"/>
    <n v="2024"/>
  </r>
  <r>
    <n v="161"/>
    <x v="2"/>
    <x v="20"/>
    <x v="1"/>
    <n v="0"/>
    <s v="Asadh 81"/>
    <n v="2024"/>
  </r>
  <r>
    <n v="162"/>
    <x v="2"/>
    <x v="21"/>
    <x v="1"/>
    <n v="0"/>
    <s v="Asadh 81"/>
    <n v="2024"/>
  </r>
  <r>
    <n v="163"/>
    <x v="2"/>
    <x v="22"/>
    <x v="1"/>
    <n v="0.73945076759430672"/>
    <s v="Asadh 81"/>
    <n v="2024"/>
  </r>
  <r>
    <n v="164"/>
    <x v="2"/>
    <x v="23"/>
    <x v="1"/>
    <n v="0"/>
    <s v="Asadh 81"/>
    <n v="2024"/>
  </r>
  <r>
    <n v="165"/>
    <x v="2"/>
    <x v="24"/>
    <x v="1"/>
    <n v="0"/>
    <s v="Asadh 81"/>
    <n v="2024"/>
  </r>
  <r>
    <n v="166"/>
    <x v="2"/>
    <x v="25"/>
    <x v="1"/>
    <n v="0"/>
    <s v="Asadh 81"/>
    <n v="2024"/>
  </r>
  <r>
    <n v="167"/>
    <x v="2"/>
    <x v="26"/>
    <x v="1"/>
    <n v="0"/>
    <s v="Asadh 81"/>
    <n v="2024"/>
  </r>
  <r>
    <n v="168"/>
    <x v="2"/>
    <x v="27"/>
    <x v="1"/>
    <n v="0"/>
    <s v="Asadh 81"/>
    <n v="2024"/>
  </r>
  <r>
    <n v="169"/>
    <x v="3"/>
    <x v="0"/>
    <x v="0"/>
    <n v="0.13560894186644379"/>
    <s v="Chaitra 80"/>
    <n v="2024"/>
  </r>
  <r>
    <n v="170"/>
    <x v="3"/>
    <x v="1"/>
    <x v="0"/>
    <n v="9.3124170899224007E-2"/>
    <s v="Chaitra 80"/>
    <n v="2024"/>
  </r>
  <r>
    <n v="171"/>
    <x v="3"/>
    <x v="2"/>
    <x v="0"/>
    <n v="0"/>
    <s v="Chaitra 80"/>
    <n v="2024"/>
  </r>
  <r>
    <n v="172"/>
    <x v="3"/>
    <x v="3"/>
    <x v="0"/>
    <n v="0.22373924301568221"/>
    <s v="Chaitra 80"/>
    <n v="2024"/>
  </r>
  <r>
    <n v="173"/>
    <x v="3"/>
    <x v="4"/>
    <x v="0"/>
    <n v="0.30918347145708697"/>
    <s v="Chaitra 80"/>
    <n v="2024"/>
  </r>
  <r>
    <n v="174"/>
    <x v="3"/>
    <x v="5"/>
    <x v="0"/>
    <n v="0.15804668504198863"/>
    <s v="Chaitra 80"/>
    <n v="2024"/>
  </r>
  <r>
    <n v="175"/>
    <x v="3"/>
    <x v="6"/>
    <x v="0"/>
    <n v="0.19328886932580022"/>
    <s v="Chaitra 80"/>
    <n v="2024"/>
  </r>
  <r>
    <n v="176"/>
    <x v="3"/>
    <x v="7"/>
    <x v="0"/>
    <n v="0"/>
    <s v="Chaitra 80"/>
    <n v="2024"/>
  </r>
  <r>
    <n v="177"/>
    <x v="3"/>
    <x v="8"/>
    <x v="0"/>
    <n v="0.35355507257966112"/>
    <s v="Chaitra 80"/>
    <n v="2024"/>
  </r>
  <r>
    <n v="178"/>
    <x v="3"/>
    <x v="9"/>
    <x v="0"/>
    <n v="3.3476887175885074E-3"/>
    <s v="Chaitra 80"/>
    <n v="2024"/>
  </r>
  <r>
    <n v="179"/>
    <x v="3"/>
    <x v="10"/>
    <x v="0"/>
    <n v="0"/>
    <s v="Chaitra 80"/>
    <n v="2024"/>
  </r>
  <r>
    <n v="180"/>
    <x v="3"/>
    <x v="11"/>
    <x v="0"/>
    <n v="0.23058020026408518"/>
    <s v="Chaitra 80"/>
    <n v="2024"/>
  </r>
  <r>
    <n v="181"/>
    <x v="3"/>
    <x v="12"/>
    <x v="0"/>
    <n v="7.7130445039635495E-2"/>
    <s v="Chaitra 80"/>
    <n v="2024"/>
  </r>
  <r>
    <n v="182"/>
    <x v="3"/>
    <x v="13"/>
    <x v="0"/>
    <n v="1.8361436110444929E-2"/>
    <s v="Chaitra 80"/>
    <n v="2024"/>
  </r>
  <r>
    <n v="183"/>
    <x v="3"/>
    <x v="14"/>
    <x v="0"/>
    <n v="0"/>
    <s v="Chaitra 80"/>
    <n v="2024"/>
  </r>
  <r>
    <n v="184"/>
    <x v="3"/>
    <x v="15"/>
    <x v="0"/>
    <n v="0.34312557545472194"/>
    <s v="Chaitra 80"/>
    <n v="2024"/>
  </r>
  <r>
    <n v="185"/>
    <x v="3"/>
    <x v="16"/>
    <x v="0"/>
    <n v="0"/>
    <s v="Chaitra 80"/>
    <n v="2024"/>
  </r>
  <r>
    <n v="186"/>
    <x v="3"/>
    <x v="17"/>
    <x v="0"/>
    <n v="0.17132330333363938"/>
    <s v="Chaitra 80"/>
    <n v="2024"/>
  </r>
  <r>
    <n v="187"/>
    <x v="3"/>
    <x v="18"/>
    <x v="0"/>
    <n v="9.2405366794877708E-2"/>
    <s v="Chaitra 80"/>
    <n v="2024"/>
  </r>
  <r>
    <n v="188"/>
    <x v="3"/>
    <x v="19"/>
    <x v="0"/>
    <n v="0"/>
    <s v="Chaitra 80"/>
    <n v="2024"/>
  </r>
  <r>
    <n v="189"/>
    <x v="3"/>
    <x v="20"/>
    <x v="0"/>
    <n v="5.1890962850575886E-2"/>
    <s v="Chaitra 80"/>
    <n v="2024"/>
  </r>
  <r>
    <n v="190"/>
    <x v="3"/>
    <x v="21"/>
    <x v="0"/>
    <n v="0"/>
    <s v="Chaitra 80"/>
    <n v="2024"/>
  </r>
  <r>
    <n v="191"/>
    <x v="3"/>
    <x v="22"/>
    <x v="0"/>
    <n v="0"/>
    <s v="Chaitra 80"/>
    <n v="2024"/>
  </r>
  <r>
    <n v="192"/>
    <x v="3"/>
    <x v="23"/>
    <x v="0"/>
    <n v="0"/>
    <s v="Chaitra 80"/>
    <n v="2024"/>
  </r>
  <r>
    <n v="193"/>
    <x v="3"/>
    <x v="24"/>
    <x v="0"/>
    <n v="0"/>
    <s v="Chaitra 80"/>
    <n v="2024"/>
  </r>
  <r>
    <n v="194"/>
    <x v="3"/>
    <x v="25"/>
    <x v="0"/>
    <n v="0"/>
    <s v="Chaitra 80"/>
    <n v="2024"/>
  </r>
  <r>
    <n v="195"/>
    <x v="3"/>
    <x v="26"/>
    <x v="0"/>
    <n v="0"/>
    <s v="Chaitra 80"/>
    <n v="2024"/>
  </r>
  <r>
    <n v="196"/>
    <x v="3"/>
    <x v="27"/>
    <x v="0"/>
    <n v="0"/>
    <s v="Chaitra 80"/>
    <n v="2024"/>
  </r>
  <r>
    <n v="197"/>
    <x v="3"/>
    <x v="0"/>
    <x v="1"/>
    <n v="0.57822000317118905"/>
    <s v="Chaitra 80"/>
    <n v="2024"/>
  </r>
  <r>
    <n v="198"/>
    <x v="3"/>
    <x v="1"/>
    <x v="1"/>
    <n v="0.5356626345153741"/>
    <s v="Chaitra 80"/>
    <n v="2024"/>
  </r>
  <r>
    <n v="199"/>
    <x v="3"/>
    <x v="2"/>
    <x v="1"/>
    <n v="0"/>
    <s v="Chaitra 80"/>
    <n v="2024"/>
  </r>
  <r>
    <n v="200"/>
    <x v="3"/>
    <x v="3"/>
    <x v="1"/>
    <n v="0.61494886095745915"/>
    <s v="Chaitra 80"/>
    <n v="2024"/>
  </r>
  <r>
    <n v="201"/>
    <x v="3"/>
    <x v="4"/>
    <x v="1"/>
    <n v="0.81350714670694879"/>
    <s v="Chaitra 80"/>
    <n v="2024"/>
  </r>
  <r>
    <n v="202"/>
    <x v="3"/>
    <x v="5"/>
    <x v="1"/>
    <n v="0.42679379682116869"/>
    <s v="Chaitra 80"/>
    <n v="2024"/>
  </r>
  <r>
    <n v="203"/>
    <x v="3"/>
    <x v="6"/>
    <x v="1"/>
    <n v="0.98706966990971379"/>
    <s v="Chaitra 80"/>
    <n v="2024"/>
  </r>
  <r>
    <n v="204"/>
    <x v="3"/>
    <x v="7"/>
    <x v="1"/>
    <n v="0"/>
    <s v="Chaitra 80"/>
    <n v="2024"/>
  </r>
  <r>
    <n v="205"/>
    <x v="3"/>
    <x v="8"/>
    <x v="1"/>
    <n v="0.85431584217378231"/>
    <s v="Chaitra 80"/>
    <n v="2024"/>
  </r>
  <r>
    <n v="206"/>
    <x v="3"/>
    <x v="9"/>
    <x v="1"/>
    <n v="0.79160363529383382"/>
    <s v="Chaitra 80"/>
    <n v="2024"/>
  </r>
  <r>
    <n v="207"/>
    <x v="3"/>
    <x v="10"/>
    <x v="1"/>
    <n v="0"/>
    <s v="Chaitra 80"/>
    <n v="2024"/>
  </r>
  <r>
    <n v="208"/>
    <x v="3"/>
    <x v="11"/>
    <x v="1"/>
    <n v="0.75908817735479994"/>
    <s v="Chaitra 80"/>
    <n v="2024"/>
  </r>
  <r>
    <n v="209"/>
    <x v="3"/>
    <x v="12"/>
    <x v="1"/>
    <n v="0.1410123142849882"/>
    <s v="Chaitra 80"/>
    <n v="2024"/>
  </r>
  <r>
    <n v="210"/>
    <x v="3"/>
    <x v="13"/>
    <x v="1"/>
    <n v="0.49862861152737853"/>
    <s v="Chaitra 80"/>
    <n v="2024"/>
  </r>
  <r>
    <n v="211"/>
    <x v="3"/>
    <x v="14"/>
    <x v="1"/>
    <n v="0"/>
    <s v="Chaitra 80"/>
    <n v="2024"/>
  </r>
  <r>
    <n v="212"/>
    <x v="3"/>
    <x v="15"/>
    <x v="1"/>
    <n v="0.60913548767263426"/>
    <s v="Chaitra 80"/>
    <n v="2024"/>
  </r>
  <r>
    <n v="213"/>
    <x v="3"/>
    <x v="16"/>
    <x v="1"/>
    <n v="0"/>
    <s v="Chaitra 80"/>
    <n v="2024"/>
  </r>
  <r>
    <n v="214"/>
    <x v="3"/>
    <x v="17"/>
    <x v="1"/>
    <n v="0.32390185462103555"/>
    <s v="Chaitra 80"/>
    <n v="2024"/>
  </r>
  <r>
    <n v="215"/>
    <x v="3"/>
    <x v="18"/>
    <x v="1"/>
    <n v="0.18175977026195164"/>
    <s v="Chaitra 80"/>
    <n v="2024"/>
  </r>
  <r>
    <n v="216"/>
    <x v="3"/>
    <x v="19"/>
    <x v="1"/>
    <n v="0"/>
    <s v="Chaitra 80"/>
    <n v="2024"/>
  </r>
  <r>
    <n v="217"/>
    <x v="3"/>
    <x v="20"/>
    <x v="1"/>
    <n v="0"/>
    <s v="Chaitra 80"/>
    <n v="2024"/>
  </r>
  <r>
    <n v="218"/>
    <x v="3"/>
    <x v="21"/>
    <x v="1"/>
    <n v="0"/>
    <s v="Chaitra 80"/>
    <n v="2024"/>
  </r>
  <r>
    <n v="219"/>
    <x v="3"/>
    <x v="22"/>
    <x v="1"/>
    <n v="0"/>
    <s v="Chaitra 80"/>
    <n v="2024"/>
  </r>
  <r>
    <n v="220"/>
    <x v="3"/>
    <x v="23"/>
    <x v="1"/>
    <n v="0"/>
    <s v="Chaitra 80"/>
    <n v="2024"/>
  </r>
  <r>
    <n v="221"/>
    <x v="3"/>
    <x v="24"/>
    <x v="1"/>
    <n v="0"/>
    <s v="Chaitra 80"/>
    <n v="2024"/>
  </r>
  <r>
    <n v="222"/>
    <x v="3"/>
    <x v="25"/>
    <x v="1"/>
    <n v="0"/>
    <s v="Chaitra 80"/>
    <n v="2024"/>
  </r>
  <r>
    <n v="223"/>
    <x v="3"/>
    <x v="26"/>
    <x v="1"/>
    <n v="0"/>
    <s v="Chaitra 80"/>
    <n v="2024"/>
  </r>
  <r>
    <n v="224"/>
    <x v="3"/>
    <x v="27"/>
    <x v="1"/>
    <n v="0"/>
    <s v="Chaitra 80"/>
    <n v="2024"/>
  </r>
  <r>
    <n v="225"/>
    <x v="4"/>
    <x v="0"/>
    <x v="0"/>
    <n v="0.24855209889701646"/>
    <s v="Poush 80"/>
    <n v="2023"/>
  </r>
  <r>
    <n v="226"/>
    <x v="4"/>
    <x v="1"/>
    <x v="0"/>
    <n v="0.13986063032117141"/>
    <s v="Poush 80"/>
    <n v="2023"/>
  </r>
  <r>
    <n v="227"/>
    <x v="4"/>
    <x v="2"/>
    <x v="0"/>
    <n v="0"/>
    <s v="Poush 80"/>
    <n v="2023"/>
  </r>
  <r>
    <n v="228"/>
    <x v="4"/>
    <x v="3"/>
    <x v="0"/>
    <n v="0.13215414863259209"/>
    <s v="Poush 80"/>
    <n v="2023"/>
  </r>
  <r>
    <n v="229"/>
    <x v="4"/>
    <x v="4"/>
    <x v="0"/>
    <n v="0.33017545741837506"/>
    <s v="Poush 80"/>
    <n v="2023"/>
  </r>
  <r>
    <n v="230"/>
    <x v="4"/>
    <x v="5"/>
    <x v="0"/>
    <n v="0.18365449655914115"/>
    <s v="Poush 80"/>
    <n v="2023"/>
  </r>
  <r>
    <n v="231"/>
    <x v="4"/>
    <x v="6"/>
    <x v="0"/>
    <n v="6.2855123336410412E-2"/>
    <s v="Poush 80"/>
    <n v="2023"/>
  </r>
  <r>
    <n v="232"/>
    <x v="4"/>
    <x v="7"/>
    <x v="0"/>
    <n v="0"/>
    <s v="Poush 80"/>
    <n v="2023"/>
  </r>
  <r>
    <n v="233"/>
    <x v="4"/>
    <x v="8"/>
    <x v="0"/>
    <n v="0.29428334042869797"/>
    <s v="Poush 80"/>
    <n v="2023"/>
  </r>
  <r>
    <n v="234"/>
    <x v="4"/>
    <x v="9"/>
    <x v="0"/>
    <n v="1.3412929094780885E-2"/>
    <s v="Poush 80"/>
    <n v="2023"/>
  </r>
  <r>
    <n v="235"/>
    <x v="4"/>
    <x v="10"/>
    <x v="0"/>
    <n v="0"/>
    <s v="Poush 80"/>
    <n v="2023"/>
  </r>
  <r>
    <n v="236"/>
    <x v="4"/>
    <x v="11"/>
    <x v="0"/>
    <n v="0.23477147848222291"/>
    <s v="Poush 80"/>
    <n v="2023"/>
  </r>
  <r>
    <n v="237"/>
    <x v="4"/>
    <x v="12"/>
    <x v="0"/>
    <n v="0.21982934702454374"/>
    <s v="Poush 80"/>
    <n v="2023"/>
  </r>
  <r>
    <n v="238"/>
    <x v="4"/>
    <x v="13"/>
    <x v="0"/>
    <n v="0.19476763642741166"/>
    <s v="Poush 80"/>
    <n v="2023"/>
  </r>
  <r>
    <n v="239"/>
    <x v="4"/>
    <x v="14"/>
    <x v="0"/>
    <n v="0"/>
    <s v="Poush 80"/>
    <n v="2023"/>
  </r>
  <r>
    <n v="240"/>
    <x v="4"/>
    <x v="15"/>
    <x v="0"/>
    <n v="0.39426865371306768"/>
    <s v="Poush 80"/>
    <n v="2023"/>
  </r>
  <r>
    <n v="241"/>
    <x v="4"/>
    <x v="16"/>
    <x v="0"/>
    <n v="0"/>
    <s v="Poush 80"/>
    <n v="2023"/>
  </r>
  <r>
    <n v="242"/>
    <x v="4"/>
    <x v="17"/>
    <x v="0"/>
    <n v="0.15216309350310464"/>
    <s v="Poush 80"/>
    <n v="2023"/>
  </r>
  <r>
    <n v="243"/>
    <x v="4"/>
    <x v="18"/>
    <x v="0"/>
    <n v="2.1206798283260428E-2"/>
    <s v="Poush 80"/>
    <n v="2023"/>
  </r>
  <r>
    <n v="244"/>
    <x v="4"/>
    <x v="19"/>
    <x v="0"/>
    <n v="0"/>
    <s v="Poush 80"/>
    <n v="2023"/>
  </r>
  <r>
    <n v="245"/>
    <x v="4"/>
    <x v="20"/>
    <x v="0"/>
    <n v="0"/>
    <s v="Poush 80"/>
    <n v="2023"/>
  </r>
  <r>
    <n v="246"/>
    <x v="4"/>
    <x v="21"/>
    <x v="0"/>
    <n v="0"/>
    <s v="Poush 80"/>
    <n v="2023"/>
  </r>
  <r>
    <n v="247"/>
    <x v="4"/>
    <x v="22"/>
    <x v="0"/>
    <n v="0"/>
    <s v="Poush 80"/>
    <n v="2023"/>
  </r>
  <r>
    <n v="248"/>
    <x v="4"/>
    <x v="23"/>
    <x v="0"/>
    <n v="0"/>
    <s v="Poush 80"/>
    <n v="2023"/>
  </r>
  <r>
    <n v="249"/>
    <x v="4"/>
    <x v="24"/>
    <x v="0"/>
    <n v="0"/>
    <s v="Poush 80"/>
    <n v="2023"/>
  </r>
  <r>
    <n v="250"/>
    <x v="4"/>
    <x v="25"/>
    <x v="0"/>
    <n v="0"/>
    <s v="Poush 80"/>
    <n v="2023"/>
  </r>
  <r>
    <n v="251"/>
    <x v="4"/>
    <x v="26"/>
    <x v="0"/>
    <n v="0"/>
    <s v="Poush 80"/>
    <n v="2023"/>
  </r>
  <r>
    <n v="252"/>
    <x v="4"/>
    <x v="27"/>
    <x v="0"/>
    <n v="0"/>
    <s v="Poush 80"/>
    <n v="2023"/>
  </r>
  <r>
    <n v="253"/>
    <x v="4"/>
    <x v="0"/>
    <x v="1"/>
    <n v="0.25411132574026196"/>
    <s v="Poush 80"/>
    <n v="2023"/>
  </r>
  <r>
    <n v="254"/>
    <x v="4"/>
    <x v="1"/>
    <x v="1"/>
    <n v="0.5673860589246198"/>
    <s v="Poush 80"/>
    <n v="2023"/>
  </r>
  <r>
    <n v="255"/>
    <x v="4"/>
    <x v="2"/>
    <x v="1"/>
    <n v="0"/>
    <s v="Poush 80"/>
    <n v="2023"/>
  </r>
  <r>
    <n v="256"/>
    <x v="4"/>
    <x v="3"/>
    <x v="1"/>
    <n v="0.46206754789816262"/>
    <s v="Poush 80"/>
    <n v="2023"/>
  </r>
  <r>
    <n v="257"/>
    <x v="4"/>
    <x v="4"/>
    <x v="1"/>
    <n v="0.49774259389177211"/>
    <s v="Poush 80"/>
    <n v="2023"/>
  </r>
  <r>
    <n v="258"/>
    <x v="4"/>
    <x v="5"/>
    <x v="1"/>
    <n v="0.44213080875867872"/>
    <s v="Poush 80"/>
    <n v="2023"/>
  </r>
  <r>
    <n v="259"/>
    <x v="4"/>
    <x v="6"/>
    <x v="1"/>
    <n v="6.4383910891994869E-2"/>
    <s v="Poush 80"/>
    <n v="2023"/>
  </r>
  <r>
    <n v="260"/>
    <x v="4"/>
    <x v="7"/>
    <x v="1"/>
    <n v="0"/>
    <s v="Poush 80"/>
    <n v="2023"/>
  </r>
  <r>
    <n v="261"/>
    <x v="4"/>
    <x v="8"/>
    <x v="1"/>
    <n v="0.65292712031449629"/>
    <s v="Poush 80"/>
    <n v="2023"/>
  </r>
  <r>
    <n v="262"/>
    <x v="4"/>
    <x v="9"/>
    <x v="1"/>
    <n v="0.29460455987793033"/>
    <s v="Poush 80"/>
    <n v="2023"/>
  </r>
  <r>
    <n v="263"/>
    <x v="4"/>
    <x v="10"/>
    <x v="1"/>
    <n v="0.25107138368789617"/>
    <s v="Poush 80"/>
    <n v="2023"/>
  </r>
  <r>
    <n v="264"/>
    <x v="4"/>
    <x v="11"/>
    <x v="1"/>
    <n v="0.73223466860459274"/>
    <s v="Poush 80"/>
    <n v="2023"/>
  </r>
  <r>
    <n v="265"/>
    <x v="4"/>
    <x v="12"/>
    <x v="1"/>
    <n v="0.48699854436995321"/>
    <s v="Poush 80"/>
    <n v="2023"/>
  </r>
  <r>
    <n v="266"/>
    <x v="4"/>
    <x v="13"/>
    <x v="1"/>
    <n v="0.55183300462129625"/>
    <s v="Poush 80"/>
    <n v="2023"/>
  </r>
  <r>
    <n v="267"/>
    <x v="4"/>
    <x v="14"/>
    <x v="1"/>
    <n v="0"/>
    <s v="Poush 80"/>
    <n v="2023"/>
  </r>
  <r>
    <n v="268"/>
    <x v="4"/>
    <x v="15"/>
    <x v="1"/>
    <n v="0.78361913215174228"/>
    <s v="Poush 80"/>
    <n v="2023"/>
  </r>
  <r>
    <n v="269"/>
    <x v="4"/>
    <x v="16"/>
    <x v="1"/>
    <n v="0"/>
    <s v="Poush 80"/>
    <n v="2023"/>
  </r>
  <r>
    <n v="270"/>
    <x v="4"/>
    <x v="17"/>
    <x v="1"/>
    <n v="0.29306487444288426"/>
    <s v="Poush 80"/>
    <n v="2023"/>
  </r>
  <r>
    <n v="271"/>
    <x v="4"/>
    <x v="18"/>
    <x v="1"/>
    <n v="6.477618321031485E-2"/>
    <s v="Poush 80"/>
    <n v="2023"/>
  </r>
  <r>
    <n v="272"/>
    <x v="4"/>
    <x v="19"/>
    <x v="1"/>
    <n v="0"/>
    <s v="Poush 80"/>
    <n v="2023"/>
  </r>
  <r>
    <n v="273"/>
    <x v="4"/>
    <x v="20"/>
    <x v="1"/>
    <n v="0"/>
    <s v="Poush 80"/>
    <n v="2023"/>
  </r>
  <r>
    <n v="274"/>
    <x v="4"/>
    <x v="21"/>
    <x v="1"/>
    <n v="0"/>
    <s v="Poush 80"/>
    <n v="2023"/>
  </r>
  <r>
    <n v="275"/>
    <x v="4"/>
    <x v="22"/>
    <x v="1"/>
    <n v="0"/>
    <s v="Poush 80"/>
    <n v="2023"/>
  </r>
  <r>
    <n v="276"/>
    <x v="4"/>
    <x v="23"/>
    <x v="1"/>
    <n v="0"/>
    <s v="Poush 80"/>
    <n v="2023"/>
  </r>
  <r>
    <n v="277"/>
    <x v="4"/>
    <x v="24"/>
    <x v="1"/>
    <n v="0"/>
    <s v="Poush 80"/>
    <n v="2023"/>
  </r>
  <r>
    <n v="278"/>
    <x v="4"/>
    <x v="25"/>
    <x v="1"/>
    <n v="0"/>
    <s v="Poush 80"/>
    <n v="2023"/>
  </r>
  <r>
    <n v="279"/>
    <x v="4"/>
    <x v="26"/>
    <x v="1"/>
    <n v="0"/>
    <s v="Poush 80"/>
    <n v="2023"/>
  </r>
  <r>
    <n v="280"/>
    <x v="4"/>
    <x v="27"/>
    <x v="1"/>
    <n v="0"/>
    <s v="Poush 80"/>
    <n v="2023"/>
  </r>
  <r>
    <n v="281"/>
    <x v="5"/>
    <x v="0"/>
    <x v="0"/>
    <n v="0.3449783896253581"/>
    <s v="Ashoj 80"/>
    <n v="2023"/>
  </r>
  <r>
    <n v="282"/>
    <x v="5"/>
    <x v="1"/>
    <x v="0"/>
    <n v="0.23708202160529451"/>
    <s v="Ashoj 80"/>
    <n v="2023"/>
  </r>
  <r>
    <n v="283"/>
    <x v="5"/>
    <x v="2"/>
    <x v="0"/>
    <n v="0"/>
    <s v="Ashoj 80"/>
    <n v="2023"/>
  </r>
  <r>
    <n v="284"/>
    <x v="5"/>
    <x v="3"/>
    <x v="0"/>
    <n v="0.24389425453700109"/>
    <s v="Ashoj 80"/>
    <n v="2023"/>
  </r>
  <r>
    <n v="285"/>
    <x v="5"/>
    <x v="4"/>
    <x v="0"/>
    <n v="0.70406307464914908"/>
    <s v="Ashoj 80"/>
    <n v="2023"/>
  </r>
  <r>
    <n v="286"/>
    <x v="5"/>
    <x v="5"/>
    <x v="0"/>
    <n v="0.4314469302268602"/>
    <s v="Ashoj 80"/>
    <n v="2023"/>
  </r>
  <r>
    <n v="287"/>
    <x v="5"/>
    <x v="6"/>
    <x v="0"/>
    <n v="0"/>
    <s v="Ashoj 80"/>
    <n v="2023"/>
  </r>
  <r>
    <n v="288"/>
    <x v="5"/>
    <x v="7"/>
    <x v="0"/>
    <n v="0"/>
    <s v="Ashoj 80"/>
    <n v="2023"/>
  </r>
  <r>
    <n v="289"/>
    <x v="5"/>
    <x v="8"/>
    <x v="0"/>
    <n v="0.85779567387820721"/>
    <s v="Ashoj 80"/>
    <n v="2023"/>
  </r>
  <r>
    <n v="290"/>
    <x v="5"/>
    <x v="9"/>
    <x v="0"/>
    <n v="1.4108277758695335E-2"/>
    <s v="Ashoj 80"/>
    <n v="2023"/>
  </r>
  <r>
    <n v="291"/>
    <x v="5"/>
    <x v="10"/>
    <x v="0"/>
    <n v="9.1496255725096801E-3"/>
    <s v="Ashoj 80"/>
    <n v="2023"/>
  </r>
  <r>
    <n v="292"/>
    <x v="5"/>
    <x v="11"/>
    <x v="0"/>
    <n v="0.57822730849912563"/>
    <s v="Ashoj 80"/>
    <n v="2023"/>
  </r>
  <r>
    <n v="293"/>
    <x v="5"/>
    <x v="12"/>
    <x v="0"/>
    <n v="0.34646628679101787"/>
    <s v="Ashoj 80"/>
    <n v="2023"/>
  </r>
  <r>
    <n v="294"/>
    <x v="5"/>
    <x v="13"/>
    <x v="0"/>
    <n v="0.59115399637470745"/>
    <s v="Ashoj 80"/>
    <n v="2023"/>
  </r>
  <r>
    <n v="295"/>
    <x v="5"/>
    <x v="14"/>
    <x v="0"/>
    <n v="0"/>
    <s v="Ashoj 80"/>
    <n v="2023"/>
  </r>
  <r>
    <n v="296"/>
    <x v="5"/>
    <x v="15"/>
    <x v="0"/>
    <n v="0.40021739433093306"/>
    <s v="Ashoj 80"/>
    <n v="2023"/>
  </r>
  <r>
    <n v="297"/>
    <x v="5"/>
    <x v="16"/>
    <x v="0"/>
    <n v="0"/>
    <s v="Ashoj 80"/>
    <n v="2023"/>
  </r>
  <r>
    <n v="298"/>
    <x v="5"/>
    <x v="17"/>
    <x v="0"/>
    <n v="0.32375171434768502"/>
    <s v="Ashoj 80"/>
    <n v="2023"/>
  </r>
  <r>
    <n v="299"/>
    <x v="5"/>
    <x v="18"/>
    <x v="0"/>
    <n v="0.46708850989528555"/>
    <s v="Ashoj 80"/>
    <n v="2023"/>
  </r>
  <r>
    <n v="300"/>
    <x v="5"/>
    <x v="19"/>
    <x v="0"/>
    <n v="0"/>
    <s v="Ashoj 80"/>
    <n v="2023"/>
  </r>
  <r>
    <n v="301"/>
    <x v="5"/>
    <x v="20"/>
    <x v="0"/>
    <n v="0"/>
    <s v="Ashoj 80"/>
    <n v="2023"/>
  </r>
  <r>
    <n v="302"/>
    <x v="5"/>
    <x v="21"/>
    <x v="0"/>
    <n v="0"/>
    <s v="Ashoj 80"/>
    <n v="2023"/>
  </r>
  <r>
    <n v="303"/>
    <x v="5"/>
    <x v="22"/>
    <x v="0"/>
    <n v="8.4534926537409696E-2"/>
    <s v="Ashoj 80"/>
    <n v="2023"/>
  </r>
  <r>
    <n v="304"/>
    <x v="5"/>
    <x v="23"/>
    <x v="0"/>
    <n v="0"/>
    <s v="Ashoj 80"/>
    <n v="2023"/>
  </r>
  <r>
    <n v="305"/>
    <x v="5"/>
    <x v="24"/>
    <x v="0"/>
    <n v="0"/>
    <s v="Ashoj 80"/>
    <n v="2023"/>
  </r>
  <r>
    <n v="306"/>
    <x v="5"/>
    <x v="25"/>
    <x v="0"/>
    <n v="0"/>
    <s v="Ashoj 80"/>
    <n v="2023"/>
  </r>
  <r>
    <n v="307"/>
    <x v="5"/>
    <x v="26"/>
    <x v="0"/>
    <n v="0"/>
    <s v="Ashoj 80"/>
    <n v="2023"/>
  </r>
  <r>
    <n v="308"/>
    <x v="5"/>
    <x v="27"/>
    <x v="0"/>
    <n v="0"/>
    <s v="Ashoj 80"/>
    <n v="2023"/>
  </r>
  <r>
    <n v="309"/>
    <x v="5"/>
    <x v="0"/>
    <x v="1"/>
    <n v="1"/>
    <s v="Ashoj 80"/>
    <n v="2023"/>
  </r>
  <r>
    <n v="310"/>
    <x v="5"/>
    <x v="1"/>
    <x v="1"/>
    <n v="0"/>
    <s v="Ashoj 80"/>
    <n v="2023"/>
  </r>
  <r>
    <n v="311"/>
    <x v="5"/>
    <x v="2"/>
    <x v="1"/>
    <n v="0"/>
    <s v="Ashoj 80"/>
    <n v="2023"/>
  </r>
  <r>
    <n v="312"/>
    <x v="5"/>
    <x v="3"/>
    <x v="1"/>
    <n v="0.49139528068964528"/>
    <s v="Ashoj 80"/>
    <n v="2023"/>
  </r>
  <r>
    <n v="313"/>
    <x v="5"/>
    <x v="4"/>
    <x v="1"/>
    <n v="0.75826984904903272"/>
    <s v="Ashoj 80"/>
    <n v="2023"/>
  </r>
  <r>
    <n v="314"/>
    <x v="5"/>
    <x v="5"/>
    <x v="1"/>
    <n v="0.73638931668264318"/>
    <s v="Ashoj 80"/>
    <n v="2023"/>
  </r>
  <r>
    <n v="315"/>
    <x v="5"/>
    <x v="6"/>
    <x v="1"/>
    <n v="0"/>
    <s v="Ashoj 80"/>
    <n v="2023"/>
  </r>
  <r>
    <n v="316"/>
    <x v="5"/>
    <x v="7"/>
    <x v="1"/>
    <n v="0"/>
    <s v="Ashoj 80"/>
    <n v="2023"/>
  </r>
  <r>
    <n v="317"/>
    <x v="5"/>
    <x v="8"/>
    <x v="1"/>
    <n v="0.98770795699460978"/>
    <s v="Ashoj 80"/>
    <n v="2023"/>
  </r>
  <r>
    <n v="318"/>
    <x v="5"/>
    <x v="9"/>
    <x v="1"/>
    <n v="0.20971649691495162"/>
    <s v="Ashoj 80"/>
    <n v="2023"/>
  </r>
  <r>
    <n v="319"/>
    <x v="5"/>
    <x v="10"/>
    <x v="1"/>
    <n v="0"/>
    <s v="Ashoj 80"/>
    <n v="2023"/>
  </r>
  <r>
    <n v="320"/>
    <x v="5"/>
    <x v="11"/>
    <x v="1"/>
    <n v="0.78833475956443033"/>
    <s v="Ashoj 80"/>
    <n v="2023"/>
  </r>
  <r>
    <n v="321"/>
    <x v="5"/>
    <x v="12"/>
    <x v="1"/>
    <n v="0.57904896043197573"/>
    <s v="Ashoj 80"/>
    <n v="2023"/>
  </r>
  <r>
    <n v="322"/>
    <x v="5"/>
    <x v="13"/>
    <x v="1"/>
    <n v="1"/>
    <s v="Ashoj 80"/>
    <n v="2023"/>
  </r>
  <r>
    <n v="323"/>
    <x v="5"/>
    <x v="14"/>
    <x v="1"/>
    <n v="0"/>
    <s v="Ashoj 80"/>
    <n v="2023"/>
  </r>
  <r>
    <n v="324"/>
    <x v="5"/>
    <x v="15"/>
    <x v="1"/>
    <n v="0.71911505203798565"/>
    <s v="Ashoj 80"/>
    <n v="2023"/>
  </r>
  <r>
    <n v="325"/>
    <x v="5"/>
    <x v="16"/>
    <x v="1"/>
    <n v="0"/>
    <s v="Ashoj 80"/>
    <n v="2023"/>
  </r>
  <r>
    <n v="326"/>
    <x v="5"/>
    <x v="17"/>
    <x v="1"/>
    <n v="0.46495769744555115"/>
    <s v="Ashoj 80"/>
    <n v="2023"/>
  </r>
  <r>
    <n v="327"/>
    <x v="5"/>
    <x v="18"/>
    <x v="1"/>
    <n v="0.54339685937727045"/>
    <s v="Ashoj 80"/>
    <n v="2023"/>
  </r>
  <r>
    <n v="328"/>
    <x v="5"/>
    <x v="19"/>
    <x v="1"/>
    <n v="0"/>
    <s v="Ashoj 80"/>
    <n v="2023"/>
  </r>
  <r>
    <n v="329"/>
    <x v="5"/>
    <x v="20"/>
    <x v="1"/>
    <n v="0"/>
    <s v="Ashoj 80"/>
    <n v="2023"/>
  </r>
  <r>
    <n v="330"/>
    <x v="5"/>
    <x v="21"/>
    <x v="1"/>
    <n v="0"/>
    <s v="Ashoj 80"/>
    <n v="2023"/>
  </r>
  <r>
    <n v="331"/>
    <x v="5"/>
    <x v="22"/>
    <x v="1"/>
    <n v="0"/>
    <s v="Ashoj 80"/>
    <n v="2023"/>
  </r>
  <r>
    <n v="332"/>
    <x v="5"/>
    <x v="23"/>
    <x v="1"/>
    <n v="0"/>
    <s v="Ashoj 80"/>
    <n v="2023"/>
  </r>
  <r>
    <n v="333"/>
    <x v="5"/>
    <x v="24"/>
    <x v="1"/>
    <n v="0"/>
    <s v="Ashoj 80"/>
    <n v="2023"/>
  </r>
  <r>
    <n v="334"/>
    <x v="5"/>
    <x v="25"/>
    <x v="1"/>
    <n v="0"/>
    <s v="Ashoj 80"/>
    <n v="2023"/>
  </r>
  <r>
    <n v="335"/>
    <x v="5"/>
    <x v="26"/>
    <x v="1"/>
    <n v="0"/>
    <s v="Ashoj 80"/>
    <n v="2023"/>
  </r>
  <r>
    <n v="336"/>
    <x v="5"/>
    <x v="27"/>
    <x v="1"/>
    <n v="0"/>
    <s v="Ashoj 80"/>
    <n v="2023"/>
  </r>
  <r>
    <n v="337"/>
    <x v="6"/>
    <x v="0"/>
    <x v="0"/>
    <n v="3.4235803014445051E-2"/>
    <s v="Asadh 80"/>
    <n v="2023"/>
  </r>
  <r>
    <n v="338"/>
    <x v="6"/>
    <x v="1"/>
    <x v="0"/>
    <n v="0"/>
    <s v="Asadh 80"/>
    <n v="2023"/>
  </r>
  <r>
    <n v="339"/>
    <x v="6"/>
    <x v="2"/>
    <x v="0"/>
    <n v="0"/>
    <s v="Asadh 80"/>
    <n v="2023"/>
  </r>
  <r>
    <n v="340"/>
    <x v="6"/>
    <x v="3"/>
    <x v="0"/>
    <n v="7.6472851048231122E-2"/>
    <s v="Asadh 80"/>
    <n v="2023"/>
  </r>
  <r>
    <n v="341"/>
    <x v="6"/>
    <x v="4"/>
    <x v="0"/>
    <n v="0.16340734777391733"/>
    <s v="Asadh 80"/>
    <n v="2023"/>
  </r>
  <r>
    <n v="342"/>
    <x v="6"/>
    <x v="5"/>
    <x v="0"/>
    <n v="7.9888683411804828E-2"/>
    <s v="Asadh 80"/>
    <n v="2023"/>
  </r>
  <r>
    <n v="343"/>
    <x v="6"/>
    <x v="6"/>
    <x v="0"/>
    <n v="0"/>
    <s v="Asadh 80"/>
    <n v="2023"/>
  </r>
  <r>
    <n v="344"/>
    <x v="6"/>
    <x v="7"/>
    <x v="0"/>
    <n v="0"/>
    <s v="Asadh 80"/>
    <n v="2023"/>
  </r>
  <r>
    <n v="345"/>
    <x v="6"/>
    <x v="8"/>
    <x v="0"/>
    <n v="0.1366339143577992"/>
    <s v="Asadh 80"/>
    <n v="2023"/>
  </r>
  <r>
    <n v="346"/>
    <x v="6"/>
    <x v="9"/>
    <x v="0"/>
    <n v="0.23335926548868952"/>
    <s v="Asadh 80"/>
    <n v="2023"/>
  </r>
  <r>
    <n v="347"/>
    <x v="6"/>
    <x v="10"/>
    <x v="0"/>
    <n v="0"/>
    <s v="Asadh 80"/>
    <n v="2023"/>
  </r>
  <r>
    <n v="348"/>
    <x v="6"/>
    <x v="11"/>
    <x v="0"/>
    <n v="0.20683307064262194"/>
    <s v="Asadh 80"/>
    <n v="2023"/>
  </r>
  <r>
    <n v="349"/>
    <x v="6"/>
    <x v="12"/>
    <x v="0"/>
    <n v="5.2940396104800426E-2"/>
    <s v="Asadh 80"/>
    <n v="2023"/>
  </r>
  <r>
    <n v="350"/>
    <x v="6"/>
    <x v="13"/>
    <x v="0"/>
    <n v="0"/>
    <s v="Asadh 80"/>
    <n v="2023"/>
  </r>
  <r>
    <n v="351"/>
    <x v="6"/>
    <x v="14"/>
    <x v="0"/>
    <n v="0"/>
    <s v="Asadh 80"/>
    <n v="2023"/>
  </r>
  <r>
    <n v="352"/>
    <x v="6"/>
    <x v="15"/>
    <x v="0"/>
    <n v="0.19782772023998796"/>
    <s v="Asadh 80"/>
    <n v="2023"/>
  </r>
  <r>
    <n v="353"/>
    <x v="6"/>
    <x v="16"/>
    <x v="0"/>
    <n v="0"/>
    <s v="Asadh 80"/>
    <n v="2023"/>
  </r>
  <r>
    <n v="354"/>
    <x v="6"/>
    <x v="17"/>
    <x v="0"/>
    <n v="0.14428935643738483"/>
    <s v="Asadh 80"/>
    <n v="2023"/>
  </r>
  <r>
    <n v="355"/>
    <x v="6"/>
    <x v="18"/>
    <x v="0"/>
    <n v="0.18217850985661016"/>
    <s v="Asadh 80"/>
    <n v="2023"/>
  </r>
  <r>
    <n v="356"/>
    <x v="6"/>
    <x v="19"/>
    <x v="0"/>
    <n v="0"/>
    <s v="Asadh 80"/>
    <n v="2023"/>
  </r>
  <r>
    <n v="357"/>
    <x v="6"/>
    <x v="20"/>
    <x v="0"/>
    <n v="0"/>
    <s v="Asadh 80"/>
    <n v="2023"/>
  </r>
  <r>
    <n v="358"/>
    <x v="6"/>
    <x v="21"/>
    <x v="0"/>
    <n v="0"/>
    <s v="Asadh 80"/>
    <n v="2023"/>
  </r>
  <r>
    <n v="359"/>
    <x v="6"/>
    <x v="22"/>
    <x v="0"/>
    <n v="0"/>
    <s v="Asadh 80"/>
    <n v="2023"/>
  </r>
  <r>
    <n v="360"/>
    <x v="6"/>
    <x v="23"/>
    <x v="0"/>
    <n v="0"/>
    <s v="Asadh 80"/>
    <n v="2023"/>
  </r>
  <r>
    <n v="361"/>
    <x v="6"/>
    <x v="24"/>
    <x v="0"/>
    <n v="0"/>
    <s v="Asadh 80"/>
    <n v="2023"/>
  </r>
  <r>
    <n v="362"/>
    <x v="6"/>
    <x v="25"/>
    <x v="0"/>
    <n v="1"/>
    <s v="Asadh 80"/>
    <n v="2023"/>
  </r>
  <r>
    <n v="363"/>
    <x v="6"/>
    <x v="26"/>
    <x v="0"/>
    <n v="0"/>
    <s v="Asadh 80"/>
    <n v="2023"/>
  </r>
  <r>
    <n v="364"/>
    <x v="6"/>
    <x v="27"/>
    <x v="0"/>
    <n v="0"/>
    <s v="Asadh 80"/>
    <n v="2023"/>
  </r>
  <r>
    <n v="365"/>
    <x v="6"/>
    <x v="0"/>
    <x v="1"/>
    <n v="3.4680823735224464E-2"/>
    <s v="Asadh 80"/>
    <n v="2023"/>
  </r>
  <r>
    <n v="366"/>
    <x v="6"/>
    <x v="1"/>
    <x v="1"/>
    <n v="0.51562192141164287"/>
    <s v="Asadh 80"/>
    <n v="2023"/>
  </r>
  <r>
    <n v="367"/>
    <x v="6"/>
    <x v="2"/>
    <x v="1"/>
    <n v="0"/>
    <s v="Asadh 80"/>
    <n v="2023"/>
  </r>
  <r>
    <n v="368"/>
    <x v="6"/>
    <x v="3"/>
    <x v="1"/>
    <n v="0.19938074937408573"/>
    <s v="Asadh 80"/>
    <n v="2023"/>
  </r>
  <r>
    <n v="369"/>
    <x v="6"/>
    <x v="4"/>
    <x v="1"/>
    <n v="0.23507369317542906"/>
    <s v="Asadh 80"/>
    <n v="2023"/>
  </r>
  <r>
    <n v="370"/>
    <x v="6"/>
    <x v="5"/>
    <x v="1"/>
    <n v="0.299538875217217"/>
    <s v="Asadh 80"/>
    <n v="2023"/>
  </r>
  <r>
    <n v="371"/>
    <x v="6"/>
    <x v="6"/>
    <x v="1"/>
    <n v="0.2193485493111752"/>
    <s v="Asadh 80"/>
    <n v="2023"/>
  </r>
  <r>
    <n v="372"/>
    <x v="6"/>
    <x v="7"/>
    <x v="1"/>
    <n v="0"/>
    <s v="Asadh 80"/>
    <n v="2023"/>
  </r>
  <r>
    <n v="373"/>
    <x v="6"/>
    <x v="8"/>
    <x v="1"/>
    <n v="0.28091380822180401"/>
    <s v="Asadh 80"/>
    <n v="2023"/>
  </r>
  <r>
    <n v="374"/>
    <x v="6"/>
    <x v="9"/>
    <x v="1"/>
    <n v="0.71990146719034787"/>
    <s v="Asadh 80"/>
    <n v="2023"/>
  </r>
  <r>
    <n v="375"/>
    <x v="6"/>
    <x v="10"/>
    <x v="1"/>
    <n v="0"/>
    <s v="Asadh 80"/>
    <n v="2023"/>
  </r>
  <r>
    <n v="376"/>
    <x v="6"/>
    <x v="11"/>
    <x v="1"/>
    <n v="0.40353145867204587"/>
    <s v="Asadh 80"/>
    <n v="2023"/>
  </r>
  <r>
    <n v="377"/>
    <x v="6"/>
    <x v="12"/>
    <x v="1"/>
    <n v="0.19035593155030733"/>
    <s v="Asadh 80"/>
    <n v="2023"/>
  </r>
  <r>
    <n v="378"/>
    <x v="6"/>
    <x v="13"/>
    <x v="1"/>
    <n v="3.4552201563698057E-3"/>
    <s v="Asadh 80"/>
    <n v="2023"/>
  </r>
  <r>
    <n v="379"/>
    <x v="6"/>
    <x v="14"/>
    <x v="1"/>
    <n v="0"/>
    <s v="Asadh 80"/>
    <n v="2023"/>
  </r>
  <r>
    <n v="380"/>
    <x v="6"/>
    <x v="15"/>
    <x v="1"/>
    <n v="0.38113278404329337"/>
    <s v="Asadh 80"/>
    <n v="2023"/>
  </r>
  <r>
    <n v="381"/>
    <x v="6"/>
    <x v="16"/>
    <x v="1"/>
    <n v="0"/>
    <s v="Asadh 80"/>
    <n v="2023"/>
  </r>
  <r>
    <n v="382"/>
    <x v="6"/>
    <x v="17"/>
    <x v="1"/>
    <n v="0.23938481341342929"/>
    <s v="Asadh 80"/>
    <n v="2023"/>
  </r>
  <r>
    <n v="383"/>
    <x v="6"/>
    <x v="18"/>
    <x v="1"/>
    <n v="0.21322565571022392"/>
    <s v="Asadh 80"/>
    <n v="2023"/>
  </r>
  <r>
    <n v="384"/>
    <x v="6"/>
    <x v="19"/>
    <x v="1"/>
    <n v="0"/>
    <s v="Asadh 80"/>
    <n v="2023"/>
  </r>
  <r>
    <n v="385"/>
    <x v="6"/>
    <x v="20"/>
    <x v="1"/>
    <n v="0"/>
    <s v="Asadh 80"/>
    <n v="2023"/>
  </r>
  <r>
    <n v="386"/>
    <x v="6"/>
    <x v="21"/>
    <x v="1"/>
    <n v="0"/>
    <s v="Asadh 80"/>
    <n v="2023"/>
  </r>
  <r>
    <n v="387"/>
    <x v="6"/>
    <x v="22"/>
    <x v="1"/>
    <n v="0"/>
    <s v="Asadh 80"/>
    <n v="2023"/>
  </r>
  <r>
    <n v="388"/>
    <x v="6"/>
    <x v="23"/>
    <x v="1"/>
    <n v="0"/>
    <s v="Asadh 80"/>
    <n v="2023"/>
  </r>
  <r>
    <n v="389"/>
    <x v="6"/>
    <x v="24"/>
    <x v="1"/>
    <n v="0"/>
    <s v="Asadh 80"/>
    <n v="2023"/>
  </r>
  <r>
    <n v="390"/>
    <x v="6"/>
    <x v="25"/>
    <x v="1"/>
    <n v="0"/>
    <s v="Asadh 80"/>
    <n v="2023"/>
  </r>
  <r>
    <n v="391"/>
    <x v="6"/>
    <x v="26"/>
    <x v="1"/>
    <n v="0"/>
    <s v="Asadh 80"/>
    <n v="2023"/>
  </r>
  <r>
    <n v="392"/>
    <x v="6"/>
    <x v="27"/>
    <x v="1"/>
    <n v="0"/>
    <s v="Asadh 80"/>
    <n v="2023"/>
  </r>
  <r>
    <n v="393"/>
    <x v="7"/>
    <x v="0"/>
    <x v="0"/>
    <n v="3.8852619186632707E-2"/>
    <s v="Chaitra 79"/>
    <n v="2023"/>
  </r>
  <r>
    <n v="394"/>
    <x v="7"/>
    <x v="1"/>
    <x v="0"/>
    <n v="0.10673712266082122"/>
    <s v="Chaitra 79"/>
    <n v="2023"/>
  </r>
  <r>
    <n v="395"/>
    <x v="7"/>
    <x v="2"/>
    <x v="0"/>
    <n v="0"/>
    <s v="Chaitra 79"/>
    <n v="2023"/>
  </r>
  <r>
    <n v="396"/>
    <x v="7"/>
    <x v="3"/>
    <x v="0"/>
    <n v="0.12891642895682734"/>
    <s v="Chaitra 79"/>
    <n v="2023"/>
  </r>
  <r>
    <n v="397"/>
    <x v="7"/>
    <x v="4"/>
    <x v="0"/>
    <n v="0.15302725211544127"/>
    <s v="Chaitra 79"/>
    <n v="2023"/>
  </r>
  <r>
    <n v="398"/>
    <x v="7"/>
    <x v="5"/>
    <x v="0"/>
    <n v="0.17918808591385976"/>
    <s v="Chaitra 79"/>
    <n v="2023"/>
  </r>
  <r>
    <n v="399"/>
    <x v="7"/>
    <x v="6"/>
    <x v="0"/>
    <n v="0"/>
    <s v="Chaitra 79"/>
    <n v="2023"/>
  </r>
  <r>
    <n v="400"/>
    <x v="7"/>
    <x v="7"/>
    <x v="0"/>
    <n v="0"/>
    <s v="Chaitra 79"/>
    <n v="2023"/>
  </r>
  <r>
    <n v="401"/>
    <x v="7"/>
    <x v="8"/>
    <x v="0"/>
    <n v="0.41833595707766758"/>
    <s v="Chaitra 79"/>
    <n v="2023"/>
  </r>
  <r>
    <n v="402"/>
    <x v="7"/>
    <x v="9"/>
    <x v="0"/>
    <n v="5.662731617438313E-3"/>
    <s v="Chaitra 79"/>
    <n v="2023"/>
  </r>
  <r>
    <n v="403"/>
    <x v="7"/>
    <x v="10"/>
    <x v="0"/>
    <n v="9.7910518567752458E-2"/>
    <s v="Chaitra 79"/>
    <n v="2023"/>
  </r>
  <r>
    <n v="404"/>
    <x v="7"/>
    <x v="11"/>
    <x v="0"/>
    <n v="0.13091883098310353"/>
    <s v="Chaitra 79"/>
    <n v="2023"/>
  </r>
  <r>
    <n v="405"/>
    <x v="7"/>
    <x v="12"/>
    <x v="0"/>
    <n v="4.4565972213570906E-2"/>
    <s v="Chaitra 79"/>
    <n v="2023"/>
  </r>
  <r>
    <n v="406"/>
    <x v="7"/>
    <x v="13"/>
    <x v="0"/>
    <n v="0"/>
    <s v="Chaitra 79"/>
    <n v="2023"/>
  </r>
  <r>
    <n v="407"/>
    <x v="7"/>
    <x v="14"/>
    <x v="0"/>
    <n v="0"/>
    <s v="Chaitra 79"/>
    <n v="2023"/>
  </r>
  <r>
    <n v="408"/>
    <x v="7"/>
    <x v="15"/>
    <x v="0"/>
    <n v="0.2120793988147151"/>
    <s v="Chaitra 79"/>
    <n v="2023"/>
  </r>
  <r>
    <n v="409"/>
    <x v="7"/>
    <x v="16"/>
    <x v="0"/>
    <n v="0"/>
    <s v="Chaitra 79"/>
    <n v="2023"/>
  </r>
  <r>
    <n v="410"/>
    <x v="7"/>
    <x v="17"/>
    <x v="0"/>
    <n v="0.10836416531430079"/>
    <s v="Chaitra 79"/>
    <n v="2023"/>
  </r>
  <r>
    <n v="411"/>
    <x v="7"/>
    <x v="18"/>
    <x v="0"/>
    <n v="8.1989229578233597E-2"/>
    <s v="Chaitra 79"/>
    <n v="2023"/>
  </r>
  <r>
    <n v="412"/>
    <x v="7"/>
    <x v="19"/>
    <x v="0"/>
    <n v="0"/>
    <s v="Chaitra 79"/>
    <n v="2023"/>
  </r>
  <r>
    <n v="413"/>
    <x v="7"/>
    <x v="20"/>
    <x v="0"/>
    <n v="0"/>
    <s v="Chaitra 79"/>
    <n v="2023"/>
  </r>
  <r>
    <n v="414"/>
    <x v="7"/>
    <x v="21"/>
    <x v="0"/>
    <n v="0"/>
    <s v="Chaitra 79"/>
    <n v="2023"/>
  </r>
  <r>
    <n v="415"/>
    <x v="7"/>
    <x v="22"/>
    <x v="0"/>
    <n v="0"/>
    <s v="Chaitra 79"/>
    <n v="2023"/>
  </r>
  <r>
    <n v="416"/>
    <x v="7"/>
    <x v="23"/>
    <x v="0"/>
    <n v="0"/>
    <s v="Chaitra 79"/>
    <n v="2023"/>
  </r>
  <r>
    <n v="417"/>
    <x v="7"/>
    <x v="24"/>
    <x v="0"/>
    <n v="0"/>
    <s v="Chaitra 79"/>
    <n v="2023"/>
  </r>
  <r>
    <n v="418"/>
    <x v="7"/>
    <x v="25"/>
    <x v="0"/>
    <n v="0"/>
    <s v="Chaitra 79"/>
    <n v="2023"/>
  </r>
  <r>
    <n v="419"/>
    <x v="7"/>
    <x v="26"/>
    <x v="0"/>
    <n v="0"/>
    <s v="Chaitra 79"/>
    <n v="2023"/>
  </r>
  <r>
    <n v="420"/>
    <x v="7"/>
    <x v="27"/>
    <x v="0"/>
    <n v="0"/>
    <s v="Chaitra 79"/>
    <n v="2023"/>
  </r>
  <r>
    <n v="421"/>
    <x v="7"/>
    <x v="0"/>
    <x v="1"/>
    <n v="3.9906376557314847E-2"/>
    <s v="Chaitra 79"/>
    <n v="2023"/>
  </r>
  <r>
    <n v="422"/>
    <x v="7"/>
    <x v="1"/>
    <x v="1"/>
    <n v="0.15087909601832744"/>
    <s v="Chaitra 79"/>
    <n v="2023"/>
  </r>
  <r>
    <n v="423"/>
    <x v="7"/>
    <x v="2"/>
    <x v="1"/>
    <n v="0"/>
    <s v="Chaitra 79"/>
    <n v="2023"/>
  </r>
  <r>
    <n v="424"/>
    <x v="7"/>
    <x v="3"/>
    <x v="1"/>
    <n v="0.30474756816702786"/>
    <s v="Chaitra 79"/>
    <n v="2023"/>
  </r>
  <r>
    <n v="425"/>
    <x v="7"/>
    <x v="4"/>
    <x v="1"/>
    <n v="0.30941419116730828"/>
    <s v="Chaitra 79"/>
    <n v="2023"/>
  </r>
  <r>
    <n v="426"/>
    <x v="7"/>
    <x v="5"/>
    <x v="1"/>
    <n v="0.5820056263983987"/>
    <s v="Chaitra 79"/>
    <n v="2023"/>
  </r>
  <r>
    <n v="427"/>
    <x v="7"/>
    <x v="6"/>
    <x v="1"/>
    <n v="0"/>
    <s v="Chaitra 79"/>
    <n v="2023"/>
  </r>
  <r>
    <n v="428"/>
    <x v="7"/>
    <x v="7"/>
    <x v="1"/>
    <n v="0"/>
    <s v="Chaitra 79"/>
    <n v="2023"/>
  </r>
  <r>
    <n v="429"/>
    <x v="7"/>
    <x v="8"/>
    <x v="1"/>
    <n v="0.52776928605666407"/>
    <s v="Chaitra 79"/>
    <n v="2023"/>
  </r>
  <r>
    <n v="430"/>
    <x v="7"/>
    <x v="9"/>
    <x v="1"/>
    <n v="1.3185511298953272E-2"/>
    <s v="Chaitra 79"/>
    <n v="2023"/>
  </r>
  <r>
    <n v="431"/>
    <x v="7"/>
    <x v="10"/>
    <x v="1"/>
    <n v="0.96449211647096966"/>
    <s v="Chaitra 79"/>
    <n v="2023"/>
  </r>
  <r>
    <n v="432"/>
    <x v="7"/>
    <x v="11"/>
    <x v="1"/>
    <n v="0.21303766935412796"/>
    <s v="Chaitra 79"/>
    <n v="2023"/>
  </r>
  <r>
    <n v="433"/>
    <x v="7"/>
    <x v="12"/>
    <x v="1"/>
    <n v="5.5510118853846588E-2"/>
    <s v="Chaitra 79"/>
    <n v="2023"/>
  </r>
  <r>
    <n v="434"/>
    <x v="7"/>
    <x v="13"/>
    <x v="1"/>
    <n v="0"/>
    <s v="Chaitra 79"/>
    <n v="2023"/>
  </r>
  <r>
    <n v="435"/>
    <x v="7"/>
    <x v="14"/>
    <x v="1"/>
    <n v="0"/>
    <s v="Chaitra 79"/>
    <n v="2023"/>
  </r>
  <r>
    <n v="436"/>
    <x v="7"/>
    <x v="15"/>
    <x v="1"/>
    <n v="0.43476511862509271"/>
    <s v="Chaitra 79"/>
    <n v="2023"/>
  </r>
  <r>
    <n v="437"/>
    <x v="7"/>
    <x v="16"/>
    <x v="1"/>
    <n v="0"/>
    <s v="Chaitra 79"/>
    <n v="2023"/>
  </r>
  <r>
    <n v="438"/>
    <x v="7"/>
    <x v="17"/>
    <x v="1"/>
    <n v="0.24467888790305314"/>
    <s v="Chaitra 79"/>
    <n v="2023"/>
  </r>
  <r>
    <n v="439"/>
    <x v="7"/>
    <x v="18"/>
    <x v="1"/>
    <n v="2.9929615434595987E-2"/>
    <s v="Chaitra 79"/>
    <n v="2023"/>
  </r>
  <r>
    <n v="440"/>
    <x v="7"/>
    <x v="19"/>
    <x v="1"/>
    <n v="0"/>
    <s v="Chaitra 79"/>
    <n v="2023"/>
  </r>
  <r>
    <n v="441"/>
    <x v="7"/>
    <x v="20"/>
    <x v="1"/>
    <n v="0"/>
    <s v="Chaitra 79"/>
    <n v="2023"/>
  </r>
  <r>
    <n v="442"/>
    <x v="7"/>
    <x v="21"/>
    <x v="1"/>
    <n v="0"/>
    <s v="Chaitra 79"/>
    <n v="2023"/>
  </r>
  <r>
    <n v="443"/>
    <x v="7"/>
    <x v="22"/>
    <x v="1"/>
    <n v="0"/>
    <s v="Chaitra 79"/>
    <n v="2023"/>
  </r>
  <r>
    <n v="444"/>
    <x v="7"/>
    <x v="23"/>
    <x v="1"/>
    <n v="0"/>
    <s v="Chaitra 79"/>
    <n v="2023"/>
  </r>
  <r>
    <n v="445"/>
    <x v="7"/>
    <x v="24"/>
    <x v="1"/>
    <n v="0"/>
    <s v="Chaitra 79"/>
    <n v="2023"/>
  </r>
  <r>
    <n v="446"/>
    <x v="7"/>
    <x v="25"/>
    <x v="1"/>
    <n v="0"/>
    <s v="Chaitra 79"/>
    <n v="2023"/>
  </r>
  <r>
    <n v="447"/>
    <x v="7"/>
    <x v="26"/>
    <x v="1"/>
    <n v="0"/>
    <s v="Chaitra 79"/>
    <n v="2023"/>
  </r>
  <r>
    <n v="448"/>
    <x v="7"/>
    <x v="27"/>
    <x v="1"/>
    <n v="0"/>
    <s v="Chaitra 79"/>
    <n v="2023"/>
  </r>
  <r>
    <n v="449"/>
    <x v="8"/>
    <x v="0"/>
    <x v="0"/>
    <n v="2.702758136971993E-2"/>
    <s v="Poush 79"/>
    <n v="2022"/>
  </r>
  <r>
    <n v="450"/>
    <x v="8"/>
    <x v="1"/>
    <x v="0"/>
    <n v="1.3928383126171444E-2"/>
    <s v="Poush 79"/>
    <n v="2022"/>
  </r>
  <r>
    <n v="451"/>
    <x v="8"/>
    <x v="2"/>
    <x v="0"/>
    <n v="0"/>
    <s v="Poush 79"/>
    <n v="2022"/>
  </r>
  <r>
    <n v="452"/>
    <x v="8"/>
    <x v="3"/>
    <x v="0"/>
    <n v="9.5214995417441495E-2"/>
    <s v="Poush 79"/>
    <n v="2022"/>
  </r>
  <r>
    <n v="453"/>
    <x v="8"/>
    <x v="4"/>
    <x v="0"/>
    <n v="0.23309613639966617"/>
    <s v="Poush 79"/>
    <n v="2022"/>
  </r>
  <r>
    <n v="454"/>
    <x v="8"/>
    <x v="5"/>
    <x v="0"/>
    <n v="4.5749025707799623E-2"/>
    <s v="Poush 79"/>
    <n v="2022"/>
  </r>
  <r>
    <n v="455"/>
    <x v="8"/>
    <x v="6"/>
    <x v="0"/>
    <n v="9.1624733193187771E-2"/>
    <s v="Poush 79"/>
    <n v="2022"/>
  </r>
  <r>
    <n v="456"/>
    <x v="8"/>
    <x v="7"/>
    <x v="0"/>
    <n v="0"/>
    <s v="Poush 79"/>
    <n v="2022"/>
  </r>
  <r>
    <n v="457"/>
    <x v="8"/>
    <x v="8"/>
    <x v="0"/>
    <n v="0.31367852257879114"/>
    <s v="Poush 79"/>
    <n v="2022"/>
  </r>
  <r>
    <n v="458"/>
    <x v="8"/>
    <x v="9"/>
    <x v="0"/>
    <n v="8.1696848841921656E-3"/>
    <s v="Poush 79"/>
    <n v="2022"/>
  </r>
  <r>
    <n v="459"/>
    <x v="8"/>
    <x v="10"/>
    <x v="0"/>
    <n v="5.7758276414934884E-3"/>
    <s v="Poush 79"/>
    <n v="2022"/>
  </r>
  <r>
    <n v="460"/>
    <x v="8"/>
    <x v="11"/>
    <x v="0"/>
    <n v="0.18013319685871892"/>
    <s v="Poush 79"/>
    <n v="2022"/>
  </r>
  <r>
    <n v="461"/>
    <x v="8"/>
    <x v="12"/>
    <x v="0"/>
    <n v="6.8679630437924577E-2"/>
    <s v="Poush 79"/>
    <n v="2022"/>
  </r>
  <r>
    <n v="462"/>
    <x v="8"/>
    <x v="13"/>
    <x v="0"/>
    <n v="0"/>
    <s v="Poush 79"/>
    <n v="2022"/>
  </r>
  <r>
    <n v="463"/>
    <x v="8"/>
    <x v="14"/>
    <x v="0"/>
    <n v="0"/>
    <s v="Poush 79"/>
    <n v="2022"/>
  </r>
  <r>
    <n v="464"/>
    <x v="8"/>
    <x v="15"/>
    <x v="0"/>
    <n v="0.3785983034793427"/>
    <s v="Poush 79"/>
    <n v="2022"/>
  </r>
  <r>
    <n v="465"/>
    <x v="8"/>
    <x v="16"/>
    <x v="0"/>
    <n v="0"/>
    <s v="Poush 79"/>
    <n v="2022"/>
  </r>
  <r>
    <n v="466"/>
    <x v="8"/>
    <x v="17"/>
    <x v="0"/>
    <n v="8.1652539491002069E-2"/>
    <s v="Poush 79"/>
    <n v="2022"/>
  </r>
  <r>
    <n v="467"/>
    <x v="8"/>
    <x v="18"/>
    <x v="0"/>
    <n v="2.7880249750878598E-2"/>
    <s v="Poush 79"/>
    <n v="2022"/>
  </r>
  <r>
    <n v="468"/>
    <x v="8"/>
    <x v="19"/>
    <x v="0"/>
    <n v="0"/>
    <s v="Poush 79"/>
    <n v="2022"/>
  </r>
  <r>
    <n v="469"/>
    <x v="8"/>
    <x v="20"/>
    <x v="0"/>
    <n v="0"/>
    <s v="Poush 79"/>
    <n v="2022"/>
  </r>
  <r>
    <n v="470"/>
    <x v="8"/>
    <x v="21"/>
    <x v="0"/>
    <n v="0"/>
    <s v="Poush 79"/>
    <n v="2022"/>
  </r>
  <r>
    <n v="471"/>
    <x v="8"/>
    <x v="22"/>
    <x v="0"/>
    <n v="0"/>
    <s v="Poush 79"/>
    <n v="2022"/>
  </r>
  <r>
    <n v="472"/>
    <x v="8"/>
    <x v="23"/>
    <x v="0"/>
    <n v="0"/>
    <s v="Poush 79"/>
    <n v="2022"/>
  </r>
  <r>
    <n v="473"/>
    <x v="8"/>
    <x v="24"/>
    <x v="0"/>
    <n v="0"/>
    <s v="Poush 79"/>
    <n v="2022"/>
  </r>
  <r>
    <n v="474"/>
    <x v="8"/>
    <x v="25"/>
    <x v="0"/>
    <n v="0"/>
    <s v="Poush 79"/>
    <n v="2022"/>
  </r>
  <r>
    <n v="475"/>
    <x v="8"/>
    <x v="26"/>
    <x v="0"/>
    <n v="0"/>
    <s v="Poush 79"/>
    <n v="2022"/>
  </r>
  <r>
    <n v="476"/>
    <x v="8"/>
    <x v="27"/>
    <x v="0"/>
    <n v="0"/>
    <s v="Poush 79"/>
    <n v="2022"/>
  </r>
  <r>
    <n v="477"/>
    <x v="8"/>
    <x v="0"/>
    <x v="1"/>
    <n v="2.5476331535166527E-2"/>
    <s v="Poush 79"/>
    <n v="2022"/>
  </r>
  <r>
    <n v="478"/>
    <x v="8"/>
    <x v="1"/>
    <x v="1"/>
    <n v="1.4832916515960519E-2"/>
    <s v="Poush 79"/>
    <n v="2022"/>
  </r>
  <r>
    <n v="479"/>
    <x v="8"/>
    <x v="2"/>
    <x v="1"/>
    <n v="0"/>
    <s v="Poush 79"/>
    <n v="2022"/>
  </r>
  <r>
    <n v="480"/>
    <x v="8"/>
    <x v="3"/>
    <x v="1"/>
    <n v="0.21149840134605746"/>
    <s v="Poush 79"/>
    <n v="2022"/>
  </r>
  <r>
    <n v="481"/>
    <x v="8"/>
    <x v="4"/>
    <x v="1"/>
    <n v="0.24925814758271797"/>
    <s v="Poush 79"/>
    <n v="2022"/>
  </r>
  <r>
    <n v="482"/>
    <x v="8"/>
    <x v="5"/>
    <x v="1"/>
    <n v="0.16189072365200377"/>
    <s v="Poush 79"/>
    <n v="2022"/>
  </r>
  <r>
    <n v="483"/>
    <x v="8"/>
    <x v="6"/>
    <x v="1"/>
    <n v="0.52921260441781759"/>
    <s v="Poush 79"/>
    <n v="2022"/>
  </r>
  <r>
    <n v="484"/>
    <x v="8"/>
    <x v="7"/>
    <x v="1"/>
    <n v="0"/>
    <s v="Poush 79"/>
    <n v="2022"/>
  </r>
  <r>
    <n v="485"/>
    <x v="8"/>
    <x v="8"/>
    <x v="1"/>
    <n v="0.64086120843811101"/>
    <s v="Poush 79"/>
    <n v="2022"/>
  </r>
  <r>
    <n v="486"/>
    <x v="8"/>
    <x v="9"/>
    <x v="1"/>
    <n v="0.12461378596897005"/>
    <s v="Poush 79"/>
    <n v="2022"/>
  </r>
  <r>
    <n v="487"/>
    <x v="8"/>
    <x v="10"/>
    <x v="1"/>
    <n v="4.5499682926874304E-3"/>
    <s v="Poush 79"/>
    <n v="2022"/>
  </r>
  <r>
    <n v="488"/>
    <x v="8"/>
    <x v="11"/>
    <x v="1"/>
    <n v="0.23870577833676404"/>
    <s v="Poush 79"/>
    <n v="2022"/>
  </r>
  <r>
    <n v="489"/>
    <x v="8"/>
    <x v="12"/>
    <x v="1"/>
    <n v="0.29212519769326917"/>
    <s v="Poush 79"/>
    <n v="2022"/>
  </r>
  <r>
    <n v="490"/>
    <x v="8"/>
    <x v="13"/>
    <x v="1"/>
    <n v="0"/>
    <s v="Poush 79"/>
    <n v="2022"/>
  </r>
  <r>
    <n v="491"/>
    <x v="8"/>
    <x v="14"/>
    <x v="1"/>
    <n v="0"/>
    <s v="Poush 79"/>
    <n v="2022"/>
  </r>
  <r>
    <n v="492"/>
    <x v="8"/>
    <x v="15"/>
    <x v="1"/>
    <n v="0.62399972541202142"/>
    <s v="Poush 79"/>
    <n v="2022"/>
  </r>
  <r>
    <n v="493"/>
    <x v="8"/>
    <x v="16"/>
    <x v="1"/>
    <n v="0"/>
    <s v="Poush 79"/>
    <n v="2022"/>
  </r>
  <r>
    <n v="494"/>
    <x v="8"/>
    <x v="17"/>
    <x v="1"/>
    <n v="0.13299493223216566"/>
    <s v="Poush 79"/>
    <n v="2022"/>
  </r>
  <r>
    <n v="495"/>
    <x v="8"/>
    <x v="18"/>
    <x v="1"/>
    <n v="0.30629594341622823"/>
    <s v="Poush 79"/>
    <n v="2022"/>
  </r>
  <r>
    <n v="496"/>
    <x v="8"/>
    <x v="19"/>
    <x v="1"/>
    <n v="0"/>
    <s v="Poush 79"/>
    <n v="2022"/>
  </r>
  <r>
    <n v="497"/>
    <x v="8"/>
    <x v="20"/>
    <x v="1"/>
    <n v="0"/>
    <s v="Poush 79"/>
    <n v="2022"/>
  </r>
  <r>
    <n v="498"/>
    <x v="8"/>
    <x v="21"/>
    <x v="1"/>
    <n v="0"/>
    <s v="Poush 79"/>
    <n v="2022"/>
  </r>
  <r>
    <n v="499"/>
    <x v="8"/>
    <x v="22"/>
    <x v="1"/>
    <n v="0"/>
    <s v="Poush 79"/>
    <n v="2022"/>
  </r>
  <r>
    <n v="500"/>
    <x v="8"/>
    <x v="23"/>
    <x v="1"/>
    <n v="0"/>
    <s v="Poush 79"/>
    <n v="2022"/>
  </r>
  <r>
    <n v="501"/>
    <x v="8"/>
    <x v="24"/>
    <x v="1"/>
    <n v="0"/>
    <s v="Poush 79"/>
    <n v="2022"/>
  </r>
  <r>
    <n v="502"/>
    <x v="8"/>
    <x v="25"/>
    <x v="1"/>
    <n v="0"/>
    <s v="Poush 79"/>
    <n v="2022"/>
  </r>
  <r>
    <n v="503"/>
    <x v="8"/>
    <x v="26"/>
    <x v="1"/>
    <n v="0"/>
    <s v="Poush 79"/>
    <n v="2022"/>
  </r>
  <r>
    <n v="504"/>
    <x v="8"/>
    <x v="27"/>
    <x v="1"/>
    <n v="0"/>
    <s v="Poush 79"/>
    <n v="2022"/>
  </r>
  <r>
    <n v="505"/>
    <x v="9"/>
    <x v="0"/>
    <x v="0"/>
    <n v="0"/>
    <s v="Ashoj 79"/>
    <n v="2022"/>
  </r>
  <r>
    <n v="506"/>
    <x v="9"/>
    <x v="1"/>
    <x v="0"/>
    <n v="0"/>
    <s v="Ashoj 79"/>
    <n v="2022"/>
  </r>
  <r>
    <n v="507"/>
    <x v="9"/>
    <x v="2"/>
    <x v="0"/>
    <n v="0"/>
    <s v="Ashoj 79"/>
    <n v="2022"/>
  </r>
  <r>
    <n v="508"/>
    <x v="9"/>
    <x v="3"/>
    <x v="0"/>
    <n v="0.17664745790190461"/>
    <s v="Ashoj 79"/>
    <n v="2022"/>
  </r>
  <r>
    <n v="509"/>
    <x v="9"/>
    <x v="4"/>
    <x v="0"/>
    <n v="0.22493363841068717"/>
    <s v="Ashoj 79"/>
    <n v="2022"/>
  </r>
  <r>
    <n v="510"/>
    <x v="9"/>
    <x v="5"/>
    <x v="0"/>
    <n v="0.2599501930809297"/>
    <s v="Ashoj 79"/>
    <n v="2022"/>
  </r>
  <r>
    <n v="511"/>
    <x v="9"/>
    <x v="6"/>
    <x v="0"/>
    <n v="0.1955161514188288"/>
    <s v="Ashoj 79"/>
    <n v="2022"/>
  </r>
  <r>
    <n v="512"/>
    <x v="9"/>
    <x v="7"/>
    <x v="0"/>
    <n v="0"/>
    <s v="Ashoj 79"/>
    <n v="2022"/>
  </r>
  <r>
    <n v="513"/>
    <x v="9"/>
    <x v="8"/>
    <x v="0"/>
    <n v="0.47648156878262682"/>
    <s v="Ashoj 79"/>
    <n v="2022"/>
  </r>
  <r>
    <n v="514"/>
    <x v="9"/>
    <x v="9"/>
    <x v="0"/>
    <n v="7.1693071412729948E-3"/>
    <s v="Ashoj 79"/>
    <n v="2022"/>
  </r>
  <r>
    <n v="515"/>
    <x v="9"/>
    <x v="10"/>
    <x v="0"/>
    <n v="7.2513712073597775E-2"/>
    <s v="Ashoj 79"/>
    <n v="2022"/>
  </r>
  <r>
    <n v="516"/>
    <x v="9"/>
    <x v="11"/>
    <x v="0"/>
    <n v="0.16945083036275255"/>
    <s v="Ashoj 79"/>
    <n v="2022"/>
  </r>
  <r>
    <n v="517"/>
    <x v="9"/>
    <x v="12"/>
    <x v="0"/>
    <n v="0.40946726061312905"/>
    <s v="Ashoj 79"/>
    <n v="2022"/>
  </r>
  <r>
    <n v="518"/>
    <x v="9"/>
    <x v="13"/>
    <x v="0"/>
    <n v="0"/>
    <s v="Ashoj 79"/>
    <n v="2022"/>
  </r>
  <r>
    <n v="519"/>
    <x v="9"/>
    <x v="14"/>
    <x v="0"/>
    <n v="0"/>
    <s v="Ashoj 79"/>
    <n v="2022"/>
  </r>
  <r>
    <n v="520"/>
    <x v="9"/>
    <x v="15"/>
    <x v="0"/>
    <n v="0.22496243853810552"/>
    <s v="Ashoj 79"/>
    <n v="2022"/>
  </r>
  <r>
    <n v="521"/>
    <x v="9"/>
    <x v="16"/>
    <x v="0"/>
    <n v="0"/>
    <s v="Ashoj 79"/>
    <n v="2022"/>
  </r>
  <r>
    <n v="522"/>
    <x v="9"/>
    <x v="17"/>
    <x v="0"/>
    <n v="0.18513857386759361"/>
    <s v="Ashoj 79"/>
    <n v="2022"/>
  </r>
  <r>
    <n v="523"/>
    <x v="9"/>
    <x v="18"/>
    <x v="0"/>
    <n v="0.10478751107475855"/>
    <s v="Ashoj 79"/>
    <n v="2022"/>
  </r>
  <r>
    <n v="524"/>
    <x v="9"/>
    <x v="19"/>
    <x v="0"/>
    <n v="0"/>
    <s v="Ashoj 79"/>
    <n v="2022"/>
  </r>
  <r>
    <n v="525"/>
    <x v="9"/>
    <x v="20"/>
    <x v="0"/>
    <n v="0"/>
    <s v="Ashoj 79"/>
    <n v="2022"/>
  </r>
  <r>
    <n v="526"/>
    <x v="9"/>
    <x v="21"/>
    <x v="0"/>
    <n v="0"/>
    <s v="Ashoj 79"/>
    <n v="2022"/>
  </r>
  <r>
    <n v="527"/>
    <x v="9"/>
    <x v="22"/>
    <x v="0"/>
    <n v="0"/>
    <s v="Ashoj 79"/>
    <n v="2022"/>
  </r>
  <r>
    <n v="528"/>
    <x v="9"/>
    <x v="23"/>
    <x v="0"/>
    <n v="0"/>
    <s v="Ashoj 79"/>
    <n v="2022"/>
  </r>
  <r>
    <n v="529"/>
    <x v="9"/>
    <x v="24"/>
    <x v="0"/>
    <n v="0"/>
    <s v="Ashoj 79"/>
    <n v="2022"/>
  </r>
  <r>
    <n v="530"/>
    <x v="9"/>
    <x v="25"/>
    <x v="0"/>
    <n v="0"/>
    <s v="Ashoj 79"/>
    <n v="2022"/>
  </r>
  <r>
    <n v="531"/>
    <x v="9"/>
    <x v="26"/>
    <x v="0"/>
    <n v="0"/>
    <s v="Ashoj 79"/>
    <n v="2022"/>
  </r>
  <r>
    <n v="532"/>
    <x v="9"/>
    <x v="27"/>
    <x v="0"/>
    <n v="0"/>
    <s v="Ashoj 79"/>
    <n v="2022"/>
  </r>
  <r>
    <n v="533"/>
    <x v="9"/>
    <x v="0"/>
    <x v="1"/>
    <n v="0"/>
    <s v="Ashoj 79"/>
    <n v="2022"/>
  </r>
  <r>
    <n v="534"/>
    <x v="9"/>
    <x v="1"/>
    <x v="1"/>
    <n v="0"/>
    <s v="Ashoj 79"/>
    <n v="2022"/>
  </r>
  <r>
    <n v="535"/>
    <x v="9"/>
    <x v="2"/>
    <x v="1"/>
    <n v="0"/>
    <s v="Ashoj 79"/>
    <n v="2022"/>
  </r>
  <r>
    <n v="536"/>
    <x v="9"/>
    <x v="3"/>
    <x v="1"/>
    <n v="0.36297445939466771"/>
    <s v="Ashoj 79"/>
    <n v="2022"/>
  </r>
  <r>
    <n v="537"/>
    <x v="9"/>
    <x v="4"/>
    <x v="1"/>
    <n v="0.21538869018984633"/>
    <s v="Ashoj 79"/>
    <n v="2022"/>
  </r>
  <r>
    <n v="538"/>
    <x v="9"/>
    <x v="5"/>
    <x v="1"/>
    <n v="0.38989197017707589"/>
    <s v="Ashoj 79"/>
    <n v="2022"/>
  </r>
  <r>
    <n v="539"/>
    <x v="9"/>
    <x v="6"/>
    <x v="1"/>
    <n v="2.5468979702669162E-2"/>
    <s v="Ashoj 79"/>
    <n v="2022"/>
  </r>
  <r>
    <n v="540"/>
    <x v="9"/>
    <x v="7"/>
    <x v="1"/>
    <n v="0"/>
    <s v="Ashoj 79"/>
    <n v="2022"/>
  </r>
  <r>
    <n v="541"/>
    <x v="9"/>
    <x v="8"/>
    <x v="1"/>
    <n v="0.66383940214447257"/>
    <s v="Ashoj 79"/>
    <n v="2022"/>
  </r>
  <r>
    <n v="542"/>
    <x v="9"/>
    <x v="9"/>
    <x v="1"/>
    <n v="0.11835973113586012"/>
    <s v="Ashoj 79"/>
    <n v="2022"/>
  </r>
  <r>
    <n v="543"/>
    <x v="9"/>
    <x v="10"/>
    <x v="1"/>
    <n v="0.11462825396681414"/>
    <s v="Ashoj 79"/>
    <n v="2022"/>
  </r>
  <r>
    <n v="544"/>
    <x v="9"/>
    <x v="11"/>
    <x v="1"/>
    <n v="0.24411049792967154"/>
    <s v="Ashoj 79"/>
    <n v="2022"/>
  </r>
  <r>
    <n v="545"/>
    <x v="9"/>
    <x v="12"/>
    <x v="1"/>
    <n v="0.72686074209428031"/>
    <s v="Ashoj 79"/>
    <n v="2022"/>
  </r>
  <r>
    <n v="546"/>
    <x v="9"/>
    <x v="13"/>
    <x v="1"/>
    <n v="0"/>
    <s v="Ashoj 79"/>
    <n v="2022"/>
  </r>
  <r>
    <n v="547"/>
    <x v="9"/>
    <x v="14"/>
    <x v="1"/>
    <n v="0"/>
    <s v="Ashoj 79"/>
    <n v="2022"/>
  </r>
  <r>
    <n v="548"/>
    <x v="9"/>
    <x v="15"/>
    <x v="1"/>
    <n v="0.36191516053357575"/>
    <s v="Ashoj 79"/>
    <n v="2022"/>
  </r>
  <r>
    <n v="549"/>
    <x v="9"/>
    <x v="16"/>
    <x v="1"/>
    <n v="0"/>
    <s v="Ashoj 79"/>
    <n v="2022"/>
  </r>
  <r>
    <n v="550"/>
    <x v="9"/>
    <x v="17"/>
    <x v="1"/>
    <n v="0.21812764804578569"/>
    <s v="Ashoj 79"/>
    <n v="2022"/>
  </r>
  <r>
    <n v="551"/>
    <x v="9"/>
    <x v="18"/>
    <x v="1"/>
    <n v="5.9269883464250675E-2"/>
    <s v="Ashoj 79"/>
    <n v="2022"/>
  </r>
  <r>
    <n v="552"/>
    <x v="9"/>
    <x v="19"/>
    <x v="1"/>
    <n v="0"/>
    <s v="Ashoj 79"/>
    <n v="2022"/>
  </r>
  <r>
    <n v="553"/>
    <x v="9"/>
    <x v="20"/>
    <x v="1"/>
    <n v="0"/>
    <s v="Ashoj 79"/>
    <n v="2022"/>
  </r>
  <r>
    <n v="554"/>
    <x v="9"/>
    <x v="21"/>
    <x v="1"/>
    <n v="0"/>
    <s v="Ashoj 79"/>
    <n v="2022"/>
  </r>
  <r>
    <n v="555"/>
    <x v="9"/>
    <x v="22"/>
    <x v="1"/>
    <n v="0"/>
    <s v="Ashoj 79"/>
    <n v="2022"/>
  </r>
  <r>
    <n v="556"/>
    <x v="9"/>
    <x v="23"/>
    <x v="1"/>
    <n v="0"/>
    <s v="Ashoj 79"/>
    <n v="2022"/>
  </r>
  <r>
    <n v="557"/>
    <x v="9"/>
    <x v="24"/>
    <x v="1"/>
    <n v="0"/>
    <s v="Ashoj 79"/>
    <n v="2022"/>
  </r>
  <r>
    <n v="558"/>
    <x v="9"/>
    <x v="25"/>
    <x v="1"/>
    <n v="0"/>
    <s v="Ashoj 79"/>
    <n v="2022"/>
  </r>
  <r>
    <n v="559"/>
    <x v="9"/>
    <x v="26"/>
    <x v="1"/>
    <n v="0"/>
    <s v="Ashoj 79"/>
    <n v="2022"/>
  </r>
  <r>
    <n v="560"/>
    <x v="9"/>
    <x v="27"/>
    <x v="1"/>
    <n v="0"/>
    <s v="Ashoj 79"/>
    <n v="2022"/>
  </r>
  <r>
    <n v="561"/>
    <x v="10"/>
    <x v="0"/>
    <x v="0"/>
    <n v="0"/>
    <s v="Asadh 79"/>
    <n v="2022"/>
  </r>
  <r>
    <n v="562"/>
    <x v="10"/>
    <x v="1"/>
    <x v="0"/>
    <n v="0"/>
    <s v="Asadh 79"/>
    <n v="2022"/>
  </r>
  <r>
    <n v="563"/>
    <x v="10"/>
    <x v="2"/>
    <x v="0"/>
    <n v="0"/>
    <s v="Asadh 79"/>
    <n v="2022"/>
  </r>
  <r>
    <n v="564"/>
    <x v="10"/>
    <x v="3"/>
    <x v="0"/>
    <n v="0"/>
    <s v="Asadh 79"/>
    <n v="2022"/>
  </r>
  <r>
    <n v="565"/>
    <x v="10"/>
    <x v="4"/>
    <x v="0"/>
    <n v="0"/>
    <s v="Asadh 79"/>
    <n v="2022"/>
  </r>
  <r>
    <n v="566"/>
    <x v="10"/>
    <x v="5"/>
    <x v="0"/>
    <n v="0"/>
    <s v="Asadh 79"/>
    <n v="2022"/>
  </r>
  <r>
    <n v="567"/>
    <x v="10"/>
    <x v="6"/>
    <x v="0"/>
    <n v="0"/>
    <s v="Asadh 79"/>
    <n v="2022"/>
  </r>
  <r>
    <n v="568"/>
    <x v="10"/>
    <x v="7"/>
    <x v="0"/>
    <n v="0"/>
    <s v="Asadh 79"/>
    <n v="2022"/>
  </r>
  <r>
    <n v="569"/>
    <x v="10"/>
    <x v="8"/>
    <x v="0"/>
    <n v="0"/>
    <s v="Asadh 79"/>
    <n v="2022"/>
  </r>
  <r>
    <n v="570"/>
    <x v="10"/>
    <x v="9"/>
    <x v="0"/>
    <n v="0"/>
    <s v="Asadh 79"/>
    <n v="2022"/>
  </r>
  <r>
    <n v="571"/>
    <x v="10"/>
    <x v="10"/>
    <x v="0"/>
    <n v="0"/>
    <s v="Asadh 79"/>
    <n v="2022"/>
  </r>
  <r>
    <n v="572"/>
    <x v="10"/>
    <x v="11"/>
    <x v="0"/>
    <n v="0"/>
    <s v="Asadh 79"/>
    <n v="2022"/>
  </r>
  <r>
    <n v="573"/>
    <x v="10"/>
    <x v="12"/>
    <x v="0"/>
    <n v="0"/>
    <s v="Asadh 79"/>
    <n v="2022"/>
  </r>
  <r>
    <n v="574"/>
    <x v="10"/>
    <x v="13"/>
    <x v="0"/>
    <n v="0"/>
    <s v="Asadh 79"/>
    <n v="2022"/>
  </r>
  <r>
    <n v="575"/>
    <x v="10"/>
    <x v="14"/>
    <x v="0"/>
    <n v="0"/>
    <s v="Asadh 79"/>
    <n v="2022"/>
  </r>
  <r>
    <n v="576"/>
    <x v="10"/>
    <x v="15"/>
    <x v="0"/>
    <n v="0"/>
    <s v="Asadh 79"/>
    <n v="2022"/>
  </r>
  <r>
    <n v="577"/>
    <x v="10"/>
    <x v="16"/>
    <x v="0"/>
    <n v="0"/>
    <s v="Asadh 79"/>
    <n v="2022"/>
  </r>
  <r>
    <n v="578"/>
    <x v="10"/>
    <x v="17"/>
    <x v="0"/>
    <n v="0"/>
    <s v="Asadh 79"/>
    <n v="2022"/>
  </r>
  <r>
    <n v="579"/>
    <x v="10"/>
    <x v="18"/>
    <x v="0"/>
    <n v="0"/>
    <s v="Asadh 79"/>
    <n v="2022"/>
  </r>
  <r>
    <n v="580"/>
    <x v="10"/>
    <x v="19"/>
    <x v="0"/>
    <n v="0"/>
    <s v="Asadh 79"/>
    <n v="2022"/>
  </r>
  <r>
    <n v="581"/>
    <x v="10"/>
    <x v="20"/>
    <x v="0"/>
    <n v="0"/>
    <s v="Asadh 79"/>
    <n v="2022"/>
  </r>
  <r>
    <n v="582"/>
    <x v="10"/>
    <x v="21"/>
    <x v="0"/>
    <n v="0"/>
    <s v="Asadh 79"/>
    <n v="2022"/>
  </r>
  <r>
    <n v="583"/>
    <x v="10"/>
    <x v="22"/>
    <x v="0"/>
    <n v="0"/>
    <s v="Asadh 79"/>
    <n v="2022"/>
  </r>
  <r>
    <n v="584"/>
    <x v="10"/>
    <x v="23"/>
    <x v="0"/>
    <n v="0"/>
    <s v="Asadh 79"/>
    <n v="2022"/>
  </r>
  <r>
    <n v="585"/>
    <x v="10"/>
    <x v="24"/>
    <x v="0"/>
    <n v="0"/>
    <s v="Asadh 79"/>
    <n v="2022"/>
  </r>
  <r>
    <n v="586"/>
    <x v="10"/>
    <x v="25"/>
    <x v="0"/>
    <n v="0"/>
    <s v="Asadh 79"/>
    <n v="2022"/>
  </r>
  <r>
    <n v="587"/>
    <x v="10"/>
    <x v="26"/>
    <x v="0"/>
    <n v="0"/>
    <s v="Asadh 79"/>
    <n v="2022"/>
  </r>
  <r>
    <n v="588"/>
    <x v="10"/>
    <x v="27"/>
    <x v="0"/>
    <n v="0"/>
    <s v="Asadh 79"/>
    <n v="2022"/>
  </r>
  <r>
    <n v="589"/>
    <x v="10"/>
    <x v="0"/>
    <x v="1"/>
    <n v="0"/>
    <s v="Asadh 79"/>
    <n v="2022"/>
  </r>
  <r>
    <n v="590"/>
    <x v="10"/>
    <x v="1"/>
    <x v="1"/>
    <n v="0"/>
    <s v="Asadh 79"/>
    <n v="2022"/>
  </r>
  <r>
    <n v="591"/>
    <x v="10"/>
    <x v="2"/>
    <x v="1"/>
    <n v="0"/>
    <s v="Asadh 79"/>
    <n v="2022"/>
  </r>
  <r>
    <n v="592"/>
    <x v="10"/>
    <x v="3"/>
    <x v="1"/>
    <n v="0"/>
    <s v="Asadh 79"/>
    <n v="2022"/>
  </r>
  <r>
    <n v="593"/>
    <x v="10"/>
    <x v="4"/>
    <x v="1"/>
    <n v="0"/>
    <s v="Asadh 79"/>
    <n v="2022"/>
  </r>
  <r>
    <n v="594"/>
    <x v="10"/>
    <x v="5"/>
    <x v="1"/>
    <n v="0"/>
    <s v="Asadh 79"/>
    <n v="2022"/>
  </r>
  <r>
    <n v="595"/>
    <x v="10"/>
    <x v="6"/>
    <x v="1"/>
    <n v="0"/>
    <s v="Asadh 79"/>
    <n v="2022"/>
  </r>
  <r>
    <n v="596"/>
    <x v="10"/>
    <x v="7"/>
    <x v="1"/>
    <n v="0"/>
    <s v="Asadh 79"/>
    <n v="2022"/>
  </r>
  <r>
    <n v="597"/>
    <x v="10"/>
    <x v="8"/>
    <x v="1"/>
    <n v="0"/>
    <s v="Asadh 79"/>
    <n v="2022"/>
  </r>
  <r>
    <n v="598"/>
    <x v="10"/>
    <x v="9"/>
    <x v="1"/>
    <n v="0"/>
    <s v="Asadh 79"/>
    <n v="2022"/>
  </r>
  <r>
    <n v="599"/>
    <x v="10"/>
    <x v="10"/>
    <x v="1"/>
    <n v="0"/>
    <s v="Asadh 79"/>
    <n v="2022"/>
  </r>
  <r>
    <n v="600"/>
    <x v="10"/>
    <x v="11"/>
    <x v="1"/>
    <n v="0"/>
    <s v="Asadh 79"/>
    <n v="2022"/>
  </r>
  <r>
    <n v="601"/>
    <x v="10"/>
    <x v="12"/>
    <x v="1"/>
    <n v="0"/>
    <s v="Asadh 79"/>
    <n v="2022"/>
  </r>
  <r>
    <n v="602"/>
    <x v="10"/>
    <x v="13"/>
    <x v="1"/>
    <n v="0"/>
    <s v="Asadh 79"/>
    <n v="2022"/>
  </r>
  <r>
    <n v="603"/>
    <x v="10"/>
    <x v="14"/>
    <x v="1"/>
    <n v="0"/>
    <s v="Asadh 79"/>
    <n v="2022"/>
  </r>
  <r>
    <n v="604"/>
    <x v="10"/>
    <x v="15"/>
    <x v="1"/>
    <n v="0"/>
    <s v="Asadh 79"/>
    <n v="2022"/>
  </r>
  <r>
    <n v="605"/>
    <x v="10"/>
    <x v="16"/>
    <x v="1"/>
    <n v="0"/>
    <s v="Asadh 79"/>
    <n v="2022"/>
  </r>
  <r>
    <n v="606"/>
    <x v="10"/>
    <x v="17"/>
    <x v="1"/>
    <n v="0"/>
    <s v="Asadh 79"/>
    <n v="2022"/>
  </r>
  <r>
    <n v="607"/>
    <x v="10"/>
    <x v="18"/>
    <x v="1"/>
    <n v="0"/>
    <s v="Asadh 79"/>
    <n v="2022"/>
  </r>
  <r>
    <n v="608"/>
    <x v="10"/>
    <x v="19"/>
    <x v="1"/>
    <n v="0"/>
    <s v="Asadh 79"/>
    <n v="2022"/>
  </r>
  <r>
    <n v="609"/>
    <x v="10"/>
    <x v="20"/>
    <x v="1"/>
    <n v="0"/>
    <s v="Asadh 79"/>
    <n v="2022"/>
  </r>
  <r>
    <n v="610"/>
    <x v="10"/>
    <x v="21"/>
    <x v="1"/>
    <n v="0"/>
    <s v="Asadh 79"/>
    <n v="2022"/>
  </r>
  <r>
    <n v="611"/>
    <x v="10"/>
    <x v="22"/>
    <x v="1"/>
    <n v="0"/>
    <s v="Asadh 79"/>
    <n v="2022"/>
  </r>
  <r>
    <n v="612"/>
    <x v="10"/>
    <x v="23"/>
    <x v="1"/>
    <n v="0"/>
    <s v="Asadh 79"/>
    <n v="2022"/>
  </r>
  <r>
    <n v="613"/>
    <x v="10"/>
    <x v="24"/>
    <x v="1"/>
    <n v="0"/>
    <s v="Asadh 79"/>
    <n v="2022"/>
  </r>
  <r>
    <n v="614"/>
    <x v="10"/>
    <x v="25"/>
    <x v="1"/>
    <n v="0"/>
    <s v="Asadh 79"/>
    <n v="2022"/>
  </r>
  <r>
    <n v="615"/>
    <x v="10"/>
    <x v="26"/>
    <x v="1"/>
    <n v="0"/>
    <s v="Asadh 79"/>
    <n v="2022"/>
  </r>
  <r>
    <n v="616"/>
    <x v="10"/>
    <x v="27"/>
    <x v="1"/>
    <n v="0"/>
    <s v="Asadh 79"/>
    <n v="2022"/>
  </r>
  <r>
    <n v="617"/>
    <x v="11"/>
    <x v="0"/>
    <x v="0"/>
    <n v="0"/>
    <s v="Chaitra 78"/>
    <n v="2022"/>
  </r>
  <r>
    <n v="618"/>
    <x v="11"/>
    <x v="1"/>
    <x v="0"/>
    <n v="0"/>
    <s v="Chaitra 78"/>
    <n v="2022"/>
  </r>
  <r>
    <n v="619"/>
    <x v="11"/>
    <x v="2"/>
    <x v="0"/>
    <n v="0"/>
    <s v="Chaitra 78"/>
    <n v="2022"/>
  </r>
  <r>
    <n v="620"/>
    <x v="11"/>
    <x v="3"/>
    <x v="0"/>
    <n v="2.6116740788248209E-2"/>
    <s v="Chaitra 78"/>
    <n v="2022"/>
  </r>
  <r>
    <n v="621"/>
    <x v="11"/>
    <x v="4"/>
    <x v="0"/>
    <n v="0.30284171395330939"/>
    <s v="Chaitra 78"/>
    <n v="2022"/>
  </r>
  <r>
    <n v="622"/>
    <x v="11"/>
    <x v="5"/>
    <x v="0"/>
    <n v="9.378122434643589E-2"/>
    <s v="Chaitra 78"/>
    <n v="2022"/>
  </r>
  <r>
    <n v="623"/>
    <x v="11"/>
    <x v="6"/>
    <x v="0"/>
    <n v="9.3040092970364169E-2"/>
    <s v="Chaitra 78"/>
    <n v="2022"/>
  </r>
  <r>
    <n v="624"/>
    <x v="11"/>
    <x v="7"/>
    <x v="0"/>
    <n v="0"/>
    <s v="Chaitra 78"/>
    <n v="2022"/>
  </r>
  <r>
    <n v="625"/>
    <x v="11"/>
    <x v="8"/>
    <x v="0"/>
    <n v="0.31996635473430218"/>
    <s v="Chaitra 78"/>
    <n v="2022"/>
  </r>
  <r>
    <n v="626"/>
    <x v="11"/>
    <x v="9"/>
    <x v="0"/>
    <n v="8.066016212799048E-3"/>
    <s v="Chaitra 78"/>
    <n v="2022"/>
  </r>
  <r>
    <n v="627"/>
    <x v="11"/>
    <x v="10"/>
    <x v="0"/>
    <n v="8.6892186152471532E-2"/>
    <s v="Chaitra 78"/>
    <n v="2022"/>
  </r>
  <r>
    <n v="628"/>
    <x v="11"/>
    <x v="11"/>
    <x v="0"/>
    <n v="6.9080667415324995E-2"/>
    <s v="Chaitra 78"/>
    <n v="2022"/>
  </r>
  <r>
    <n v="629"/>
    <x v="11"/>
    <x v="12"/>
    <x v="0"/>
    <n v="2.6413352749386061E-2"/>
    <s v="Chaitra 78"/>
    <n v="2022"/>
  </r>
  <r>
    <n v="630"/>
    <x v="11"/>
    <x v="13"/>
    <x v="0"/>
    <n v="0"/>
    <s v="Chaitra 78"/>
    <n v="2022"/>
  </r>
  <r>
    <n v="631"/>
    <x v="11"/>
    <x v="14"/>
    <x v="0"/>
    <n v="0"/>
    <s v="Chaitra 78"/>
    <n v="2022"/>
  </r>
  <r>
    <n v="632"/>
    <x v="11"/>
    <x v="15"/>
    <x v="0"/>
    <n v="9.0656629478304579E-2"/>
    <s v="Chaitra 78"/>
    <n v="2022"/>
  </r>
  <r>
    <n v="633"/>
    <x v="11"/>
    <x v="16"/>
    <x v="0"/>
    <n v="0"/>
    <s v="Chaitra 78"/>
    <n v="2022"/>
  </r>
  <r>
    <n v="634"/>
    <x v="11"/>
    <x v="17"/>
    <x v="0"/>
    <n v="7.1279148854983945E-2"/>
    <s v="Chaitra 78"/>
    <n v="2022"/>
  </r>
  <r>
    <n v="635"/>
    <x v="11"/>
    <x v="18"/>
    <x v="0"/>
    <n v="0"/>
    <s v="Chaitra 78"/>
    <n v="2022"/>
  </r>
  <r>
    <n v="636"/>
    <x v="11"/>
    <x v="19"/>
    <x v="0"/>
    <n v="0"/>
    <s v="Chaitra 78"/>
    <n v="2022"/>
  </r>
  <r>
    <n v="637"/>
    <x v="11"/>
    <x v="20"/>
    <x v="0"/>
    <n v="0"/>
    <s v="Chaitra 78"/>
    <n v="2022"/>
  </r>
  <r>
    <n v="638"/>
    <x v="11"/>
    <x v="21"/>
    <x v="0"/>
    <n v="0"/>
    <s v="Chaitra 78"/>
    <n v="2022"/>
  </r>
  <r>
    <n v="639"/>
    <x v="11"/>
    <x v="22"/>
    <x v="0"/>
    <n v="0"/>
    <s v="Chaitra 78"/>
    <n v="2022"/>
  </r>
  <r>
    <n v="640"/>
    <x v="11"/>
    <x v="23"/>
    <x v="0"/>
    <n v="0"/>
    <s v="Chaitra 78"/>
    <n v="2022"/>
  </r>
  <r>
    <n v="641"/>
    <x v="11"/>
    <x v="24"/>
    <x v="0"/>
    <n v="0"/>
    <s v="Chaitra 78"/>
    <n v="2022"/>
  </r>
  <r>
    <n v="642"/>
    <x v="11"/>
    <x v="25"/>
    <x v="0"/>
    <n v="0"/>
    <s v="Chaitra 78"/>
    <n v="2022"/>
  </r>
  <r>
    <n v="643"/>
    <x v="11"/>
    <x v="26"/>
    <x v="0"/>
    <n v="0"/>
    <s v="Chaitra 78"/>
    <n v="2022"/>
  </r>
  <r>
    <n v="644"/>
    <x v="11"/>
    <x v="27"/>
    <x v="0"/>
    <n v="0"/>
    <s v="Chaitra 78"/>
    <n v="2022"/>
  </r>
  <r>
    <n v="645"/>
    <x v="11"/>
    <x v="0"/>
    <x v="1"/>
    <n v="0"/>
    <s v="Chaitra 78"/>
    <n v="2022"/>
  </r>
  <r>
    <n v="646"/>
    <x v="11"/>
    <x v="1"/>
    <x v="1"/>
    <n v="0"/>
    <s v="Chaitra 78"/>
    <n v="2022"/>
  </r>
  <r>
    <n v="647"/>
    <x v="11"/>
    <x v="2"/>
    <x v="1"/>
    <n v="0"/>
    <s v="Chaitra 78"/>
    <n v="2022"/>
  </r>
  <r>
    <n v="648"/>
    <x v="11"/>
    <x v="3"/>
    <x v="1"/>
    <n v="2.7046901387768461E-2"/>
    <s v="Chaitra 78"/>
    <n v="2022"/>
  </r>
  <r>
    <n v="649"/>
    <x v="11"/>
    <x v="4"/>
    <x v="1"/>
    <n v="0.29502601784493832"/>
    <s v="Chaitra 78"/>
    <n v="2022"/>
  </r>
  <r>
    <n v="650"/>
    <x v="11"/>
    <x v="5"/>
    <x v="1"/>
    <n v="7.5813443960422819E-2"/>
    <s v="Chaitra 78"/>
    <n v="2022"/>
  </r>
  <r>
    <n v="651"/>
    <x v="11"/>
    <x v="6"/>
    <x v="1"/>
    <n v="0.12019914418013097"/>
    <s v="Chaitra 78"/>
    <n v="2022"/>
  </r>
  <r>
    <n v="652"/>
    <x v="11"/>
    <x v="7"/>
    <x v="1"/>
    <n v="0"/>
    <s v="Chaitra 78"/>
    <n v="2022"/>
  </r>
  <r>
    <n v="653"/>
    <x v="11"/>
    <x v="8"/>
    <x v="1"/>
    <n v="0.62472163421012705"/>
    <s v="Chaitra 78"/>
    <n v="2022"/>
  </r>
  <r>
    <n v="654"/>
    <x v="11"/>
    <x v="9"/>
    <x v="1"/>
    <n v="1.0580560636042917E-2"/>
    <s v="Chaitra 78"/>
    <n v="2022"/>
  </r>
  <r>
    <n v="655"/>
    <x v="11"/>
    <x v="10"/>
    <x v="1"/>
    <n v="0.10959995551890482"/>
    <s v="Chaitra 78"/>
    <n v="2022"/>
  </r>
  <r>
    <n v="656"/>
    <x v="11"/>
    <x v="11"/>
    <x v="1"/>
    <n v="4.9421922650027539E-2"/>
    <s v="Chaitra 78"/>
    <n v="2022"/>
  </r>
  <r>
    <n v="657"/>
    <x v="11"/>
    <x v="12"/>
    <x v="1"/>
    <n v="6.4799365659608449E-2"/>
    <s v="Chaitra 78"/>
    <n v="2022"/>
  </r>
  <r>
    <n v="658"/>
    <x v="11"/>
    <x v="13"/>
    <x v="1"/>
    <n v="0"/>
    <s v="Chaitra 78"/>
    <n v="2022"/>
  </r>
  <r>
    <n v="659"/>
    <x v="11"/>
    <x v="14"/>
    <x v="1"/>
    <n v="0"/>
    <s v="Chaitra 78"/>
    <n v="2022"/>
  </r>
  <r>
    <n v="660"/>
    <x v="11"/>
    <x v="15"/>
    <x v="1"/>
    <n v="0.20374174845682214"/>
    <s v="Chaitra 78"/>
    <n v="2022"/>
  </r>
  <r>
    <n v="661"/>
    <x v="11"/>
    <x v="16"/>
    <x v="1"/>
    <n v="0"/>
    <s v="Chaitra 78"/>
    <n v="2022"/>
  </r>
  <r>
    <n v="662"/>
    <x v="11"/>
    <x v="17"/>
    <x v="1"/>
    <n v="6.9625445399834188E-2"/>
    <s v="Chaitra 78"/>
    <n v="2022"/>
  </r>
  <r>
    <n v="663"/>
    <x v="11"/>
    <x v="18"/>
    <x v="1"/>
    <n v="0"/>
    <s v="Chaitra 78"/>
    <n v="2022"/>
  </r>
  <r>
    <n v="664"/>
    <x v="11"/>
    <x v="19"/>
    <x v="1"/>
    <n v="0"/>
    <s v="Chaitra 78"/>
    <n v="2022"/>
  </r>
  <r>
    <n v="665"/>
    <x v="11"/>
    <x v="20"/>
    <x v="1"/>
    <n v="0"/>
    <s v="Chaitra 78"/>
    <n v="2022"/>
  </r>
  <r>
    <n v="666"/>
    <x v="11"/>
    <x v="21"/>
    <x v="1"/>
    <n v="0"/>
    <s v="Chaitra 78"/>
    <n v="2022"/>
  </r>
  <r>
    <n v="667"/>
    <x v="11"/>
    <x v="22"/>
    <x v="1"/>
    <n v="0"/>
    <s v="Chaitra 78"/>
    <n v="2022"/>
  </r>
  <r>
    <n v="668"/>
    <x v="11"/>
    <x v="23"/>
    <x v="1"/>
    <n v="0"/>
    <s v="Chaitra 78"/>
    <n v="2022"/>
  </r>
  <r>
    <n v="669"/>
    <x v="11"/>
    <x v="24"/>
    <x v="1"/>
    <n v="0"/>
    <s v="Chaitra 78"/>
    <n v="2022"/>
  </r>
  <r>
    <n v="670"/>
    <x v="11"/>
    <x v="25"/>
    <x v="1"/>
    <n v="0"/>
    <s v="Chaitra 78"/>
    <n v="2022"/>
  </r>
  <r>
    <n v="671"/>
    <x v="11"/>
    <x v="26"/>
    <x v="1"/>
    <n v="0"/>
    <s v="Chaitra 78"/>
    <n v="2022"/>
  </r>
  <r>
    <n v="672"/>
    <x v="11"/>
    <x v="27"/>
    <x v="1"/>
    <n v="0"/>
    <s v="Chaitra 78"/>
    <n v="2022"/>
  </r>
  <r>
    <n v="673"/>
    <x v="12"/>
    <x v="0"/>
    <x v="0"/>
    <n v="0"/>
    <s v="Poush 78"/>
    <n v="2021"/>
  </r>
  <r>
    <n v="674"/>
    <x v="12"/>
    <x v="1"/>
    <x v="0"/>
    <n v="0"/>
    <s v="Poush 78"/>
    <n v="2021"/>
  </r>
  <r>
    <n v="675"/>
    <x v="12"/>
    <x v="2"/>
    <x v="0"/>
    <n v="0"/>
    <s v="Poush 78"/>
    <n v="2021"/>
  </r>
  <r>
    <n v="676"/>
    <x v="12"/>
    <x v="3"/>
    <x v="0"/>
    <n v="1.9584101091558601E-2"/>
    <s v="Poush 78"/>
    <n v="2021"/>
  </r>
  <r>
    <n v="677"/>
    <x v="12"/>
    <x v="4"/>
    <x v="0"/>
    <n v="4.35052274979134E-3"/>
    <s v="Poush 78"/>
    <n v="2021"/>
  </r>
  <r>
    <n v="678"/>
    <x v="12"/>
    <x v="5"/>
    <x v="0"/>
    <n v="7.7936830428050885E-3"/>
    <s v="Poush 78"/>
    <n v="2021"/>
  </r>
  <r>
    <n v="679"/>
    <x v="12"/>
    <x v="6"/>
    <x v="0"/>
    <n v="0"/>
    <s v="Poush 78"/>
    <n v="2021"/>
  </r>
  <r>
    <n v="680"/>
    <x v="12"/>
    <x v="7"/>
    <x v="0"/>
    <n v="0"/>
    <s v="Poush 78"/>
    <n v="2021"/>
  </r>
  <r>
    <n v="681"/>
    <x v="12"/>
    <x v="8"/>
    <x v="0"/>
    <n v="0.15295318455856344"/>
    <s v="Poush 78"/>
    <n v="2021"/>
  </r>
  <r>
    <n v="682"/>
    <x v="12"/>
    <x v="9"/>
    <x v="0"/>
    <n v="3.958648511592347E-3"/>
    <s v="Poush 78"/>
    <n v="2021"/>
  </r>
  <r>
    <n v="683"/>
    <x v="12"/>
    <x v="10"/>
    <x v="0"/>
    <n v="4.7997158300209015E-2"/>
    <s v="Poush 78"/>
    <n v="2021"/>
  </r>
  <r>
    <n v="684"/>
    <x v="12"/>
    <x v="11"/>
    <x v="0"/>
    <n v="4.1715373241307703E-3"/>
    <s v="Poush 78"/>
    <n v="2021"/>
  </r>
  <r>
    <n v="685"/>
    <x v="12"/>
    <x v="12"/>
    <x v="0"/>
    <n v="1.0583214896988021E-2"/>
    <s v="Poush 78"/>
    <n v="2021"/>
  </r>
  <r>
    <n v="686"/>
    <x v="12"/>
    <x v="13"/>
    <x v="0"/>
    <n v="0"/>
    <s v="Poush 78"/>
    <n v="2021"/>
  </r>
  <r>
    <n v="687"/>
    <x v="12"/>
    <x v="14"/>
    <x v="0"/>
    <n v="0"/>
    <s v="Poush 78"/>
    <n v="2021"/>
  </r>
  <r>
    <n v="688"/>
    <x v="12"/>
    <x v="15"/>
    <x v="0"/>
    <n v="2.7487408055034586E-2"/>
    <s v="Poush 78"/>
    <n v="2021"/>
  </r>
  <r>
    <n v="689"/>
    <x v="12"/>
    <x v="16"/>
    <x v="0"/>
    <n v="0"/>
    <s v="Poush 78"/>
    <n v="2021"/>
  </r>
  <r>
    <n v="690"/>
    <x v="12"/>
    <x v="17"/>
    <x v="0"/>
    <n v="5.8998506386391779E-3"/>
    <s v="Poush 78"/>
    <n v="2021"/>
  </r>
  <r>
    <n v="691"/>
    <x v="12"/>
    <x v="18"/>
    <x v="0"/>
    <n v="0"/>
    <s v="Poush 78"/>
    <n v="2021"/>
  </r>
  <r>
    <n v="692"/>
    <x v="12"/>
    <x v="19"/>
    <x v="0"/>
    <n v="0"/>
    <s v="Poush 78"/>
    <n v="2021"/>
  </r>
  <r>
    <n v="693"/>
    <x v="12"/>
    <x v="20"/>
    <x v="0"/>
    <n v="0"/>
    <s v="Poush 78"/>
    <n v="2021"/>
  </r>
  <r>
    <n v="694"/>
    <x v="12"/>
    <x v="21"/>
    <x v="0"/>
    <n v="0"/>
    <s v="Poush 78"/>
    <n v="2021"/>
  </r>
  <r>
    <n v="695"/>
    <x v="12"/>
    <x v="22"/>
    <x v="0"/>
    <n v="0"/>
    <s v="Poush 78"/>
    <n v="2021"/>
  </r>
  <r>
    <n v="696"/>
    <x v="12"/>
    <x v="23"/>
    <x v="0"/>
    <n v="0"/>
    <s v="Poush 78"/>
    <n v="2021"/>
  </r>
  <r>
    <n v="697"/>
    <x v="12"/>
    <x v="24"/>
    <x v="0"/>
    <n v="0"/>
    <s v="Poush 78"/>
    <n v="2021"/>
  </r>
  <r>
    <n v="698"/>
    <x v="12"/>
    <x v="25"/>
    <x v="0"/>
    <n v="0"/>
    <s v="Poush 78"/>
    <n v="2021"/>
  </r>
  <r>
    <n v="699"/>
    <x v="12"/>
    <x v="26"/>
    <x v="0"/>
    <n v="0"/>
    <s v="Poush 78"/>
    <n v="2021"/>
  </r>
  <r>
    <n v="700"/>
    <x v="12"/>
    <x v="27"/>
    <x v="0"/>
    <n v="0"/>
    <s v="Poush 78"/>
    <n v="2021"/>
  </r>
  <r>
    <n v="701"/>
    <x v="12"/>
    <x v="0"/>
    <x v="1"/>
    <n v="0"/>
    <s v="Poush 78"/>
    <n v="2021"/>
  </r>
  <r>
    <n v="702"/>
    <x v="12"/>
    <x v="1"/>
    <x v="1"/>
    <n v="0"/>
    <s v="Poush 78"/>
    <n v="2021"/>
  </r>
  <r>
    <n v="703"/>
    <x v="12"/>
    <x v="2"/>
    <x v="1"/>
    <n v="0"/>
    <s v="Poush 78"/>
    <n v="2021"/>
  </r>
  <r>
    <n v="704"/>
    <x v="12"/>
    <x v="3"/>
    <x v="1"/>
    <n v="6.7521952260243934E-2"/>
    <s v="Poush 78"/>
    <n v="2021"/>
  </r>
  <r>
    <n v="705"/>
    <x v="12"/>
    <x v="4"/>
    <x v="1"/>
    <n v="7.3660123995579838E-3"/>
    <s v="Poush 78"/>
    <n v="2021"/>
  </r>
  <r>
    <n v="706"/>
    <x v="12"/>
    <x v="5"/>
    <x v="1"/>
    <n v="9.6438547939504404E-3"/>
    <s v="Poush 78"/>
    <n v="2021"/>
  </r>
  <r>
    <n v="707"/>
    <x v="12"/>
    <x v="6"/>
    <x v="1"/>
    <n v="0"/>
    <s v="Poush 78"/>
    <n v="2021"/>
  </r>
  <r>
    <n v="708"/>
    <x v="12"/>
    <x v="7"/>
    <x v="1"/>
    <n v="0"/>
    <s v="Poush 78"/>
    <n v="2021"/>
  </r>
  <r>
    <n v="709"/>
    <x v="12"/>
    <x v="8"/>
    <x v="1"/>
    <n v="0.23742315786773371"/>
    <s v="Poush 78"/>
    <n v="2021"/>
  </r>
  <r>
    <n v="710"/>
    <x v="12"/>
    <x v="9"/>
    <x v="1"/>
    <n v="4.9943214942318535E-2"/>
    <s v="Poush 78"/>
    <n v="2021"/>
  </r>
  <r>
    <n v="711"/>
    <x v="12"/>
    <x v="10"/>
    <x v="1"/>
    <n v="5.2042543742629926E-2"/>
    <s v="Poush 78"/>
    <n v="2021"/>
  </r>
  <r>
    <n v="712"/>
    <x v="12"/>
    <x v="11"/>
    <x v="1"/>
    <n v="5.2747147843885789E-2"/>
    <s v="Poush 78"/>
    <n v="2021"/>
  </r>
  <r>
    <n v="713"/>
    <x v="12"/>
    <x v="12"/>
    <x v="1"/>
    <n v="8.0585677217618577E-3"/>
    <s v="Poush 78"/>
    <n v="2021"/>
  </r>
  <r>
    <n v="714"/>
    <x v="12"/>
    <x v="13"/>
    <x v="1"/>
    <n v="0"/>
    <s v="Poush 78"/>
    <n v="2021"/>
  </r>
  <r>
    <n v="715"/>
    <x v="12"/>
    <x v="14"/>
    <x v="1"/>
    <n v="0"/>
    <s v="Poush 78"/>
    <n v="2021"/>
  </r>
  <r>
    <n v="716"/>
    <x v="12"/>
    <x v="15"/>
    <x v="1"/>
    <n v="2.9274801884688503E-2"/>
    <s v="Poush 78"/>
    <n v="2021"/>
  </r>
  <r>
    <n v="717"/>
    <x v="12"/>
    <x v="16"/>
    <x v="1"/>
    <n v="0"/>
    <s v="Poush 78"/>
    <n v="2021"/>
  </r>
  <r>
    <n v="718"/>
    <x v="12"/>
    <x v="17"/>
    <x v="1"/>
    <n v="9.7077293811186696E-3"/>
    <s v="Poush 78"/>
    <n v="2021"/>
  </r>
  <r>
    <n v="719"/>
    <x v="12"/>
    <x v="18"/>
    <x v="1"/>
    <n v="0"/>
    <s v="Poush 78"/>
    <n v="2021"/>
  </r>
  <r>
    <n v="720"/>
    <x v="12"/>
    <x v="19"/>
    <x v="1"/>
    <n v="0"/>
    <s v="Poush 78"/>
    <n v="2021"/>
  </r>
  <r>
    <n v="721"/>
    <x v="12"/>
    <x v="20"/>
    <x v="1"/>
    <n v="0"/>
    <s v="Poush 78"/>
    <n v="2021"/>
  </r>
  <r>
    <n v="722"/>
    <x v="12"/>
    <x v="21"/>
    <x v="1"/>
    <n v="0"/>
    <s v="Poush 78"/>
    <n v="2021"/>
  </r>
  <r>
    <n v="723"/>
    <x v="12"/>
    <x v="22"/>
    <x v="1"/>
    <n v="0"/>
    <s v="Poush 78"/>
    <n v="2021"/>
  </r>
  <r>
    <n v="724"/>
    <x v="12"/>
    <x v="23"/>
    <x v="1"/>
    <n v="0"/>
    <s v="Poush 78"/>
    <n v="2021"/>
  </r>
  <r>
    <n v="725"/>
    <x v="12"/>
    <x v="24"/>
    <x v="1"/>
    <n v="0"/>
    <s v="Poush 78"/>
    <n v="2021"/>
  </r>
  <r>
    <n v="726"/>
    <x v="12"/>
    <x v="25"/>
    <x v="1"/>
    <n v="0"/>
    <s v="Poush 78"/>
    <n v="2021"/>
  </r>
  <r>
    <n v="727"/>
    <x v="12"/>
    <x v="26"/>
    <x v="1"/>
    <n v="0"/>
    <s v="Poush 78"/>
    <n v="2021"/>
  </r>
  <r>
    <n v="728"/>
    <x v="12"/>
    <x v="27"/>
    <x v="1"/>
    <n v="0"/>
    <s v="Poush 78"/>
    <n v="2021"/>
  </r>
  <r>
    <n v="729"/>
    <x v="13"/>
    <x v="0"/>
    <x v="0"/>
    <n v="1.9760377067548792E-2"/>
    <s v="Ashoj 78"/>
    <n v="2021"/>
  </r>
  <r>
    <n v="730"/>
    <x v="13"/>
    <x v="1"/>
    <x v="0"/>
    <n v="0"/>
    <s v="Ashoj 78"/>
    <n v="2021"/>
  </r>
  <r>
    <n v="731"/>
    <x v="13"/>
    <x v="2"/>
    <x v="0"/>
    <n v="0"/>
    <s v="Ashoj 78"/>
    <n v="2021"/>
  </r>
  <r>
    <n v="732"/>
    <x v="13"/>
    <x v="3"/>
    <x v="0"/>
    <n v="0.11609070608799857"/>
    <s v="Ashoj 78"/>
    <n v="2021"/>
  </r>
  <r>
    <n v="733"/>
    <x v="13"/>
    <x v="4"/>
    <x v="0"/>
    <n v="0.12414486149460957"/>
    <s v="Ashoj 78"/>
    <n v="2021"/>
  </r>
  <r>
    <n v="734"/>
    <x v="13"/>
    <x v="5"/>
    <x v="0"/>
    <n v="0.3361288775246134"/>
    <s v="Ashoj 78"/>
    <n v="2021"/>
  </r>
  <r>
    <n v="735"/>
    <x v="13"/>
    <x v="6"/>
    <x v="0"/>
    <n v="0.1222352457976764"/>
    <s v="Ashoj 78"/>
    <n v="2021"/>
  </r>
  <r>
    <n v="736"/>
    <x v="13"/>
    <x v="7"/>
    <x v="0"/>
    <n v="0"/>
    <s v="Ashoj 78"/>
    <n v="2021"/>
  </r>
  <r>
    <n v="737"/>
    <x v="13"/>
    <x v="8"/>
    <x v="0"/>
    <n v="0.43823215515940117"/>
    <s v="Ashoj 78"/>
    <n v="2021"/>
  </r>
  <r>
    <n v="738"/>
    <x v="13"/>
    <x v="9"/>
    <x v="0"/>
    <n v="3.4917074215836008E-2"/>
    <s v="Ashoj 78"/>
    <n v="2021"/>
  </r>
  <r>
    <n v="739"/>
    <x v="13"/>
    <x v="10"/>
    <x v="0"/>
    <n v="3.2070569583022956E-2"/>
    <s v="Ashoj 78"/>
    <n v="2021"/>
  </r>
  <r>
    <n v="740"/>
    <x v="13"/>
    <x v="11"/>
    <x v="0"/>
    <n v="0.29064097242593034"/>
    <s v="Ashoj 78"/>
    <n v="2021"/>
  </r>
  <r>
    <n v="741"/>
    <x v="13"/>
    <x v="12"/>
    <x v="0"/>
    <n v="0.22612373334896574"/>
    <s v="Ashoj 78"/>
    <n v="2021"/>
  </r>
  <r>
    <n v="742"/>
    <x v="13"/>
    <x v="13"/>
    <x v="0"/>
    <n v="0"/>
    <s v="Ashoj 78"/>
    <n v="2021"/>
  </r>
  <r>
    <n v="743"/>
    <x v="13"/>
    <x v="14"/>
    <x v="0"/>
    <n v="0"/>
    <s v="Ashoj 78"/>
    <n v="2021"/>
  </r>
  <r>
    <n v="744"/>
    <x v="13"/>
    <x v="15"/>
    <x v="0"/>
    <n v="0.26435363713476151"/>
    <s v="Ashoj 78"/>
    <n v="2021"/>
  </r>
  <r>
    <n v="745"/>
    <x v="13"/>
    <x v="16"/>
    <x v="0"/>
    <n v="0"/>
    <s v="Ashoj 78"/>
    <n v="2021"/>
  </r>
  <r>
    <n v="746"/>
    <x v="13"/>
    <x v="17"/>
    <x v="0"/>
    <n v="0.18267464989432974"/>
    <s v="Ashoj 78"/>
    <n v="2021"/>
  </r>
  <r>
    <n v="747"/>
    <x v="13"/>
    <x v="18"/>
    <x v="0"/>
    <n v="0"/>
    <s v="Ashoj 78"/>
    <n v="2021"/>
  </r>
  <r>
    <n v="748"/>
    <x v="13"/>
    <x v="19"/>
    <x v="0"/>
    <n v="0"/>
    <s v="Ashoj 78"/>
    <n v="2021"/>
  </r>
  <r>
    <n v="749"/>
    <x v="13"/>
    <x v="20"/>
    <x v="0"/>
    <n v="0.73837070835614893"/>
    <s v="Ashoj 78"/>
    <n v="2021"/>
  </r>
  <r>
    <n v="750"/>
    <x v="13"/>
    <x v="21"/>
    <x v="0"/>
    <n v="0"/>
    <s v="Ashoj 78"/>
    <n v="2021"/>
  </r>
  <r>
    <n v="751"/>
    <x v="13"/>
    <x v="22"/>
    <x v="0"/>
    <n v="0"/>
    <s v="Ashoj 78"/>
    <n v="2021"/>
  </r>
  <r>
    <n v="752"/>
    <x v="13"/>
    <x v="23"/>
    <x v="0"/>
    <n v="0"/>
    <s v="Ashoj 78"/>
    <n v="2021"/>
  </r>
  <r>
    <n v="753"/>
    <x v="13"/>
    <x v="24"/>
    <x v="0"/>
    <n v="1"/>
    <s v="Ashoj 78"/>
    <n v="2021"/>
  </r>
  <r>
    <n v="754"/>
    <x v="13"/>
    <x v="25"/>
    <x v="0"/>
    <n v="0"/>
    <s v="Ashoj 78"/>
    <n v="2021"/>
  </r>
  <r>
    <n v="755"/>
    <x v="13"/>
    <x v="26"/>
    <x v="0"/>
    <n v="0"/>
    <s v="Ashoj 78"/>
    <n v="2021"/>
  </r>
  <r>
    <n v="756"/>
    <x v="13"/>
    <x v="27"/>
    <x v="0"/>
    <n v="0"/>
    <s v="Ashoj 78"/>
    <n v="2021"/>
  </r>
  <r>
    <n v="757"/>
    <x v="13"/>
    <x v="0"/>
    <x v="1"/>
    <n v="0"/>
    <s v="Ashoj 78"/>
    <n v="2021"/>
  </r>
  <r>
    <n v="758"/>
    <x v="13"/>
    <x v="1"/>
    <x v="1"/>
    <n v="0"/>
    <s v="Ashoj 78"/>
    <n v="2021"/>
  </r>
  <r>
    <n v="759"/>
    <x v="13"/>
    <x v="2"/>
    <x v="1"/>
    <n v="0"/>
    <s v="Ashoj 78"/>
    <n v="2021"/>
  </r>
  <r>
    <n v="760"/>
    <x v="13"/>
    <x v="3"/>
    <x v="1"/>
    <n v="0.24266827844940075"/>
    <s v="Ashoj 78"/>
    <n v="2021"/>
  </r>
  <r>
    <n v="761"/>
    <x v="13"/>
    <x v="4"/>
    <x v="1"/>
    <n v="0.24902259568295013"/>
    <s v="Ashoj 78"/>
    <n v="2021"/>
  </r>
  <r>
    <n v="762"/>
    <x v="13"/>
    <x v="5"/>
    <x v="1"/>
    <n v="0.58324337203041898"/>
    <s v="Ashoj 78"/>
    <n v="2021"/>
  </r>
  <r>
    <n v="763"/>
    <x v="13"/>
    <x v="6"/>
    <x v="1"/>
    <n v="0"/>
    <s v="Ashoj 78"/>
    <n v="2021"/>
  </r>
  <r>
    <n v="764"/>
    <x v="13"/>
    <x v="7"/>
    <x v="1"/>
    <n v="0"/>
    <s v="Ashoj 78"/>
    <n v="2021"/>
  </r>
  <r>
    <n v="765"/>
    <x v="13"/>
    <x v="8"/>
    <x v="1"/>
    <n v="0.64329120656464311"/>
    <s v="Ashoj 78"/>
    <n v="2021"/>
  </r>
  <r>
    <n v="766"/>
    <x v="13"/>
    <x v="9"/>
    <x v="1"/>
    <n v="0.68643779417166417"/>
    <s v="Ashoj 78"/>
    <n v="2021"/>
  </r>
  <r>
    <n v="767"/>
    <x v="13"/>
    <x v="10"/>
    <x v="1"/>
    <n v="0"/>
    <s v="Ashoj 78"/>
    <n v="2021"/>
  </r>
  <r>
    <n v="768"/>
    <x v="13"/>
    <x v="11"/>
    <x v="1"/>
    <n v="0.56214701169252046"/>
    <s v="Ashoj 78"/>
    <n v="2021"/>
  </r>
  <r>
    <n v="769"/>
    <x v="13"/>
    <x v="12"/>
    <x v="1"/>
    <n v="0.58608988514381"/>
    <s v="Ashoj 78"/>
    <n v="2021"/>
  </r>
  <r>
    <n v="770"/>
    <x v="13"/>
    <x v="13"/>
    <x v="1"/>
    <n v="0"/>
    <s v="Ashoj 78"/>
    <n v="2021"/>
  </r>
  <r>
    <n v="771"/>
    <x v="13"/>
    <x v="14"/>
    <x v="1"/>
    <n v="0"/>
    <s v="Ashoj 78"/>
    <n v="2021"/>
  </r>
  <r>
    <n v="772"/>
    <x v="13"/>
    <x v="15"/>
    <x v="1"/>
    <n v="0.35980327992895861"/>
    <s v="Ashoj 78"/>
    <n v="2021"/>
  </r>
  <r>
    <n v="773"/>
    <x v="13"/>
    <x v="16"/>
    <x v="1"/>
    <n v="0"/>
    <s v="Ashoj 78"/>
    <n v="2021"/>
  </r>
  <r>
    <n v="774"/>
    <x v="13"/>
    <x v="17"/>
    <x v="1"/>
    <n v="0.25550179182229482"/>
    <s v="Ashoj 78"/>
    <n v="2021"/>
  </r>
  <r>
    <n v="775"/>
    <x v="13"/>
    <x v="18"/>
    <x v="1"/>
    <n v="0"/>
    <s v="Ashoj 78"/>
    <n v="2021"/>
  </r>
  <r>
    <n v="776"/>
    <x v="13"/>
    <x v="19"/>
    <x v="1"/>
    <n v="0"/>
    <s v="Ashoj 78"/>
    <n v="2021"/>
  </r>
  <r>
    <n v="777"/>
    <x v="13"/>
    <x v="20"/>
    <x v="1"/>
    <n v="0"/>
    <s v="Ashoj 78"/>
    <n v="2021"/>
  </r>
  <r>
    <n v="778"/>
    <x v="13"/>
    <x v="21"/>
    <x v="1"/>
    <n v="0"/>
    <s v="Ashoj 78"/>
    <n v="2021"/>
  </r>
  <r>
    <n v="779"/>
    <x v="13"/>
    <x v="22"/>
    <x v="1"/>
    <n v="0"/>
    <s v="Ashoj 78"/>
    <n v="2021"/>
  </r>
  <r>
    <n v="780"/>
    <x v="13"/>
    <x v="23"/>
    <x v="1"/>
    <n v="0"/>
    <s v="Ashoj 78"/>
    <n v="2021"/>
  </r>
  <r>
    <n v="781"/>
    <x v="13"/>
    <x v="24"/>
    <x v="1"/>
    <n v="0"/>
    <s v="Ashoj 78"/>
    <n v="2021"/>
  </r>
  <r>
    <n v="782"/>
    <x v="13"/>
    <x v="25"/>
    <x v="1"/>
    <n v="0"/>
    <s v="Ashoj 78"/>
    <n v="2021"/>
  </r>
  <r>
    <n v="783"/>
    <x v="13"/>
    <x v="26"/>
    <x v="1"/>
    <n v="0"/>
    <s v="Ashoj 78"/>
    <n v="2021"/>
  </r>
  <r>
    <n v="784"/>
    <x v="13"/>
    <x v="27"/>
    <x v="1"/>
    <n v="0"/>
    <s v="Ashoj 78"/>
    <n v="2021"/>
  </r>
  <r>
    <n v="785"/>
    <x v="14"/>
    <x v="0"/>
    <x v="0"/>
    <n v="0"/>
    <s v="Asadh 78"/>
    <n v="2021"/>
  </r>
  <r>
    <n v="786"/>
    <x v="14"/>
    <x v="1"/>
    <x v="0"/>
    <n v="0"/>
    <s v="Asadh 78"/>
    <n v="2021"/>
  </r>
  <r>
    <n v="787"/>
    <x v="14"/>
    <x v="2"/>
    <x v="0"/>
    <n v="0"/>
    <s v="Asadh 78"/>
    <n v="2021"/>
  </r>
  <r>
    <n v="788"/>
    <x v="14"/>
    <x v="3"/>
    <x v="0"/>
    <n v="8.2115471418034908E-2"/>
    <s v="Asadh 78"/>
    <n v="2021"/>
  </r>
  <r>
    <n v="789"/>
    <x v="14"/>
    <x v="4"/>
    <x v="0"/>
    <n v="5.8465577468117154E-2"/>
    <s v="Asadh 78"/>
    <n v="2021"/>
  </r>
  <r>
    <n v="790"/>
    <x v="14"/>
    <x v="5"/>
    <x v="0"/>
    <n v="0.13154166398605616"/>
    <s v="Asadh 78"/>
    <n v="2021"/>
  </r>
  <r>
    <n v="791"/>
    <x v="14"/>
    <x v="6"/>
    <x v="0"/>
    <n v="0.19545144953241403"/>
    <s v="Asadh 78"/>
    <n v="2021"/>
  </r>
  <r>
    <n v="792"/>
    <x v="14"/>
    <x v="7"/>
    <x v="0"/>
    <n v="0"/>
    <s v="Asadh 78"/>
    <n v="2021"/>
  </r>
  <r>
    <n v="793"/>
    <x v="14"/>
    <x v="8"/>
    <x v="0"/>
    <n v="0.37713561751520697"/>
    <s v="Asadh 78"/>
    <n v="2021"/>
  </r>
  <r>
    <n v="794"/>
    <x v="14"/>
    <x v="9"/>
    <x v="0"/>
    <n v="3.7359120211697884E-2"/>
    <s v="Asadh 78"/>
    <n v="2021"/>
  </r>
  <r>
    <n v="795"/>
    <x v="14"/>
    <x v="10"/>
    <x v="0"/>
    <n v="0"/>
    <s v="Asadh 78"/>
    <n v="2021"/>
  </r>
  <r>
    <n v="796"/>
    <x v="14"/>
    <x v="11"/>
    <x v="0"/>
    <n v="8.7557871540043727E-2"/>
    <s v="Asadh 78"/>
    <n v="2021"/>
  </r>
  <r>
    <n v="797"/>
    <x v="14"/>
    <x v="12"/>
    <x v="0"/>
    <n v="0.10514814217995466"/>
    <s v="Asadh 78"/>
    <n v="2021"/>
  </r>
  <r>
    <n v="798"/>
    <x v="14"/>
    <x v="13"/>
    <x v="0"/>
    <n v="0"/>
    <s v="Asadh 78"/>
    <n v="2021"/>
  </r>
  <r>
    <n v="799"/>
    <x v="14"/>
    <x v="14"/>
    <x v="0"/>
    <n v="0"/>
    <s v="Asadh 78"/>
    <n v="2021"/>
  </r>
  <r>
    <n v="800"/>
    <x v="14"/>
    <x v="15"/>
    <x v="0"/>
    <n v="0.30260697661094627"/>
    <s v="Asadh 78"/>
    <n v="2021"/>
  </r>
  <r>
    <n v="801"/>
    <x v="14"/>
    <x v="16"/>
    <x v="0"/>
    <n v="0"/>
    <s v="Asadh 78"/>
    <n v="2021"/>
  </r>
  <r>
    <n v="802"/>
    <x v="14"/>
    <x v="17"/>
    <x v="0"/>
    <n v="6.4849134416083365E-2"/>
    <s v="Asadh 78"/>
    <n v="2021"/>
  </r>
  <r>
    <n v="803"/>
    <x v="14"/>
    <x v="18"/>
    <x v="0"/>
    <n v="0"/>
    <s v="Asadh 78"/>
    <n v="2021"/>
  </r>
  <r>
    <n v="804"/>
    <x v="14"/>
    <x v="19"/>
    <x v="0"/>
    <n v="0"/>
    <s v="Asadh 78"/>
    <n v="2021"/>
  </r>
  <r>
    <n v="805"/>
    <x v="14"/>
    <x v="20"/>
    <x v="0"/>
    <n v="0"/>
    <s v="Asadh 78"/>
    <n v="2021"/>
  </r>
  <r>
    <n v="806"/>
    <x v="14"/>
    <x v="21"/>
    <x v="0"/>
    <n v="4.072983535735248E-2"/>
    <s v="Asadh 78"/>
    <n v="2021"/>
  </r>
  <r>
    <n v="807"/>
    <x v="14"/>
    <x v="22"/>
    <x v="0"/>
    <n v="0"/>
    <s v="Asadh 78"/>
    <n v="2021"/>
  </r>
  <r>
    <n v="808"/>
    <x v="14"/>
    <x v="23"/>
    <x v="0"/>
    <n v="0"/>
    <s v="Asadh 78"/>
    <n v="2021"/>
  </r>
  <r>
    <n v="809"/>
    <x v="14"/>
    <x v="24"/>
    <x v="0"/>
    <n v="1.2305193086419752E-2"/>
    <s v="Asadh 78"/>
    <n v="2021"/>
  </r>
  <r>
    <n v="810"/>
    <x v="14"/>
    <x v="25"/>
    <x v="0"/>
    <n v="0"/>
    <s v="Asadh 78"/>
    <n v="2021"/>
  </r>
  <r>
    <n v="811"/>
    <x v="14"/>
    <x v="26"/>
    <x v="0"/>
    <n v="0"/>
    <s v="Asadh 78"/>
    <n v="2021"/>
  </r>
  <r>
    <n v="812"/>
    <x v="14"/>
    <x v="27"/>
    <x v="0"/>
    <n v="0"/>
    <s v="Asadh 78"/>
    <n v="2021"/>
  </r>
  <r>
    <n v="813"/>
    <x v="14"/>
    <x v="0"/>
    <x v="1"/>
    <n v="0"/>
    <s v="Asadh 78"/>
    <n v="2021"/>
  </r>
  <r>
    <n v="814"/>
    <x v="14"/>
    <x v="1"/>
    <x v="1"/>
    <n v="0"/>
    <s v="Asadh 78"/>
    <n v="2021"/>
  </r>
  <r>
    <n v="815"/>
    <x v="14"/>
    <x v="2"/>
    <x v="1"/>
    <n v="0"/>
    <s v="Asadh 78"/>
    <n v="2021"/>
  </r>
  <r>
    <n v="816"/>
    <x v="14"/>
    <x v="3"/>
    <x v="1"/>
    <n v="0.18144463949916811"/>
    <s v="Asadh 78"/>
    <n v="2021"/>
  </r>
  <r>
    <n v="817"/>
    <x v="14"/>
    <x v="4"/>
    <x v="1"/>
    <n v="0.17619956346084034"/>
    <s v="Asadh 78"/>
    <n v="2021"/>
  </r>
  <r>
    <n v="818"/>
    <x v="14"/>
    <x v="5"/>
    <x v="1"/>
    <n v="0.18110230329119989"/>
    <s v="Asadh 78"/>
    <n v="2021"/>
  </r>
  <r>
    <n v="819"/>
    <x v="14"/>
    <x v="6"/>
    <x v="1"/>
    <n v="0.19380325564818116"/>
    <s v="Asadh 78"/>
    <n v="2021"/>
  </r>
  <r>
    <n v="820"/>
    <x v="14"/>
    <x v="7"/>
    <x v="1"/>
    <n v="0"/>
    <s v="Asadh 78"/>
    <n v="2021"/>
  </r>
  <r>
    <n v="821"/>
    <x v="14"/>
    <x v="8"/>
    <x v="1"/>
    <n v="0.70625640686497093"/>
    <s v="Asadh 78"/>
    <n v="2021"/>
  </r>
  <r>
    <n v="822"/>
    <x v="14"/>
    <x v="9"/>
    <x v="1"/>
    <n v="6.8160690694082704E-2"/>
    <s v="Asadh 78"/>
    <n v="2021"/>
  </r>
  <r>
    <n v="823"/>
    <x v="14"/>
    <x v="10"/>
    <x v="1"/>
    <n v="1.0494834061131674E-2"/>
    <s v="Asadh 78"/>
    <n v="2021"/>
  </r>
  <r>
    <n v="824"/>
    <x v="14"/>
    <x v="11"/>
    <x v="1"/>
    <n v="0.1068340986290294"/>
    <s v="Asadh 78"/>
    <n v="2021"/>
  </r>
  <r>
    <n v="825"/>
    <x v="14"/>
    <x v="12"/>
    <x v="1"/>
    <n v="0.37419049633788598"/>
    <s v="Asadh 78"/>
    <n v="2021"/>
  </r>
  <r>
    <n v="826"/>
    <x v="14"/>
    <x v="13"/>
    <x v="1"/>
    <n v="0"/>
    <s v="Asadh 78"/>
    <n v="2021"/>
  </r>
  <r>
    <n v="827"/>
    <x v="14"/>
    <x v="14"/>
    <x v="1"/>
    <n v="0"/>
    <s v="Asadh 78"/>
    <n v="2021"/>
  </r>
  <r>
    <n v="828"/>
    <x v="14"/>
    <x v="15"/>
    <x v="1"/>
    <n v="0.42736011955877257"/>
    <s v="Asadh 78"/>
    <n v="2021"/>
  </r>
  <r>
    <n v="829"/>
    <x v="14"/>
    <x v="16"/>
    <x v="1"/>
    <n v="0"/>
    <s v="Asadh 78"/>
    <n v="2021"/>
  </r>
  <r>
    <n v="830"/>
    <x v="14"/>
    <x v="17"/>
    <x v="1"/>
    <n v="0.19173592967382574"/>
    <s v="Asadh 78"/>
    <n v="2021"/>
  </r>
  <r>
    <n v="831"/>
    <x v="14"/>
    <x v="18"/>
    <x v="1"/>
    <n v="0"/>
    <s v="Asadh 78"/>
    <n v="2021"/>
  </r>
  <r>
    <n v="832"/>
    <x v="14"/>
    <x v="19"/>
    <x v="1"/>
    <n v="0"/>
    <s v="Asadh 78"/>
    <n v="2021"/>
  </r>
  <r>
    <n v="833"/>
    <x v="14"/>
    <x v="20"/>
    <x v="1"/>
    <n v="1"/>
    <s v="Asadh 78"/>
    <n v="2021"/>
  </r>
  <r>
    <n v="834"/>
    <x v="14"/>
    <x v="21"/>
    <x v="1"/>
    <n v="0"/>
    <s v="Asadh 78"/>
    <n v="2021"/>
  </r>
  <r>
    <n v="835"/>
    <x v="14"/>
    <x v="22"/>
    <x v="1"/>
    <n v="0"/>
    <s v="Asadh 78"/>
    <n v="2021"/>
  </r>
  <r>
    <n v="836"/>
    <x v="14"/>
    <x v="23"/>
    <x v="1"/>
    <n v="0"/>
    <s v="Asadh 78"/>
    <n v="2021"/>
  </r>
  <r>
    <n v="837"/>
    <x v="14"/>
    <x v="24"/>
    <x v="1"/>
    <n v="0"/>
    <s v="Asadh 78"/>
    <n v="2021"/>
  </r>
  <r>
    <n v="838"/>
    <x v="14"/>
    <x v="25"/>
    <x v="1"/>
    <n v="0"/>
    <s v="Asadh 78"/>
    <n v="2021"/>
  </r>
  <r>
    <n v="839"/>
    <x v="14"/>
    <x v="26"/>
    <x v="1"/>
    <n v="0"/>
    <s v="Asadh 78"/>
    <n v="2021"/>
  </r>
  <r>
    <n v="840"/>
    <x v="14"/>
    <x v="27"/>
    <x v="1"/>
    <n v="0"/>
    <s v="Asadh 78"/>
    <n v="2021"/>
  </r>
  <r>
    <n v="841"/>
    <x v="15"/>
    <x v="0"/>
    <x v="0"/>
    <n v="0"/>
    <s v="Chaitra 77"/>
    <n v="2021"/>
  </r>
  <r>
    <n v="842"/>
    <x v="15"/>
    <x v="1"/>
    <x v="0"/>
    <n v="0"/>
    <s v="Chaitra 77"/>
    <n v="2021"/>
  </r>
  <r>
    <n v="843"/>
    <x v="15"/>
    <x v="2"/>
    <x v="0"/>
    <n v="0"/>
    <s v="Chaitra 77"/>
    <n v="2021"/>
  </r>
  <r>
    <n v="844"/>
    <x v="15"/>
    <x v="3"/>
    <x v="0"/>
    <n v="3.5595709363847441E-2"/>
    <s v="Chaitra 77"/>
    <n v="2021"/>
  </r>
  <r>
    <n v="845"/>
    <x v="15"/>
    <x v="4"/>
    <x v="0"/>
    <n v="4.1573251817567956E-2"/>
    <s v="Chaitra 77"/>
    <n v="2021"/>
  </r>
  <r>
    <n v="846"/>
    <x v="15"/>
    <x v="5"/>
    <x v="0"/>
    <n v="5.6606238733316536E-2"/>
    <s v="Chaitra 77"/>
    <n v="2021"/>
  </r>
  <r>
    <n v="847"/>
    <x v="15"/>
    <x v="6"/>
    <x v="0"/>
    <n v="0"/>
    <s v="Chaitra 77"/>
    <n v="2021"/>
  </r>
  <r>
    <n v="848"/>
    <x v="15"/>
    <x v="7"/>
    <x v="0"/>
    <n v="0"/>
    <s v="Chaitra 77"/>
    <n v="2021"/>
  </r>
  <r>
    <n v="849"/>
    <x v="15"/>
    <x v="8"/>
    <x v="0"/>
    <n v="0.33676884791168549"/>
    <s v="Chaitra 77"/>
    <n v="2021"/>
  </r>
  <r>
    <n v="850"/>
    <x v="15"/>
    <x v="9"/>
    <x v="0"/>
    <n v="3.4419665421563564E-2"/>
    <s v="Chaitra 77"/>
    <n v="2021"/>
  </r>
  <r>
    <n v="851"/>
    <x v="15"/>
    <x v="10"/>
    <x v="0"/>
    <n v="0.60815618403291949"/>
    <s v="Chaitra 77"/>
    <n v="2021"/>
  </r>
  <r>
    <n v="852"/>
    <x v="15"/>
    <x v="11"/>
    <x v="0"/>
    <n v="0"/>
    <s v="Chaitra 77"/>
    <n v="2021"/>
  </r>
  <r>
    <n v="853"/>
    <x v="15"/>
    <x v="12"/>
    <x v="0"/>
    <n v="0"/>
    <s v="Chaitra 77"/>
    <n v="2021"/>
  </r>
  <r>
    <n v="854"/>
    <x v="15"/>
    <x v="13"/>
    <x v="0"/>
    <n v="0"/>
    <s v="Chaitra 77"/>
    <n v="2021"/>
  </r>
  <r>
    <n v="855"/>
    <x v="15"/>
    <x v="14"/>
    <x v="0"/>
    <n v="0"/>
    <s v="Chaitra 77"/>
    <n v="2021"/>
  </r>
  <r>
    <n v="856"/>
    <x v="15"/>
    <x v="15"/>
    <x v="0"/>
    <n v="1.8501487409931461E-2"/>
    <s v="Chaitra 77"/>
    <n v="2021"/>
  </r>
  <r>
    <n v="857"/>
    <x v="15"/>
    <x v="16"/>
    <x v="0"/>
    <n v="0"/>
    <s v="Chaitra 77"/>
    <n v="2021"/>
  </r>
  <r>
    <n v="858"/>
    <x v="15"/>
    <x v="17"/>
    <x v="0"/>
    <n v="6.1660851752168663E-2"/>
    <s v="Chaitra 77"/>
    <n v="2021"/>
  </r>
  <r>
    <n v="859"/>
    <x v="15"/>
    <x v="18"/>
    <x v="0"/>
    <n v="0"/>
    <s v="Chaitra 77"/>
    <n v="2021"/>
  </r>
  <r>
    <n v="860"/>
    <x v="15"/>
    <x v="19"/>
    <x v="0"/>
    <n v="0"/>
    <s v="Chaitra 77"/>
    <n v="2021"/>
  </r>
  <r>
    <n v="861"/>
    <x v="15"/>
    <x v="20"/>
    <x v="0"/>
    <n v="0.11316596489692332"/>
    <s v="Chaitra 77"/>
    <n v="2021"/>
  </r>
  <r>
    <n v="862"/>
    <x v="15"/>
    <x v="21"/>
    <x v="0"/>
    <n v="0"/>
    <s v="Chaitra 77"/>
    <n v="2021"/>
  </r>
  <r>
    <n v="863"/>
    <x v="15"/>
    <x v="22"/>
    <x v="0"/>
    <n v="0"/>
    <s v="Chaitra 77"/>
    <n v="2021"/>
  </r>
  <r>
    <n v="864"/>
    <x v="15"/>
    <x v="23"/>
    <x v="0"/>
    <n v="0"/>
    <s v="Chaitra 77"/>
    <n v="2021"/>
  </r>
  <r>
    <n v="865"/>
    <x v="15"/>
    <x v="24"/>
    <x v="0"/>
    <n v="0"/>
    <s v="Chaitra 77"/>
    <n v="2021"/>
  </r>
  <r>
    <n v="866"/>
    <x v="15"/>
    <x v="25"/>
    <x v="0"/>
    <n v="0"/>
    <s v="Chaitra 77"/>
    <n v="2021"/>
  </r>
  <r>
    <n v="867"/>
    <x v="15"/>
    <x v="26"/>
    <x v="0"/>
    <n v="0"/>
    <s v="Chaitra 77"/>
    <n v="2021"/>
  </r>
  <r>
    <n v="868"/>
    <x v="15"/>
    <x v="27"/>
    <x v="0"/>
    <n v="0"/>
    <s v="Chaitra 77"/>
    <n v="2021"/>
  </r>
  <r>
    <n v="869"/>
    <x v="15"/>
    <x v="0"/>
    <x v="1"/>
    <n v="0"/>
    <s v="Chaitra 77"/>
    <n v="2021"/>
  </r>
  <r>
    <n v="870"/>
    <x v="15"/>
    <x v="1"/>
    <x v="1"/>
    <n v="0"/>
    <s v="Chaitra 77"/>
    <n v="2021"/>
  </r>
  <r>
    <n v="871"/>
    <x v="15"/>
    <x v="2"/>
    <x v="1"/>
    <n v="0"/>
    <s v="Chaitra 77"/>
    <n v="2021"/>
  </r>
  <r>
    <n v="872"/>
    <x v="15"/>
    <x v="3"/>
    <x v="1"/>
    <n v="6.3690298745467555E-2"/>
    <s v="Chaitra 77"/>
    <n v="2021"/>
  </r>
  <r>
    <n v="873"/>
    <x v="15"/>
    <x v="4"/>
    <x v="1"/>
    <n v="7.3761936158340827E-2"/>
    <s v="Chaitra 77"/>
    <n v="2021"/>
  </r>
  <r>
    <n v="874"/>
    <x v="15"/>
    <x v="5"/>
    <x v="1"/>
    <n v="0.11315946032789265"/>
    <s v="Chaitra 77"/>
    <n v="2021"/>
  </r>
  <r>
    <n v="875"/>
    <x v="15"/>
    <x v="6"/>
    <x v="1"/>
    <n v="0"/>
    <s v="Chaitra 77"/>
    <n v="2021"/>
  </r>
  <r>
    <n v="876"/>
    <x v="15"/>
    <x v="7"/>
    <x v="1"/>
    <n v="0"/>
    <s v="Chaitra 77"/>
    <n v="2021"/>
  </r>
  <r>
    <n v="877"/>
    <x v="15"/>
    <x v="8"/>
    <x v="1"/>
    <n v="0.37428674142940799"/>
    <s v="Chaitra 77"/>
    <n v="2021"/>
  </r>
  <r>
    <n v="878"/>
    <x v="15"/>
    <x v="9"/>
    <x v="1"/>
    <n v="0.10518184213179138"/>
    <s v="Chaitra 77"/>
    <n v="2021"/>
  </r>
  <r>
    <n v="879"/>
    <x v="15"/>
    <x v="10"/>
    <x v="1"/>
    <n v="1"/>
    <s v="Chaitra 77"/>
    <n v="2021"/>
  </r>
  <r>
    <n v="880"/>
    <x v="15"/>
    <x v="11"/>
    <x v="1"/>
    <n v="0"/>
    <s v="Chaitra 77"/>
    <n v="2021"/>
  </r>
  <r>
    <n v="881"/>
    <x v="15"/>
    <x v="12"/>
    <x v="1"/>
    <n v="0"/>
    <s v="Chaitra 77"/>
    <n v="2021"/>
  </r>
  <r>
    <n v="882"/>
    <x v="15"/>
    <x v="13"/>
    <x v="1"/>
    <n v="0"/>
    <s v="Chaitra 77"/>
    <n v="2021"/>
  </r>
  <r>
    <n v="883"/>
    <x v="15"/>
    <x v="14"/>
    <x v="1"/>
    <n v="0"/>
    <s v="Chaitra 77"/>
    <n v="2021"/>
  </r>
  <r>
    <n v="884"/>
    <x v="15"/>
    <x v="15"/>
    <x v="1"/>
    <n v="1.5859813746793655E-2"/>
    <s v="Chaitra 77"/>
    <n v="2021"/>
  </r>
  <r>
    <n v="885"/>
    <x v="15"/>
    <x v="16"/>
    <x v="1"/>
    <n v="0"/>
    <s v="Chaitra 77"/>
    <n v="2021"/>
  </r>
  <r>
    <n v="886"/>
    <x v="15"/>
    <x v="17"/>
    <x v="1"/>
    <n v="0.1073355647677755"/>
    <s v="Chaitra 77"/>
    <n v="2021"/>
  </r>
  <r>
    <n v="887"/>
    <x v="15"/>
    <x v="18"/>
    <x v="1"/>
    <n v="0"/>
    <s v="Chaitra 77"/>
    <n v="2021"/>
  </r>
  <r>
    <n v="888"/>
    <x v="15"/>
    <x v="19"/>
    <x v="1"/>
    <n v="0"/>
    <s v="Chaitra 77"/>
    <n v="2021"/>
  </r>
  <r>
    <n v="889"/>
    <x v="15"/>
    <x v="20"/>
    <x v="1"/>
    <n v="0"/>
    <s v="Chaitra 77"/>
    <n v="2021"/>
  </r>
  <r>
    <n v="890"/>
    <x v="15"/>
    <x v="21"/>
    <x v="1"/>
    <n v="0"/>
    <s v="Chaitra 77"/>
    <n v="2021"/>
  </r>
  <r>
    <n v="891"/>
    <x v="15"/>
    <x v="22"/>
    <x v="1"/>
    <n v="0"/>
    <s v="Chaitra 77"/>
    <n v="2021"/>
  </r>
  <r>
    <n v="892"/>
    <x v="15"/>
    <x v="23"/>
    <x v="1"/>
    <n v="0"/>
    <s v="Chaitra 77"/>
    <n v="2021"/>
  </r>
  <r>
    <n v="893"/>
    <x v="15"/>
    <x v="24"/>
    <x v="1"/>
    <n v="0"/>
    <s v="Chaitra 77"/>
    <n v="2021"/>
  </r>
  <r>
    <n v="894"/>
    <x v="15"/>
    <x v="25"/>
    <x v="1"/>
    <n v="0"/>
    <s v="Chaitra 77"/>
    <n v="2021"/>
  </r>
  <r>
    <n v="895"/>
    <x v="15"/>
    <x v="26"/>
    <x v="1"/>
    <n v="0"/>
    <s v="Chaitra 77"/>
    <n v="2021"/>
  </r>
  <r>
    <n v="896"/>
    <x v="15"/>
    <x v="27"/>
    <x v="1"/>
    <n v="0"/>
    <s v="Chaitra 77"/>
    <n v="2021"/>
  </r>
  <r>
    <n v="897"/>
    <x v="16"/>
    <x v="0"/>
    <x v="0"/>
    <n v="0"/>
    <s v="Poush 77"/>
    <n v="2020"/>
  </r>
  <r>
    <n v="898"/>
    <x v="16"/>
    <x v="1"/>
    <x v="0"/>
    <n v="0"/>
    <s v="Poush 77"/>
    <n v="2020"/>
  </r>
  <r>
    <n v="899"/>
    <x v="16"/>
    <x v="2"/>
    <x v="0"/>
    <n v="0"/>
    <s v="Poush 77"/>
    <n v="2020"/>
  </r>
  <r>
    <n v="900"/>
    <x v="16"/>
    <x v="3"/>
    <x v="0"/>
    <n v="1.7885411056569177E-2"/>
    <s v="Poush 77"/>
    <n v="2020"/>
  </r>
  <r>
    <n v="901"/>
    <x v="16"/>
    <x v="4"/>
    <x v="0"/>
    <n v="3.1824090906875581E-2"/>
    <s v="Poush 77"/>
    <n v="2020"/>
  </r>
  <r>
    <n v="902"/>
    <x v="16"/>
    <x v="5"/>
    <x v="0"/>
    <n v="3.4008724246098E-2"/>
    <s v="Poush 77"/>
    <n v="2020"/>
  </r>
  <r>
    <n v="903"/>
    <x v="16"/>
    <x v="6"/>
    <x v="0"/>
    <n v="0"/>
    <s v="Poush 77"/>
    <n v="2020"/>
  </r>
  <r>
    <n v="904"/>
    <x v="16"/>
    <x v="7"/>
    <x v="0"/>
    <n v="0"/>
    <s v="Poush 77"/>
    <n v="2020"/>
  </r>
  <r>
    <n v="905"/>
    <x v="16"/>
    <x v="8"/>
    <x v="0"/>
    <n v="1.5804606833484568E-2"/>
    <s v="Poush 77"/>
    <n v="2020"/>
  </r>
  <r>
    <n v="906"/>
    <x v="16"/>
    <x v="9"/>
    <x v="0"/>
    <n v="9.4247026652508406E-4"/>
    <s v="Poush 77"/>
    <n v="2020"/>
  </r>
  <r>
    <n v="907"/>
    <x v="16"/>
    <x v="10"/>
    <x v="0"/>
    <n v="0"/>
    <s v="Poush 77"/>
    <n v="2020"/>
  </r>
  <r>
    <n v="908"/>
    <x v="16"/>
    <x v="11"/>
    <x v="0"/>
    <n v="1.6983954370702423E-2"/>
    <s v="Poush 77"/>
    <n v="2020"/>
  </r>
  <r>
    <n v="909"/>
    <x v="16"/>
    <x v="12"/>
    <x v="0"/>
    <n v="2.3707386068005216E-2"/>
    <s v="Poush 77"/>
    <n v="2020"/>
  </r>
  <r>
    <n v="910"/>
    <x v="16"/>
    <x v="13"/>
    <x v="0"/>
    <n v="0"/>
    <s v="Poush 77"/>
    <n v="2020"/>
  </r>
  <r>
    <n v="911"/>
    <x v="16"/>
    <x v="14"/>
    <x v="0"/>
    <n v="0"/>
    <s v="Poush 77"/>
    <n v="2020"/>
  </r>
  <r>
    <n v="912"/>
    <x v="16"/>
    <x v="15"/>
    <x v="0"/>
    <n v="9.2049408202809699E-3"/>
    <s v="Poush 77"/>
    <n v="2020"/>
  </r>
  <r>
    <n v="913"/>
    <x v="16"/>
    <x v="16"/>
    <x v="0"/>
    <n v="0"/>
    <s v="Poush 77"/>
    <n v="2020"/>
  </r>
  <r>
    <n v="914"/>
    <x v="16"/>
    <x v="17"/>
    <x v="0"/>
    <n v="2.3322060757486718E-2"/>
    <s v="Poush 77"/>
    <n v="2020"/>
  </r>
  <r>
    <n v="915"/>
    <x v="16"/>
    <x v="18"/>
    <x v="0"/>
    <n v="0"/>
    <s v="Poush 77"/>
    <n v="2020"/>
  </r>
  <r>
    <n v="916"/>
    <x v="16"/>
    <x v="19"/>
    <x v="0"/>
    <n v="0"/>
    <s v="Poush 77"/>
    <n v="2020"/>
  </r>
  <r>
    <n v="917"/>
    <x v="16"/>
    <x v="20"/>
    <x v="0"/>
    <n v="0"/>
    <s v="Poush 77"/>
    <n v="2020"/>
  </r>
  <r>
    <n v="918"/>
    <x v="16"/>
    <x v="21"/>
    <x v="0"/>
    <n v="0"/>
    <s v="Poush 77"/>
    <n v="2020"/>
  </r>
  <r>
    <n v="919"/>
    <x v="16"/>
    <x v="22"/>
    <x v="0"/>
    <n v="0"/>
    <s v="Poush 77"/>
    <n v="2020"/>
  </r>
  <r>
    <n v="920"/>
    <x v="16"/>
    <x v="23"/>
    <x v="0"/>
    <n v="0"/>
    <s v="Poush 77"/>
    <n v="2020"/>
  </r>
  <r>
    <n v="921"/>
    <x v="16"/>
    <x v="24"/>
    <x v="0"/>
    <n v="0"/>
    <s v="Poush 77"/>
    <n v="2020"/>
  </r>
  <r>
    <n v="922"/>
    <x v="16"/>
    <x v="25"/>
    <x v="0"/>
    <n v="0.3013511228620247"/>
    <s v="Poush 77"/>
    <n v="2020"/>
  </r>
  <r>
    <n v="923"/>
    <x v="16"/>
    <x v="26"/>
    <x v="0"/>
    <n v="0"/>
    <s v="Poush 77"/>
    <n v="2020"/>
  </r>
  <r>
    <n v="924"/>
    <x v="16"/>
    <x v="27"/>
    <x v="0"/>
    <n v="0"/>
    <s v="Poush 77"/>
    <n v="2020"/>
  </r>
  <r>
    <n v="925"/>
    <x v="16"/>
    <x v="0"/>
    <x v="1"/>
    <n v="0"/>
    <s v="Poush 77"/>
    <n v="2020"/>
  </r>
  <r>
    <n v="926"/>
    <x v="16"/>
    <x v="1"/>
    <x v="1"/>
    <n v="0"/>
    <s v="Poush 77"/>
    <n v="2020"/>
  </r>
  <r>
    <n v="927"/>
    <x v="16"/>
    <x v="2"/>
    <x v="1"/>
    <n v="0"/>
    <s v="Poush 77"/>
    <n v="2020"/>
  </r>
  <r>
    <n v="928"/>
    <x v="16"/>
    <x v="3"/>
    <x v="1"/>
    <n v="5.3354586021527997E-2"/>
    <s v="Poush 77"/>
    <n v="2020"/>
  </r>
  <r>
    <n v="929"/>
    <x v="16"/>
    <x v="4"/>
    <x v="1"/>
    <n v="7.6917488612856369E-2"/>
    <s v="Poush 77"/>
    <n v="2020"/>
  </r>
  <r>
    <n v="930"/>
    <x v="16"/>
    <x v="5"/>
    <x v="1"/>
    <n v="5.1820449109062916E-2"/>
    <s v="Poush 77"/>
    <n v="2020"/>
  </r>
  <r>
    <n v="931"/>
    <x v="16"/>
    <x v="6"/>
    <x v="1"/>
    <n v="0"/>
    <s v="Poush 77"/>
    <n v="2020"/>
  </r>
  <r>
    <n v="932"/>
    <x v="16"/>
    <x v="7"/>
    <x v="1"/>
    <n v="0"/>
    <s v="Poush 77"/>
    <n v="2020"/>
  </r>
  <r>
    <n v="933"/>
    <x v="16"/>
    <x v="8"/>
    <x v="1"/>
    <n v="2.0330410718750434E-2"/>
    <s v="Poush 77"/>
    <n v="2020"/>
  </r>
  <r>
    <n v="934"/>
    <x v="16"/>
    <x v="9"/>
    <x v="1"/>
    <n v="2.2455480748681835E-2"/>
    <s v="Poush 77"/>
    <n v="2020"/>
  </r>
  <r>
    <n v="935"/>
    <x v="16"/>
    <x v="10"/>
    <x v="1"/>
    <n v="0"/>
    <s v="Poush 77"/>
    <n v="2020"/>
  </r>
  <r>
    <n v="936"/>
    <x v="16"/>
    <x v="11"/>
    <x v="1"/>
    <n v="4.1436462569548832E-2"/>
    <s v="Poush 77"/>
    <n v="2020"/>
  </r>
  <r>
    <n v="937"/>
    <x v="16"/>
    <x v="12"/>
    <x v="1"/>
    <n v="7.9266714356068635E-2"/>
    <s v="Poush 77"/>
    <n v="2020"/>
  </r>
  <r>
    <n v="938"/>
    <x v="16"/>
    <x v="13"/>
    <x v="1"/>
    <n v="0"/>
    <s v="Poush 77"/>
    <n v="2020"/>
  </r>
  <r>
    <n v="939"/>
    <x v="16"/>
    <x v="14"/>
    <x v="1"/>
    <n v="0"/>
    <s v="Poush 77"/>
    <n v="2020"/>
  </r>
  <r>
    <n v="940"/>
    <x v="16"/>
    <x v="15"/>
    <x v="1"/>
    <n v="1.2139374292566616E-2"/>
    <s v="Poush 77"/>
    <n v="2020"/>
  </r>
  <r>
    <n v="941"/>
    <x v="16"/>
    <x v="16"/>
    <x v="1"/>
    <n v="0"/>
    <s v="Poush 77"/>
    <n v="2020"/>
  </r>
  <r>
    <n v="942"/>
    <x v="16"/>
    <x v="17"/>
    <x v="1"/>
    <n v="4.127915642344019E-2"/>
    <s v="Poush 77"/>
    <n v="2020"/>
  </r>
  <r>
    <n v="943"/>
    <x v="16"/>
    <x v="18"/>
    <x v="1"/>
    <n v="0"/>
    <s v="Poush 77"/>
    <n v="2020"/>
  </r>
  <r>
    <n v="944"/>
    <x v="16"/>
    <x v="19"/>
    <x v="1"/>
    <n v="0"/>
    <s v="Poush 77"/>
    <n v="2020"/>
  </r>
  <r>
    <n v="945"/>
    <x v="16"/>
    <x v="20"/>
    <x v="1"/>
    <n v="0"/>
    <s v="Poush 77"/>
    <n v="2020"/>
  </r>
  <r>
    <n v="946"/>
    <x v="16"/>
    <x v="21"/>
    <x v="1"/>
    <n v="0"/>
    <s v="Poush 77"/>
    <n v="2020"/>
  </r>
  <r>
    <n v="947"/>
    <x v="16"/>
    <x v="22"/>
    <x v="1"/>
    <n v="0"/>
    <s v="Poush 77"/>
    <n v="2020"/>
  </r>
  <r>
    <n v="948"/>
    <x v="16"/>
    <x v="23"/>
    <x v="1"/>
    <n v="0"/>
    <s v="Poush 77"/>
    <n v="2020"/>
  </r>
  <r>
    <n v="949"/>
    <x v="16"/>
    <x v="24"/>
    <x v="1"/>
    <n v="0"/>
    <s v="Poush 77"/>
    <n v="2020"/>
  </r>
  <r>
    <n v="950"/>
    <x v="16"/>
    <x v="25"/>
    <x v="1"/>
    <n v="0"/>
    <s v="Poush 77"/>
    <n v="2020"/>
  </r>
  <r>
    <n v="951"/>
    <x v="16"/>
    <x v="26"/>
    <x v="1"/>
    <n v="0"/>
    <s v="Poush 77"/>
    <n v="2020"/>
  </r>
  <r>
    <n v="952"/>
    <x v="16"/>
    <x v="27"/>
    <x v="1"/>
    <n v="0"/>
    <s v="Poush 77"/>
    <n v="2020"/>
  </r>
  <r>
    <n v="953"/>
    <x v="17"/>
    <x v="0"/>
    <x v="0"/>
    <n v="0"/>
    <s v="Asoj 77"/>
    <n v="2020"/>
  </r>
  <r>
    <n v="954"/>
    <x v="17"/>
    <x v="1"/>
    <x v="0"/>
    <n v="0"/>
    <s v="Asoj 77"/>
    <n v="2020"/>
  </r>
  <r>
    <n v="955"/>
    <x v="17"/>
    <x v="2"/>
    <x v="0"/>
    <n v="0"/>
    <s v="Asoj 77"/>
    <n v="2020"/>
  </r>
  <r>
    <n v="956"/>
    <x v="17"/>
    <x v="3"/>
    <x v="0"/>
    <n v="0.47747342172791574"/>
    <s v="Asoj 77"/>
    <n v="2020"/>
  </r>
  <r>
    <n v="957"/>
    <x v="17"/>
    <x v="4"/>
    <x v="0"/>
    <n v="0.17208005999213655"/>
    <s v="Asoj 77"/>
    <n v="2020"/>
  </r>
  <r>
    <n v="958"/>
    <x v="17"/>
    <x v="5"/>
    <x v="0"/>
    <n v="0.30097255610051188"/>
    <s v="Asoj 77"/>
    <n v="2020"/>
  </r>
  <r>
    <n v="959"/>
    <x v="17"/>
    <x v="6"/>
    <x v="0"/>
    <n v="9.3960825787847188E-2"/>
    <s v="Asoj 77"/>
    <n v="2020"/>
  </r>
  <r>
    <n v="960"/>
    <x v="17"/>
    <x v="7"/>
    <x v="0"/>
    <n v="0"/>
    <s v="Asoj 77"/>
    <n v="2020"/>
  </r>
  <r>
    <n v="961"/>
    <x v="17"/>
    <x v="8"/>
    <x v="0"/>
    <n v="0.53906736965852797"/>
    <s v="Asoj 77"/>
    <n v="2020"/>
  </r>
  <r>
    <n v="962"/>
    <x v="17"/>
    <x v="9"/>
    <x v="0"/>
    <n v="7.9864611118053236E-2"/>
    <s v="Asoj 77"/>
    <n v="2020"/>
  </r>
  <r>
    <n v="963"/>
    <x v="17"/>
    <x v="10"/>
    <x v="0"/>
    <n v="0.35643841883853261"/>
    <s v="Asoj 77"/>
    <n v="2020"/>
  </r>
  <r>
    <n v="964"/>
    <x v="17"/>
    <x v="11"/>
    <x v="0"/>
    <n v="0.31385498244535753"/>
    <s v="Asoj 77"/>
    <n v="2020"/>
  </r>
  <r>
    <n v="965"/>
    <x v="17"/>
    <x v="12"/>
    <x v="0"/>
    <n v="0.40205788687656341"/>
    <s v="Asoj 77"/>
    <n v="2020"/>
  </r>
  <r>
    <n v="966"/>
    <x v="17"/>
    <x v="13"/>
    <x v="0"/>
    <n v="0"/>
    <s v="Asoj 77"/>
    <n v="2020"/>
  </r>
  <r>
    <n v="967"/>
    <x v="17"/>
    <x v="14"/>
    <x v="0"/>
    <n v="0"/>
    <s v="Asoj 77"/>
    <n v="2020"/>
  </r>
  <r>
    <n v="968"/>
    <x v="17"/>
    <x v="15"/>
    <x v="0"/>
    <n v="0.51300765817915139"/>
    <s v="Asoj 77"/>
    <n v="2020"/>
  </r>
  <r>
    <n v="969"/>
    <x v="17"/>
    <x v="16"/>
    <x v="0"/>
    <n v="0"/>
    <s v="Asoj 77"/>
    <n v="2020"/>
  </r>
  <r>
    <n v="970"/>
    <x v="17"/>
    <x v="17"/>
    <x v="0"/>
    <n v="9.2149033286611309E-2"/>
    <s v="Asoj 77"/>
    <n v="2020"/>
  </r>
  <r>
    <n v="971"/>
    <x v="17"/>
    <x v="18"/>
    <x v="0"/>
    <n v="0"/>
    <s v="Asoj 77"/>
    <n v="2020"/>
  </r>
  <r>
    <n v="972"/>
    <x v="17"/>
    <x v="19"/>
    <x v="0"/>
    <n v="0"/>
    <s v="Asoj 77"/>
    <n v="2020"/>
  </r>
  <r>
    <n v="973"/>
    <x v="17"/>
    <x v="20"/>
    <x v="0"/>
    <n v="0"/>
    <s v="Asoj 77"/>
    <n v="2020"/>
  </r>
  <r>
    <n v="974"/>
    <x v="17"/>
    <x v="21"/>
    <x v="0"/>
    <n v="0.13956100418262721"/>
    <s v="Asoj 77"/>
    <n v="2020"/>
  </r>
  <r>
    <n v="975"/>
    <x v="17"/>
    <x v="22"/>
    <x v="0"/>
    <n v="0"/>
    <s v="Asoj 77"/>
    <n v="2020"/>
  </r>
  <r>
    <n v="976"/>
    <x v="17"/>
    <x v="23"/>
    <x v="0"/>
    <n v="0"/>
    <s v="Asoj 77"/>
    <n v="2020"/>
  </r>
  <r>
    <n v="977"/>
    <x v="17"/>
    <x v="24"/>
    <x v="0"/>
    <n v="0"/>
    <s v="Asoj 77"/>
    <n v="2020"/>
  </r>
  <r>
    <n v="978"/>
    <x v="17"/>
    <x v="25"/>
    <x v="0"/>
    <n v="0.47517878121136203"/>
    <s v="Asoj 77"/>
    <n v="2020"/>
  </r>
  <r>
    <n v="979"/>
    <x v="17"/>
    <x v="26"/>
    <x v="0"/>
    <n v="0"/>
    <s v="Asoj 77"/>
    <n v="2020"/>
  </r>
  <r>
    <n v="980"/>
    <x v="17"/>
    <x v="27"/>
    <x v="0"/>
    <n v="0"/>
    <s v="Asoj 77"/>
    <n v="2020"/>
  </r>
  <r>
    <n v="981"/>
    <x v="17"/>
    <x v="0"/>
    <x v="1"/>
    <n v="0"/>
    <s v="Asoj 77"/>
    <n v="2020"/>
  </r>
  <r>
    <n v="982"/>
    <x v="17"/>
    <x v="1"/>
    <x v="1"/>
    <n v="0"/>
    <s v="Asoj 77"/>
    <n v="2020"/>
  </r>
  <r>
    <n v="983"/>
    <x v="17"/>
    <x v="2"/>
    <x v="1"/>
    <n v="0"/>
    <s v="Asoj 77"/>
    <n v="2020"/>
  </r>
  <r>
    <n v="984"/>
    <x v="17"/>
    <x v="3"/>
    <x v="1"/>
    <n v="0.61241443808767304"/>
    <s v="Asoj 77"/>
    <n v="2020"/>
  </r>
  <r>
    <n v="985"/>
    <x v="17"/>
    <x v="4"/>
    <x v="1"/>
    <n v="0.17411310468669322"/>
    <s v="Asoj 77"/>
    <n v="2020"/>
  </r>
  <r>
    <n v="986"/>
    <x v="17"/>
    <x v="5"/>
    <x v="1"/>
    <n v="0.44753293981273778"/>
    <s v="Asoj 77"/>
    <n v="2020"/>
  </r>
  <r>
    <n v="987"/>
    <x v="17"/>
    <x v="6"/>
    <x v="1"/>
    <n v="0.9546233703507927"/>
    <s v="Asoj 77"/>
    <n v="2020"/>
  </r>
  <r>
    <n v="988"/>
    <x v="17"/>
    <x v="7"/>
    <x v="1"/>
    <n v="0"/>
    <s v="Asoj 77"/>
    <n v="2020"/>
  </r>
  <r>
    <n v="989"/>
    <x v="17"/>
    <x v="8"/>
    <x v="1"/>
    <n v="0.6775365647689926"/>
    <s v="Asoj 77"/>
    <n v="2020"/>
  </r>
  <r>
    <n v="990"/>
    <x v="17"/>
    <x v="9"/>
    <x v="1"/>
    <n v="0.19840270684925537"/>
    <s v="Asoj 77"/>
    <n v="2020"/>
  </r>
  <r>
    <n v="991"/>
    <x v="17"/>
    <x v="10"/>
    <x v="1"/>
    <n v="0.28309462116216844"/>
    <s v="Asoj 77"/>
    <n v="2020"/>
  </r>
  <r>
    <n v="992"/>
    <x v="17"/>
    <x v="11"/>
    <x v="1"/>
    <n v="0.35041295782373894"/>
    <s v="Asoj 77"/>
    <n v="2020"/>
  </r>
  <r>
    <n v="993"/>
    <x v="17"/>
    <x v="12"/>
    <x v="1"/>
    <n v="0.5134423855122735"/>
    <s v="Asoj 77"/>
    <n v="2020"/>
  </r>
  <r>
    <n v="994"/>
    <x v="17"/>
    <x v="13"/>
    <x v="1"/>
    <n v="0"/>
    <s v="Asoj 77"/>
    <n v="2020"/>
  </r>
  <r>
    <n v="995"/>
    <x v="17"/>
    <x v="14"/>
    <x v="1"/>
    <n v="0"/>
    <s v="Asoj 77"/>
    <n v="2020"/>
  </r>
  <r>
    <n v="996"/>
    <x v="17"/>
    <x v="15"/>
    <x v="1"/>
    <n v="0.69428955273390691"/>
    <s v="Asoj 77"/>
    <n v="2020"/>
  </r>
  <r>
    <n v="997"/>
    <x v="17"/>
    <x v="16"/>
    <x v="1"/>
    <n v="0"/>
    <s v="Asoj 77"/>
    <n v="2020"/>
  </r>
  <r>
    <n v="998"/>
    <x v="17"/>
    <x v="17"/>
    <x v="1"/>
    <n v="9.9942377754467682E-2"/>
    <s v="Asoj 77"/>
    <n v="2020"/>
  </r>
  <r>
    <n v="999"/>
    <x v="17"/>
    <x v="18"/>
    <x v="1"/>
    <n v="0"/>
    <s v="Asoj 77"/>
    <n v="2020"/>
  </r>
  <r>
    <n v="1000"/>
    <x v="17"/>
    <x v="19"/>
    <x v="1"/>
    <n v="0"/>
    <s v="Asoj 77"/>
    <n v="2020"/>
  </r>
  <r>
    <n v="1001"/>
    <x v="17"/>
    <x v="20"/>
    <x v="1"/>
    <n v="0"/>
    <s v="Asoj 77"/>
    <n v="2020"/>
  </r>
  <r>
    <n v="1002"/>
    <x v="17"/>
    <x v="21"/>
    <x v="1"/>
    <n v="1"/>
    <s v="Asoj 77"/>
    <n v="2020"/>
  </r>
  <r>
    <n v="1003"/>
    <x v="17"/>
    <x v="22"/>
    <x v="1"/>
    <n v="0"/>
    <s v="Asoj 77"/>
    <n v="2020"/>
  </r>
  <r>
    <n v="1004"/>
    <x v="17"/>
    <x v="23"/>
    <x v="1"/>
    <n v="0"/>
    <s v="Asoj 77"/>
    <n v="2020"/>
  </r>
  <r>
    <n v="1005"/>
    <x v="17"/>
    <x v="24"/>
    <x v="1"/>
    <n v="0"/>
    <s v="Asoj 77"/>
    <n v="2020"/>
  </r>
  <r>
    <n v="1006"/>
    <x v="17"/>
    <x v="25"/>
    <x v="1"/>
    <n v="0"/>
    <s v="Asoj 77"/>
    <n v="2020"/>
  </r>
  <r>
    <n v="1007"/>
    <x v="17"/>
    <x v="26"/>
    <x v="1"/>
    <n v="0"/>
    <s v="Asoj 77"/>
    <n v="2020"/>
  </r>
  <r>
    <n v="1008"/>
    <x v="17"/>
    <x v="27"/>
    <x v="1"/>
    <n v="0"/>
    <s v="Asoj 77"/>
    <n v="2020"/>
  </r>
  <r>
    <n v="1009"/>
    <x v="18"/>
    <x v="0"/>
    <x v="0"/>
    <n v="0"/>
    <s v="Asadh 77"/>
    <n v="2020"/>
  </r>
  <r>
    <n v="1010"/>
    <x v="18"/>
    <x v="1"/>
    <x v="0"/>
    <n v="0"/>
    <s v="Asadh 77"/>
    <n v="2020"/>
  </r>
  <r>
    <n v="1011"/>
    <x v="18"/>
    <x v="2"/>
    <x v="0"/>
    <n v="0"/>
    <s v="Asadh 77"/>
    <n v="2020"/>
  </r>
  <r>
    <n v="1012"/>
    <x v="18"/>
    <x v="3"/>
    <x v="0"/>
    <n v="0.46042657598537517"/>
    <s v="Asadh 77"/>
    <n v="2020"/>
  </r>
  <r>
    <n v="1013"/>
    <x v="18"/>
    <x v="4"/>
    <x v="0"/>
    <n v="0.44929399077183779"/>
    <s v="Asadh 77"/>
    <n v="2020"/>
  </r>
  <r>
    <n v="1014"/>
    <x v="18"/>
    <x v="5"/>
    <x v="0"/>
    <n v="0.25914332515118255"/>
    <s v="Asadh 77"/>
    <n v="2020"/>
  </r>
  <r>
    <n v="1015"/>
    <x v="18"/>
    <x v="6"/>
    <x v="0"/>
    <n v="0.30747873689544669"/>
    <s v="Asadh 77"/>
    <n v="2020"/>
  </r>
  <r>
    <n v="1016"/>
    <x v="18"/>
    <x v="7"/>
    <x v="0"/>
    <n v="4.4128171854332973E-2"/>
    <s v="Asadh 77"/>
    <n v="2020"/>
  </r>
  <r>
    <n v="1017"/>
    <x v="18"/>
    <x v="8"/>
    <x v="0"/>
    <n v="0.74210682990560983"/>
    <s v="Asadh 77"/>
    <n v="2020"/>
  </r>
  <r>
    <n v="1018"/>
    <x v="18"/>
    <x v="9"/>
    <x v="0"/>
    <n v="0.46580578594627686"/>
    <s v="Asadh 77"/>
    <n v="2020"/>
  </r>
  <r>
    <n v="1019"/>
    <x v="18"/>
    <x v="10"/>
    <x v="0"/>
    <n v="0.37672094174634746"/>
    <s v="Asadh 77"/>
    <n v="2020"/>
  </r>
  <r>
    <n v="1020"/>
    <x v="18"/>
    <x v="11"/>
    <x v="0"/>
    <n v="0.16787355979355364"/>
    <s v="Asadh 77"/>
    <n v="2020"/>
  </r>
  <r>
    <n v="1021"/>
    <x v="18"/>
    <x v="12"/>
    <x v="0"/>
    <n v="0.74774235751712759"/>
    <s v="Asadh 77"/>
    <n v="2020"/>
  </r>
  <r>
    <n v="1022"/>
    <x v="18"/>
    <x v="13"/>
    <x v="0"/>
    <n v="0"/>
    <s v="Asadh 77"/>
    <n v="2020"/>
  </r>
  <r>
    <n v="1023"/>
    <x v="18"/>
    <x v="14"/>
    <x v="0"/>
    <n v="0"/>
    <s v="Asadh 77"/>
    <n v="2020"/>
  </r>
  <r>
    <n v="1024"/>
    <x v="18"/>
    <x v="15"/>
    <x v="0"/>
    <n v="0.69818973814600305"/>
    <s v="Asadh 77"/>
    <n v="2020"/>
  </r>
  <r>
    <n v="1025"/>
    <x v="18"/>
    <x v="16"/>
    <x v="0"/>
    <n v="0"/>
    <s v="Asadh 77"/>
    <n v="2020"/>
  </r>
  <r>
    <n v="1026"/>
    <x v="18"/>
    <x v="17"/>
    <x v="0"/>
    <n v="0.27527400444817662"/>
    <s v="Asadh 77"/>
    <n v="2020"/>
  </r>
  <r>
    <n v="1027"/>
    <x v="18"/>
    <x v="18"/>
    <x v="0"/>
    <n v="0"/>
    <s v="Asadh 77"/>
    <n v="2020"/>
  </r>
  <r>
    <n v="1028"/>
    <x v="18"/>
    <x v="19"/>
    <x v="0"/>
    <n v="0"/>
    <s v="Asadh 77"/>
    <n v="2020"/>
  </r>
  <r>
    <n v="1029"/>
    <x v="18"/>
    <x v="20"/>
    <x v="0"/>
    <n v="0"/>
    <s v="Asadh 77"/>
    <n v="2020"/>
  </r>
  <r>
    <n v="1030"/>
    <x v="18"/>
    <x v="21"/>
    <x v="0"/>
    <n v="0"/>
    <s v="Asadh 77"/>
    <n v="2020"/>
  </r>
  <r>
    <n v="1031"/>
    <x v="18"/>
    <x v="22"/>
    <x v="0"/>
    <n v="0"/>
    <s v="Asadh 77"/>
    <n v="2020"/>
  </r>
  <r>
    <n v="1032"/>
    <x v="18"/>
    <x v="23"/>
    <x v="0"/>
    <n v="0"/>
    <s v="Asadh 77"/>
    <n v="2020"/>
  </r>
  <r>
    <n v="1033"/>
    <x v="18"/>
    <x v="24"/>
    <x v="0"/>
    <n v="0"/>
    <s v="Asadh 77"/>
    <n v="2020"/>
  </r>
  <r>
    <n v="1034"/>
    <x v="18"/>
    <x v="25"/>
    <x v="0"/>
    <n v="5.4007905219480686E-2"/>
    <s v="Asadh 77"/>
    <n v="2020"/>
  </r>
  <r>
    <n v="1035"/>
    <x v="18"/>
    <x v="26"/>
    <x v="0"/>
    <n v="0"/>
    <s v="Asadh 77"/>
    <n v="2020"/>
  </r>
  <r>
    <n v="1036"/>
    <x v="18"/>
    <x v="27"/>
    <x v="0"/>
    <n v="0"/>
    <s v="Asadh 77"/>
    <n v="2020"/>
  </r>
  <r>
    <n v="1037"/>
    <x v="18"/>
    <x v="0"/>
    <x v="1"/>
    <n v="0"/>
    <s v="Asadh 77"/>
    <n v="2020"/>
  </r>
  <r>
    <n v="1038"/>
    <x v="18"/>
    <x v="1"/>
    <x v="1"/>
    <n v="0"/>
    <s v="Asadh 77"/>
    <n v="2020"/>
  </r>
  <r>
    <n v="1039"/>
    <x v="18"/>
    <x v="2"/>
    <x v="1"/>
    <n v="0"/>
    <s v="Asadh 77"/>
    <n v="2020"/>
  </r>
  <r>
    <n v="1040"/>
    <x v="18"/>
    <x v="3"/>
    <x v="1"/>
    <n v="0.47893814693681924"/>
    <s v="Asadh 77"/>
    <n v="2020"/>
  </r>
  <r>
    <n v="1041"/>
    <x v="18"/>
    <x v="4"/>
    <x v="1"/>
    <n v="0.46067588046304087"/>
    <s v="Asadh 77"/>
    <n v="2020"/>
  </r>
  <r>
    <n v="1042"/>
    <x v="18"/>
    <x v="5"/>
    <x v="1"/>
    <n v="0.31468822985883954"/>
    <s v="Asadh 77"/>
    <n v="2020"/>
  </r>
  <r>
    <n v="1043"/>
    <x v="18"/>
    <x v="6"/>
    <x v="1"/>
    <n v="0.69309970791024988"/>
    <s v="Asadh 77"/>
    <n v="2020"/>
  </r>
  <r>
    <n v="1044"/>
    <x v="18"/>
    <x v="7"/>
    <x v="1"/>
    <n v="4.4128190045103002E-2"/>
    <s v="Asadh 77"/>
    <n v="2020"/>
  </r>
  <r>
    <n v="1045"/>
    <x v="18"/>
    <x v="8"/>
    <x v="1"/>
    <n v="0.79456917893010459"/>
    <s v="Asadh 77"/>
    <n v="2020"/>
  </r>
  <r>
    <n v="1046"/>
    <x v="18"/>
    <x v="9"/>
    <x v="1"/>
    <n v="0.5467572650733773"/>
    <s v="Asadh 77"/>
    <n v="2020"/>
  </r>
  <r>
    <n v="1047"/>
    <x v="18"/>
    <x v="10"/>
    <x v="1"/>
    <n v="0.29996530304978042"/>
    <s v="Asadh 77"/>
    <n v="2020"/>
  </r>
  <r>
    <n v="1048"/>
    <x v="18"/>
    <x v="11"/>
    <x v="1"/>
    <n v="0.1682461039190192"/>
    <s v="Asadh 77"/>
    <n v="2020"/>
  </r>
  <r>
    <n v="1049"/>
    <x v="18"/>
    <x v="12"/>
    <x v="1"/>
    <n v="0.81680143851488496"/>
    <s v="Asadh 77"/>
    <n v="2020"/>
  </r>
  <r>
    <n v="1050"/>
    <x v="18"/>
    <x v="13"/>
    <x v="1"/>
    <n v="0"/>
    <s v="Asadh 77"/>
    <n v="2020"/>
  </r>
  <r>
    <n v="1051"/>
    <x v="18"/>
    <x v="14"/>
    <x v="1"/>
    <n v="0"/>
    <s v="Asadh 77"/>
    <n v="2020"/>
  </r>
  <r>
    <n v="1052"/>
    <x v="18"/>
    <x v="15"/>
    <x v="1"/>
    <n v="0.70551294806944265"/>
    <s v="Asadh 77"/>
    <n v="2020"/>
  </r>
  <r>
    <n v="1053"/>
    <x v="18"/>
    <x v="16"/>
    <x v="1"/>
    <n v="0"/>
    <s v="Asadh 77"/>
    <n v="2020"/>
  </r>
  <r>
    <n v="1054"/>
    <x v="18"/>
    <x v="17"/>
    <x v="1"/>
    <n v="0.28263808756959768"/>
    <s v="Asadh 77"/>
    <n v="2020"/>
  </r>
  <r>
    <n v="1055"/>
    <x v="18"/>
    <x v="18"/>
    <x v="1"/>
    <n v="0"/>
    <s v="Asadh 77"/>
    <n v="2020"/>
  </r>
  <r>
    <n v="1056"/>
    <x v="18"/>
    <x v="19"/>
    <x v="1"/>
    <n v="0"/>
    <s v="Asadh 77"/>
    <n v="2020"/>
  </r>
  <r>
    <n v="1057"/>
    <x v="18"/>
    <x v="20"/>
    <x v="1"/>
    <n v="0"/>
    <s v="Asadh 77"/>
    <n v="2020"/>
  </r>
  <r>
    <n v="1058"/>
    <x v="18"/>
    <x v="21"/>
    <x v="1"/>
    <n v="8.8949688389255155E-2"/>
    <s v="Asadh 77"/>
    <n v="2020"/>
  </r>
  <r>
    <n v="1059"/>
    <x v="18"/>
    <x v="22"/>
    <x v="1"/>
    <n v="0"/>
    <s v="Asadh 77"/>
    <n v="2020"/>
  </r>
  <r>
    <n v="1060"/>
    <x v="18"/>
    <x v="23"/>
    <x v="1"/>
    <n v="0"/>
    <s v="Asadh 77"/>
    <n v="2020"/>
  </r>
  <r>
    <n v="1061"/>
    <x v="18"/>
    <x v="24"/>
    <x v="1"/>
    <n v="0"/>
    <s v="Asadh 77"/>
    <n v="2020"/>
  </r>
  <r>
    <n v="1062"/>
    <x v="18"/>
    <x v="25"/>
    <x v="1"/>
    <n v="0"/>
    <s v="Asadh 77"/>
    <n v="2020"/>
  </r>
  <r>
    <n v="1063"/>
    <x v="18"/>
    <x v="26"/>
    <x v="1"/>
    <n v="0"/>
    <s v="Asadh 77"/>
    <n v="2020"/>
  </r>
  <r>
    <n v="1064"/>
    <x v="18"/>
    <x v="27"/>
    <x v="1"/>
    <n v="0"/>
    <s v="Asadh 77"/>
    <n v="2020"/>
  </r>
  <r>
    <n v="1065"/>
    <x v="19"/>
    <x v="0"/>
    <x v="0"/>
    <n v="0"/>
    <s v="chaitra 76"/>
    <n v="2020"/>
  </r>
  <r>
    <n v="1066"/>
    <x v="19"/>
    <x v="1"/>
    <x v="0"/>
    <n v="0"/>
    <s v="chaitra 76"/>
    <n v="2020"/>
  </r>
  <r>
    <n v="1067"/>
    <x v="19"/>
    <x v="2"/>
    <x v="0"/>
    <n v="0"/>
    <s v="chaitra 76"/>
    <n v="2020"/>
  </r>
  <r>
    <n v="1068"/>
    <x v="19"/>
    <x v="3"/>
    <x v="0"/>
    <n v="0.21790128685962482"/>
    <s v="chaitra 76"/>
    <n v="2020"/>
  </r>
  <r>
    <n v="1069"/>
    <x v="19"/>
    <x v="4"/>
    <x v="0"/>
    <n v="0.38794500585383462"/>
    <s v="chaitra 76"/>
    <n v="2020"/>
  </r>
  <r>
    <n v="1070"/>
    <x v="19"/>
    <x v="5"/>
    <x v="0"/>
    <n v="0.46128572929443745"/>
    <s v="chaitra 76"/>
    <n v="2020"/>
  </r>
  <r>
    <n v="1071"/>
    <x v="19"/>
    <x v="6"/>
    <x v="0"/>
    <n v="0.3363902032355246"/>
    <s v="chaitra 76"/>
    <n v="2020"/>
  </r>
  <r>
    <n v="1072"/>
    <x v="19"/>
    <x v="7"/>
    <x v="0"/>
    <n v="0.37234397063372315"/>
    <s v="chaitra 76"/>
    <n v="2020"/>
  </r>
  <r>
    <n v="1073"/>
    <x v="19"/>
    <x v="8"/>
    <x v="0"/>
    <n v="0.58985793031429301"/>
    <s v="chaitra 76"/>
    <n v="2020"/>
  </r>
  <r>
    <n v="1074"/>
    <x v="19"/>
    <x v="9"/>
    <x v="0"/>
    <n v="4.9670447091982955E-2"/>
    <s v="chaitra 76"/>
    <n v="2020"/>
  </r>
  <r>
    <n v="1075"/>
    <x v="19"/>
    <x v="10"/>
    <x v="0"/>
    <n v="0.432343118930198"/>
    <s v="chaitra 76"/>
    <n v="2020"/>
  </r>
  <r>
    <n v="1076"/>
    <x v="19"/>
    <x v="11"/>
    <x v="0"/>
    <n v="0.14103234304003459"/>
    <s v="chaitra 76"/>
    <n v="2020"/>
  </r>
  <r>
    <n v="1077"/>
    <x v="19"/>
    <x v="12"/>
    <x v="0"/>
    <n v="0.35360644393532237"/>
    <s v="chaitra 76"/>
    <n v="2020"/>
  </r>
  <r>
    <n v="1078"/>
    <x v="19"/>
    <x v="13"/>
    <x v="0"/>
    <n v="0"/>
    <s v="chaitra 76"/>
    <n v="2020"/>
  </r>
  <r>
    <n v="1079"/>
    <x v="19"/>
    <x v="14"/>
    <x v="0"/>
    <n v="0"/>
    <s v="chaitra 76"/>
    <n v="2020"/>
  </r>
  <r>
    <n v="1080"/>
    <x v="19"/>
    <x v="15"/>
    <x v="0"/>
    <n v="0.61329790508062332"/>
    <s v="chaitra 76"/>
    <n v="2020"/>
  </r>
  <r>
    <n v="1081"/>
    <x v="19"/>
    <x v="16"/>
    <x v="0"/>
    <n v="0"/>
    <s v="chaitra 76"/>
    <n v="2020"/>
  </r>
  <r>
    <n v="1082"/>
    <x v="19"/>
    <x v="17"/>
    <x v="0"/>
    <n v="0.21067900062398631"/>
    <s v="chaitra 76"/>
    <n v="2020"/>
  </r>
  <r>
    <n v="1083"/>
    <x v="19"/>
    <x v="18"/>
    <x v="0"/>
    <n v="0"/>
    <s v="chaitra 76"/>
    <n v="2020"/>
  </r>
  <r>
    <n v="1084"/>
    <x v="19"/>
    <x v="19"/>
    <x v="0"/>
    <n v="0"/>
    <s v="chaitra 76"/>
    <n v="2020"/>
  </r>
  <r>
    <n v="1085"/>
    <x v="19"/>
    <x v="20"/>
    <x v="0"/>
    <n v="0"/>
    <s v="chaitra 76"/>
    <n v="2020"/>
  </r>
  <r>
    <n v="1086"/>
    <x v="19"/>
    <x v="21"/>
    <x v="0"/>
    <n v="5.4192551918166874E-2"/>
    <s v="chaitra 76"/>
    <n v="2020"/>
  </r>
  <r>
    <n v="1087"/>
    <x v="19"/>
    <x v="22"/>
    <x v="0"/>
    <n v="0"/>
    <s v="chaitra 76"/>
    <n v="2020"/>
  </r>
  <r>
    <n v="1088"/>
    <x v="19"/>
    <x v="23"/>
    <x v="0"/>
    <n v="0"/>
    <s v="chaitra 76"/>
    <n v="2020"/>
  </r>
  <r>
    <n v="1089"/>
    <x v="19"/>
    <x v="24"/>
    <x v="0"/>
    <n v="0"/>
    <s v="chaitra 76"/>
    <n v="2020"/>
  </r>
  <r>
    <n v="1090"/>
    <x v="19"/>
    <x v="25"/>
    <x v="0"/>
    <n v="0"/>
    <s v="chaitra 76"/>
    <n v="2020"/>
  </r>
  <r>
    <n v="1091"/>
    <x v="19"/>
    <x v="26"/>
    <x v="0"/>
    <n v="0"/>
    <s v="chaitra 76"/>
    <n v="2020"/>
  </r>
  <r>
    <n v="1092"/>
    <x v="19"/>
    <x v="27"/>
    <x v="0"/>
    <n v="0"/>
    <s v="chaitra 76"/>
    <n v="2020"/>
  </r>
  <r>
    <n v="1093"/>
    <x v="19"/>
    <x v="0"/>
    <x v="1"/>
    <n v="0"/>
    <s v="chaitra 76"/>
    <n v="2020"/>
  </r>
  <r>
    <n v="1094"/>
    <x v="19"/>
    <x v="1"/>
    <x v="1"/>
    <n v="0"/>
    <s v="chaitra 76"/>
    <n v="2020"/>
  </r>
  <r>
    <n v="1095"/>
    <x v="19"/>
    <x v="2"/>
    <x v="1"/>
    <n v="0"/>
    <s v="chaitra 76"/>
    <n v="2020"/>
  </r>
  <r>
    <n v="1096"/>
    <x v="19"/>
    <x v="3"/>
    <x v="1"/>
    <n v="0.38129137896235338"/>
    <s v="chaitra 76"/>
    <n v="2020"/>
  </r>
  <r>
    <n v="1097"/>
    <x v="19"/>
    <x v="4"/>
    <x v="1"/>
    <n v="0.62758786815583467"/>
    <s v="chaitra 76"/>
    <n v="2020"/>
  </r>
  <r>
    <n v="1098"/>
    <x v="19"/>
    <x v="5"/>
    <x v="1"/>
    <n v="0.77838097795729988"/>
    <s v="chaitra 76"/>
    <n v="2020"/>
  </r>
  <r>
    <n v="1099"/>
    <x v="19"/>
    <x v="6"/>
    <x v="1"/>
    <n v="0.49167151914787705"/>
    <s v="chaitra 76"/>
    <n v="2020"/>
  </r>
  <r>
    <n v="1100"/>
    <x v="19"/>
    <x v="7"/>
    <x v="1"/>
    <n v="0.97198770354897013"/>
    <s v="chaitra 76"/>
    <n v="2020"/>
  </r>
  <r>
    <n v="1101"/>
    <x v="19"/>
    <x v="8"/>
    <x v="1"/>
    <n v="0.76501448180836229"/>
    <s v="chaitra 76"/>
    <n v="2020"/>
  </r>
  <r>
    <n v="1102"/>
    <x v="19"/>
    <x v="9"/>
    <x v="1"/>
    <n v="0.12859669380165581"/>
    <s v="chaitra 76"/>
    <n v="2020"/>
  </r>
  <r>
    <n v="1103"/>
    <x v="19"/>
    <x v="10"/>
    <x v="1"/>
    <n v="0.79595124110263804"/>
    <s v="chaitra 76"/>
    <n v="2020"/>
  </r>
  <r>
    <n v="1104"/>
    <x v="19"/>
    <x v="11"/>
    <x v="1"/>
    <n v="0.19307019627636787"/>
    <s v="chaitra 76"/>
    <n v="2020"/>
  </r>
  <r>
    <n v="1105"/>
    <x v="19"/>
    <x v="12"/>
    <x v="1"/>
    <n v="0"/>
    <s v="chaitra 76"/>
    <n v="2020"/>
  </r>
  <r>
    <n v="1106"/>
    <x v="19"/>
    <x v="13"/>
    <x v="1"/>
    <n v="0"/>
    <s v="chaitra 76"/>
    <n v="2020"/>
  </r>
  <r>
    <n v="1107"/>
    <x v="19"/>
    <x v="14"/>
    <x v="1"/>
    <n v="0"/>
    <s v="chaitra 76"/>
    <n v="2020"/>
  </r>
  <r>
    <n v="1108"/>
    <x v="19"/>
    <x v="15"/>
    <x v="1"/>
    <n v="0.89879051301058066"/>
    <s v="chaitra 76"/>
    <n v="2020"/>
  </r>
  <r>
    <n v="1109"/>
    <x v="19"/>
    <x v="16"/>
    <x v="1"/>
    <n v="0"/>
    <s v="chaitra 76"/>
    <n v="2020"/>
  </r>
  <r>
    <n v="1110"/>
    <x v="19"/>
    <x v="17"/>
    <x v="1"/>
    <n v="0.30476786648483667"/>
    <s v="chaitra 76"/>
    <n v="2020"/>
  </r>
  <r>
    <n v="1111"/>
    <x v="19"/>
    <x v="18"/>
    <x v="1"/>
    <n v="0"/>
    <s v="chaitra 76"/>
    <n v="2020"/>
  </r>
  <r>
    <n v="1112"/>
    <x v="19"/>
    <x v="19"/>
    <x v="1"/>
    <n v="0"/>
    <s v="chaitra 76"/>
    <n v="2020"/>
  </r>
  <r>
    <n v="1113"/>
    <x v="19"/>
    <x v="20"/>
    <x v="1"/>
    <n v="0"/>
    <s v="chaitra 76"/>
    <n v="2020"/>
  </r>
  <r>
    <n v="1114"/>
    <x v="19"/>
    <x v="21"/>
    <x v="1"/>
    <n v="0"/>
    <s v="chaitra 76"/>
    <n v="2020"/>
  </r>
  <r>
    <n v="1115"/>
    <x v="19"/>
    <x v="22"/>
    <x v="1"/>
    <n v="0"/>
    <s v="chaitra 76"/>
    <n v="2020"/>
  </r>
  <r>
    <n v="1116"/>
    <x v="19"/>
    <x v="23"/>
    <x v="1"/>
    <n v="0"/>
    <s v="chaitra 76"/>
    <n v="2020"/>
  </r>
  <r>
    <n v="1117"/>
    <x v="19"/>
    <x v="24"/>
    <x v="1"/>
    <n v="0"/>
    <s v="chaitra 76"/>
    <n v="2020"/>
  </r>
  <r>
    <n v="1118"/>
    <x v="19"/>
    <x v="25"/>
    <x v="1"/>
    <n v="0"/>
    <s v="chaitra 76"/>
    <n v="2020"/>
  </r>
  <r>
    <n v="1119"/>
    <x v="19"/>
    <x v="26"/>
    <x v="1"/>
    <n v="0"/>
    <s v="chaitra 76"/>
    <n v="2020"/>
  </r>
  <r>
    <n v="1120"/>
    <x v="19"/>
    <x v="27"/>
    <x v="1"/>
    <n v="0"/>
    <s v="chaitra 76"/>
    <n v="2020"/>
  </r>
  <r>
    <n v="1121"/>
    <x v="20"/>
    <x v="0"/>
    <x v="0"/>
    <n v="0"/>
    <s v="poush 76"/>
    <n v="2019"/>
  </r>
  <r>
    <n v="1122"/>
    <x v="20"/>
    <x v="1"/>
    <x v="0"/>
    <n v="0"/>
    <s v="poush 76"/>
    <n v="2019"/>
  </r>
  <r>
    <n v="1123"/>
    <x v="20"/>
    <x v="2"/>
    <x v="0"/>
    <n v="0"/>
    <s v="poush 76"/>
    <n v="2019"/>
  </r>
  <r>
    <n v="1124"/>
    <x v="20"/>
    <x v="3"/>
    <x v="0"/>
    <n v="3.400649963467707E-2"/>
    <s v="poush 76"/>
    <n v="2019"/>
  </r>
  <r>
    <n v="1125"/>
    <x v="20"/>
    <x v="4"/>
    <x v="0"/>
    <n v="0.13680224028356541"/>
    <s v="poush 76"/>
    <n v="2019"/>
  </r>
  <r>
    <n v="1126"/>
    <x v="20"/>
    <x v="5"/>
    <x v="0"/>
    <n v="6.2212301415485886E-2"/>
    <s v="poush 76"/>
    <n v="2019"/>
  </r>
  <r>
    <n v="1127"/>
    <x v="20"/>
    <x v="6"/>
    <x v="0"/>
    <n v="0"/>
    <s v="poush 76"/>
    <n v="2019"/>
  </r>
  <r>
    <n v="1128"/>
    <x v="20"/>
    <x v="7"/>
    <x v="0"/>
    <n v="0"/>
    <s v="poush 76"/>
    <n v="2019"/>
  </r>
  <r>
    <n v="1129"/>
    <x v="20"/>
    <x v="8"/>
    <x v="0"/>
    <n v="0.23241507786776922"/>
    <s v="poush 76"/>
    <n v="2019"/>
  </r>
  <r>
    <n v="1130"/>
    <x v="20"/>
    <x v="9"/>
    <x v="0"/>
    <n v="5.2367875487701027E-2"/>
    <s v="poush 76"/>
    <n v="2019"/>
  </r>
  <r>
    <n v="1131"/>
    <x v="20"/>
    <x v="10"/>
    <x v="0"/>
    <n v="0"/>
    <s v="poush 76"/>
    <n v="2019"/>
  </r>
  <r>
    <n v="1132"/>
    <x v="20"/>
    <x v="11"/>
    <x v="0"/>
    <n v="4.0932002031314904E-2"/>
    <s v="poush 76"/>
    <n v="2019"/>
  </r>
  <r>
    <n v="1133"/>
    <x v="20"/>
    <x v="12"/>
    <x v="0"/>
    <n v="7.5688361541651553E-3"/>
    <s v="poush 76"/>
    <n v="2019"/>
  </r>
  <r>
    <n v="1134"/>
    <x v="20"/>
    <x v="13"/>
    <x v="0"/>
    <n v="0"/>
    <s v="poush 76"/>
    <n v="2019"/>
  </r>
  <r>
    <n v="1135"/>
    <x v="20"/>
    <x v="14"/>
    <x v="0"/>
    <n v="0"/>
    <s v="poush 76"/>
    <n v="2019"/>
  </r>
  <r>
    <n v="1136"/>
    <x v="20"/>
    <x v="15"/>
    <x v="0"/>
    <n v="6.4018522168271294E-2"/>
    <s v="poush 76"/>
    <n v="2019"/>
  </r>
  <r>
    <n v="1137"/>
    <x v="20"/>
    <x v="16"/>
    <x v="0"/>
    <n v="0"/>
    <s v="poush 76"/>
    <n v="2019"/>
  </r>
  <r>
    <n v="1138"/>
    <x v="20"/>
    <x v="17"/>
    <x v="0"/>
    <n v="3.9767892250170134E-2"/>
    <s v="poush 76"/>
    <n v="2019"/>
  </r>
  <r>
    <n v="1139"/>
    <x v="20"/>
    <x v="18"/>
    <x v="0"/>
    <n v="0"/>
    <s v="poush 76"/>
    <n v="2019"/>
  </r>
  <r>
    <n v="1140"/>
    <x v="20"/>
    <x v="19"/>
    <x v="0"/>
    <n v="0"/>
    <s v="poush 76"/>
    <n v="2019"/>
  </r>
  <r>
    <n v="1141"/>
    <x v="20"/>
    <x v="20"/>
    <x v="0"/>
    <n v="0"/>
    <s v="poush 76"/>
    <n v="2019"/>
  </r>
  <r>
    <n v="1142"/>
    <x v="20"/>
    <x v="21"/>
    <x v="0"/>
    <n v="0"/>
    <s v="poush 76"/>
    <n v="2019"/>
  </r>
  <r>
    <n v="1143"/>
    <x v="20"/>
    <x v="22"/>
    <x v="0"/>
    <n v="0"/>
    <s v="poush 76"/>
    <n v="2019"/>
  </r>
  <r>
    <n v="1144"/>
    <x v="20"/>
    <x v="23"/>
    <x v="0"/>
    <n v="0.10079252872560128"/>
    <s v="poush 76"/>
    <n v="2019"/>
  </r>
  <r>
    <n v="1145"/>
    <x v="20"/>
    <x v="24"/>
    <x v="0"/>
    <n v="0"/>
    <s v="poush 76"/>
    <n v="2019"/>
  </r>
  <r>
    <n v="1146"/>
    <x v="20"/>
    <x v="25"/>
    <x v="0"/>
    <n v="0"/>
    <s v="poush 76"/>
    <n v="2019"/>
  </r>
  <r>
    <n v="1147"/>
    <x v="20"/>
    <x v="26"/>
    <x v="0"/>
    <n v="0"/>
    <s v="poush 76"/>
    <n v="2019"/>
  </r>
  <r>
    <n v="1148"/>
    <x v="20"/>
    <x v="27"/>
    <x v="0"/>
    <n v="0"/>
    <s v="poush 76"/>
    <n v="2019"/>
  </r>
  <r>
    <n v="1149"/>
    <x v="20"/>
    <x v="0"/>
    <x v="1"/>
    <n v="0"/>
    <s v="poush 76"/>
    <n v="2019"/>
  </r>
  <r>
    <n v="1150"/>
    <x v="20"/>
    <x v="1"/>
    <x v="1"/>
    <n v="0"/>
    <s v="poush 76"/>
    <n v="2019"/>
  </r>
  <r>
    <n v="1151"/>
    <x v="20"/>
    <x v="2"/>
    <x v="1"/>
    <n v="0"/>
    <s v="poush 76"/>
    <n v="2019"/>
  </r>
  <r>
    <n v="1152"/>
    <x v="20"/>
    <x v="3"/>
    <x v="1"/>
    <n v="0.11667046438470513"/>
    <s v="poush 76"/>
    <n v="2019"/>
  </r>
  <r>
    <n v="1153"/>
    <x v="20"/>
    <x v="4"/>
    <x v="1"/>
    <n v="0.20516999905559674"/>
    <s v="poush 76"/>
    <n v="2019"/>
  </r>
  <r>
    <n v="1154"/>
    <x v="20"/>
    <x v="5"/>
    <x v="1"/>
    <n v="0.17447604061175809"/>
    <s v="poush 76"/>
    <n v="2019"/>
  </r>
  <r>
    <n v="1155"/>
    <x v="20"/>
    <x v="6"/>
    <x v="1"/>
    <n v="0"/>
    <s v="poush 76"/>
    <n v="2019"/>
  </r>
  <r>
    <n v="1156"/>
    <x v="20"/>
    <x v="7"/>
    <x v="1"/>
    <n v="0"/>
    <s v="poush 76"/>
    <n v="2019"/>
  </r>
  <r>
    <n v="1157"/>
    <x v="20"/>
    <x v="8"/>
    <x v="1"/>
    <n v="0.33933650026515905"/>
    <s v="poush 76"/>
    <n v="2019"/>
  </r>
  <r>
    <n v="1158"/>
    <x v="20"/>
    <x v="9"/>
    <x v="1"/>
    <n v="0.28242228603916514"/>
    <s v="poush 76"/>
    <n v="2019"/>
  </r>
  <r>
    <n v="1159"/>
    <x v="20"/>
    <x v="10"/>
    <x v="1"/>
    <n v="0"/>
    <s v="poush 76"/>
    <n v="2019"/>
  </r>
  <r>
    <n v="1160"/>
    <x v="20"/>
    <x v="11"/>
    <x v="1"/>
    <n v="0.27985055713204016"/>
    <s v="poush 76"/>
    <n v="2019"/>
  </r>
  <r>
    <n v="1161"/>
    <x v="20"/>
    <x v="12"/>
    <x v="1"/>
    <n v="6.2771966731312856E-3"/>
    <s v="poush 76"/>
    <n v="2019"/>
  </r>
  <r>
    <n v="1162"/>
    <x v="20"/>
    <x v="13"/>
    <x v="1"/>
    <n v="0"/>
    <s v="poush 76"/>
    <n v="2019"/>
  </r>
  <r>
    <n v="1163"/>
    <x v="20"/>
    <x v="14"/>
    <x v="1"/>
    <n v="0"/>
    <s v="poush 76"/>
    <n v="2019"/>
  </r>
  <r>
    <n v="1164"/>
    <x v="20"/>
    <x v="15"/>
    <x v="1"/>
    <n v="3.2527184581830529E-2"/>
    <s v="poush 76"/>
    <n v="2019"/>
  </r>
  <r>
    <n v="1165"/>
    <x v="20"/>
    <x v="16"/>
    <x v="1"/>
    <n v="0"/>
    <s v="poush 76"/>
    <n v="2019"/>
  </r>
  <r>
    <n v="1166"/>
    <x v="20"/>
    <x v="17"/>
    <x v="1"/>
    <n v="4.5748650928464932E-2"/>
    <s v="poush 76"/>
    <n v="2019"/>
  </r>
  <r>
    <n v="1167"/>
    <x v="20"/>
    <x v="18"/>
    <x v="1"/>
    <n v="0"/>
    <s v="poush 76"/>
    <n v="2019"/>
  </r>
  <r>
    <n v="1168"/>
    <x v="20"/>
    <x v="19"/>
    <x v="1"/>
    <n v="0"/>
    <s v="poush 76"/>
    <n v="2019"/>
  </r>
  <r>
    <n v="1169"/>
    <x v="20"/>
    <x v="20"/>
    <x v="1"/>
    <n v="0"/>
    <s v="poush 76"/>
    <n v="2019"/>
  </r>
  <r>
    <n v="1170"/>
    <x v="20"/>
    <x v="21"/>
    <x v="1"/>
    <n v="1"/>
    <s v="poush 76"/>
    <n v="2019"/>
  </r>
  <r>
    <n v="1171"/>
    <x v="20"/>
    <x v="22"/>
    <x v="1"/>
    <n v="0"/>
    <s v="poush 76"/>
    <n v="2019"/>
  </r>
  <r>
    <n v="1172"/>
    <x v="20"/>
    <x v="23"/>
    <x v="1"/>
    <n v="0"/>
    <s v="poush 76"/>
    <n v="2019"/>
  </r>
  <r>
    <n v="1173"/>
    <x v="20"/>
    <x v="24"/>
    <x v="1"/>
    <n v="0"/>
    <s v="poush 76"/>
    <n v="2019"/>
  </r>
  <r>
    <n v="1174"/>
    <x v="20"/>
    <x v="25"/>
    <x v="1"/>
    <n v="0"/>
    <s v="poush 76"/>
    <n v="2019"/>
  </r>
  <r>
    <n v="1175"/>
    <x v="20"/>
    <x v="26"/>
    <x v="1"/>
    <n v="0"/>
    <s v="poush 76"/>
    <n v="2019"/>
  </r>
  <r>
    <n v="1176"/>
    <x v="20"/>
    <x v="27"/>
    <x v="1"/>
    <n v="0"/>
    <s v="poush 76"/>
    <n v="2019"/>
  </r>
  <r>
    <n v="1177"/>
    <x v="21"/>
    <x v="0"/>
    <x v="0"/>
    <n v="0"/>
    <s v="Ashoj 76"/>
    <n v="2019"/>
  </r>
  <r>
    <n v="1178"/>
    <x v="21"/>
    <x v="1"/>
    <x v="0"/>
    <n v="0"/>
    <s v="Ashoj 76"/>
    <n v="2019"/>
  </r>
  <r>
    <n v="1179"/>
    <x v="21"/>
    <x v="2"/>
    <x v="0"/>
    <n v="0"/>
    <s v="Ashoj 76"/>
    <n v="2019"/>
  </r>
  <r>
    <n v="1180"/>
    <x v="21"/>
    <x v="3"/>
    <x v="0"/>
    <n v="0.10318510147869309"/>
    <s v="Ashoj 76"/>
    <n v="2019"/>
  </r>
  <r>
    <n v="1181"/>
    <x v="21"/>
    <x v="4"/>
    <x v="0"/>
    <n v="0.10200789574830908"/>
    <s v="Ashoj 76"/>
    <n v="2019"/>
  </r>
  <r>
    <n v="1182"/>
    <x v="21"/>
    <x v="5"/>
    <x v="0"/>
    <n v="0.20184346817598631"/>
    <s v="Ashoj 76"/>
    <n v="2019"/>
  </r>
  <r>
    <n v="1183"/>
    <x v="21"/>
    <x v="6"/>
    <x v="0"/>
    <n v="0.14317946240956256"/>
    <s v="Ashoj 76"/>
    <n v="2019"/>
  </r>
  <r>
    <n v="1184"/>
    <x v="21"/>
    <x v="7"/>
    <x v="0"/>
    <n v="0"/>
    <s v="Ashoj 76"/>
    <n v="2019"/>
  </r>
  <r>
    <n v="1185"/>
    <x v="21"/>
    <x v="8"/>
    <x v="0"/>
    <n v="0.44105219018821551"/>
    <s v="Ashoj 76"/>
    <n v="2019"/>
  </r>
  <r>
    <n v="1186"/>
    <x v="21"/>
    <x v="9"/>
    <x v="0"/>
    <n v="8.4225613360312084E-3"/>
    <s v="Ashoj 76"/>
    <n v="2019"/>
  </r>
  <r>
    <n v="1187"/>
    <x v="21"/>
    <x v="10"/>
    <x v="0"/>
    <n v="0.17237456741440149"/>
    <s v="Ashoj 76"/>
    <n v="2019"/>
  </r>
  <r>
    <n v="1188"/>
    <x v="21"/>
    <x v="11"/>
    <x v="0"/>
    <n v="0.19674323263436283"/>
    <s v="Ashoj 76"/>
    <n v="2019"/>
  </r>
  <r>
    <n v="1189"/>
    <x v="21"/>
    <x v="12"/>
    <x v="0"/>
    <n v="0"/>
    <s v="Ashoj 76"/>
    <n v="2019"/>
  </r>
  <r>
    <n v="1190"/>
    <x v="21"/>
    <x v="13"/>
    <x v="0"/>
    <n v="0"/>
    <s v="Ashoj 76"/>
    <n v="2019"/>
  </r>
  <r>
    <n v="1191"/>
    <x v="21"/>
    <x v="14"/>
    <x v="0"/>
    <n v="0"/>
    <s v="Ashoj 76"/>
    <n v="2019"/>
  </r>
  <r>
    <n v="1192"/>
    <x v="21"/>
    <x v="15"/>
    <x v="0"/>
    <n v="0"/>
    <s v="Ashoj 76"/>
    <n v="2019"/>
  </r>
  <r>
    <n v="1193"/>
    <x v="21"/>
    <x v="16"/>
    <x v="0"/>
    <n v="0"/>
    <s v="Ashoj 76"/>
    <n v="2019"/>
  </r>
  <r>
    <n v="1194"/>
    <x v="21"/>
    <x v="17"/>
    <x v="0"/>
    <n v="0.15527119420527552"/>
    <s v="Ashoj 76"/>
    <n v="2019"/>
  </r>
  <r>
    <n v="1195"/>
    <x v="21"/>
    <x v="18"/>
    <x v="0"/>
    <n v="0"/>
    <s v="Ashoj 76"/>
    <n v="2019"/>
  </r>
  <r>
    <n v="1196"/>
    <x v="21"/>
    <x v="19"/>
    <x v="0"/>
    <n v="0"/>
    <s v="Ashoj 76"/>
    <n v="2019"/>
  </r>
  <r>
    <n v="1197"/>
    <x v="21"/>
    <x v="20"/>
    <x v="0"/>
    <n v="0"/>
    <s v="Ashoj 76"/>
    <n v="2019"/>
  </r>
  <r>
    <n v="1198"/>
    <x v="21"/>
    <x v="21"/>
    <x v="0"/>
    <n v="0"/>
    <s v="Ashoj 76"/>
    <n v="2019"/>
  </r>
  <r>
    <n v="1199"/>
    <x v="21"/>
    <x v="22"/>
    <x v="0"/>
    <n v="0"/>
    <s v="Ashoj 76"/>
    <n v="2019"/>
  </r>
  <r>
    <n v="1200"/>
    <x v="21"/>
    <x v="23"/>
    <x v="0"/>
    <n v="0"/>
    <s v="Ashoj 76"/>
    <n v="2019"/>
  </r>
  <r>
    <n v="1201"/>
    <x v="21"/>
    <x v="24"/>
    <x v="0"/>
    <n v="0"/>
    <s v="Ashoj 76"/>
    <n v="2019"/>
  </r>
  <r>
    <n v="1202"/>
    <x v="21"/>
    <x v="25"/>
    <x v="0"/>
    <n v="0"/>
    <s v="Ashoj 76"/>
    <n v="2019"/>
  </r>
  <r>
    <n v="1203"/>
    <x v="21"/>
    <x v="26"/>
    <x v="0"/>
    <n v="0"/>
    <s v="Ashoj 76"/>
    <n v="2019"/>
  </r>
  <r>
    <n v="1204"/>
    <x v="21"/>
    <x v="27"/>
    <x v="0"/>
    <n v="0"/>
    <s v="Ashoj 76"/>
    <n v="2019"/>
  </r>
  <r>
    <n v="1205"/>
    <x v="21"/>
    <x v="0"/>
    <x v="1"/>
    <n v="0"/>
    <s v="Ashoj 76"/>
    <n v="2019"/>
  </r>
  <r>
    <n v="1206"/>
    <x v="21"/>
    <x v="1"/>
    <x v="1"/>
    <n v="0"/>
    <s v="Ashoj 76"/>
    <n v="2019"/>
  </r>
  <r>
    <n v="1207"/>
    <x v="21"/>
    <x v="2"/>
    <x v="1"/>
    <n v="0"/>
    <s v="Ashoj 76"/>
    <n v="2019"/>
  </r>
  <r>
    <n v="1208"/>
    <x v="21"/>
    <x v="3"/>
    <x v="1"/>
    <n v="8.6867790610057449E-2"/>
    <s v="Ashoj 76"/>
    <n v="2019"/>
  </r>
  <r>
    <n v="1209"/>
    <x v="21"/>
    <x v="4"/>
    <x v="1"/>
    <n v="0.12158941699327329"/>
    <s v="Ashoj 76"/>
    <n v="2019"/>
  </r>
  <r>
    <n v="1210"/>
    <x v="21"/>
    <x v="5"/>
    <x v="1"/>
    <n v="0.43453210967394623"/>
    <s v="Ashoj 76"/>
    <n v="2019"/>
  </r>
  <r>
    <n v="1211"/>
    <x v="21"/>
    <x v="6"/>
    <x v="1"/>
    <n v="0.96497881521454287"/>
    <s v="Ashoj 76"/>
    <n v="2019"/>
  </r>
  <r>
    <n v="1212"/>
    <x v="21"/>
    <x v="7"/>
    <x v="1"/>
    <n v="0"/>
    <s v="Ashoj 76"/>
    <n v="2019"/>
  </r>
  <r>
    <n v="1213"/>
    <x v="21"/>
    <x v="8"/>
    <x v="1"/>
    <n v="0.57071945360860055"/>
    <s v="Ashoj 76"/>
    <n v="2019"/>
  </r>
  <r>
    <n v="1214"/>
    <x v="21"/>
    <x v="9"/>
    <x v="1"/>
    <n v="8.0443879803218806E-5"/>
    <s v="Ashoj 76"/>
    <n v="2019"/>
  </r>
  <r>
    <n v="1215"/>
    <x v="21"/>
    <x v="10"/>
    <x v="1"/>
    <n v="0.33628023982630956"/>
    <s v="Ashoj 76"/>
    <n v="2019"/>
  </r>
  <r>
    <n v="1216"/>
    <x v="21"/>
    <x v="11"/>
    <x v="1"/>
    <n v="0.5283551432546687"/>
    <s v="Ashoj 76"/>
    <n v="2019"/>
  </r>
  <r>
    <n v="1217"/>
    <x v="21"/>
    <x v="12"/>
    <x v="1"/>
    <n v="0"/>
    <s v="Ashoj 76"/>
    <n v="2019"/>
  </r>
  <r>
    <n v="1218"/>
    <x v="21"/>
    <x v="13"/>
    <x v="1"/>
    <n v="0"/>
    <s v="Ashoj 76"/>
    <n v="2019"/>
  </r>
  <r>
    <n v="1219"/>
    <x v="21"/>
    <x v="14"/>
    <x v="1"/>
    <n v="0"/>
    <s v="Ashoj 76"/>
    <n v="2019"/>
  </r>
  <r>
    <n v="1220"/>
    <x v="21"/>
    <x v="15"/>
    <x v="1"/>
    <n v="0"/>
    <s v="Ashoj 76"/>
    <n v="2019"/>
  </r>
  <r>
    <n v="1221"/>
    <x v="21"/>
    <x v="16"/>
    <x v="1"/>
    <n v="0"/>
    <s v="Ashoj 76"/>
    <n v="2019"/>
  </r>
  <r>
    <n v="1222"/>
    <x v="21"/>
    <x v="17"/>
    <x v="1"/>
    <n v="0.17400665754775721"/>
    <s v="Ashoj 76"/>
    <n v="2019"/>
  </r>
  <r>
    <n v="1223"/>
    <x v="21"/>
    <x v="18"/>
    <x v="1"/>
    <n v="0"/>
    <s v="Ashoj 76"/>
    <n v="2019"/>
  </r>
  <r>
    <n v="1224"/>
    <x v="21"/>
    <x v="19"/>
    <x v="1"/>
    <n v="0"/>
    <s v="Ashoj 76"/>
    <n v="2019"/>
  </r>
  <r>
    <n v="1225"/>
    <x v="21"/>
    <x v="20"/>
    <x v="1"/>
    <n v="0"/>
    <s v="Ashoj 76"/>
    <n v="2019"/>
  </r>
  <r>
    <n v="1226"/>
    <x v="21"/>
    <x v="21"/>
    <x v="1"/>
    <n v="0"/>
    <s v="Ashoj 76"/>
    <n v="2019"/>
  </r>
  <r>
    <n v="1227"/>
    <x v="21"/>
    <x v="22"/>
    <x v="1"/>
    <n v="0"/>
    <s v="Ashoj 76"/>
    <n v="2019"/>
  </r>
  <r>
    <n v="1228"/>
    <x v="21"/>
    <x v="23"/>
    <x v="1"/>
    <n v="0"/>
    <s v="Ashoj 76"/>
    <n v="2019"/>
  </r>
  <r>
    <n v="1229"/>
    <x v="21"/>
    <x v="24"/>
    <x v="1"/>
    <n v="0"/>
    <s v="Ashoj 76"/>
    <n v="2019"/>
  </r>
  <r>
    <n v="1230"/>
    <x v="21"/>
    <x v="25"/>
    <x v="1"/>
    <n v="0"/>
    <s v="Ashoj 76"/>
    <n v="2019"/>
  </r>
  <r>
    <n v="1231"/>
    <x v="21"/>
    <x v="26"/>
    <x v="1"/>
    <n v="0"/>
    <s v="Ashoj 76"/>
    <n v="2019"/>
  </r>
  <r>
    <n v="1232"/>
    <x v="21"/>
    <x v="27"/>
    <x v="1"/>
    <n v="0"/>
    <s v="Ashoj 76"/>
    <n v="2019"/>
  </r>
  <r>
    <n v="1233"/>
    <x v="22"/>
    <x v="0"/>
    <x v="0"/>
    <n v="0"/>
    <s v="Asadh 76"/>
    <n v="2019"/>
  </r>
  <r>
    <n v="1234"/>
    <x v="22"/>
    <x v="1"/>
    <x v="0"/>
    <n v="0"/>
    <s v="Asadh 76"/>
    <n v="2019"/>
  </r>
  <r>
    <n v="1235"/>
    <x v="22"/>
    <x v="2"/>
    <x v="0"/>
    <n v="0"/>
    <s v="Asadh 76"/>
    <n v="2019"/>
  </r>
  <r>
    <n v="1236"/>
    <x v="22"/>
    <x v="3"/>
    <x v="0"/>
    <n v="0"/>
    <s v="Asadh 76"/>
    <n v="2019"/>
  </r>
  <r>
    <n v="1237"/>
    <x v="22"/>
    <x v="4"/>
    <x v="0"/>
    <n v="0"/>
    <s v="Asadh 76"/>
    <n v="2019"/>
  </r>
  <r>
    <n v="1238"/>
    <x v="22"/>
    <x v="5"/>
    <x v="0"/>
    <n v="0"/>
    <s v="Asadh 76"/>
    <n v="2019"/>
  </r>
  <r>
    <n v="1239"/>
    <x v="22"/>
    <x v="6"/>
    <x v="0"/>
    <n v="0"/>
    <s v="Asadh 76"/>
    <n v="2019"/>
  </r>
  <r>
    <n v="1240"/>
    <x v="22"/>
    <x v="7"/>
    <x v="0"/>
    <n v="0"/>
    <s v="Asadh 76"/>
    <n v="2019"/>
  </r>
  <r>
    <n v="1241"/>
    <x v="22"/>
    <x v="8"/>
    <x v="0"/>
    <n v="0"/>
    <s v="Asadh 76"/>
    <n v="2019"/>
  </r>
  <r>
    <n v="1242"/>
    <x v="22"/>
    <x v="9"/>
    <x v="0"/>
    <n v="0"/>
    <s v="Asadh 76"/>
    <n v="2019"/>
  </r>
  <r>
    <n v="1243"/>
    <x v="22"/>
    <x v="10"/>
    <x v="0"/>
    <n v="0"/>
    <s v="Asadh 76"/>
    <n v="2019"/>
  </r>
  <r>
    <n v="1244"/>
    <x v="22"/>
    <x v="11"/>
    <x v="0"/>
    <n v="0"/>
    <s v="Asadh 76"/>
    <n v="2019"/>
  </r>
  <r>
    <n v="1245"/>
    <x v="22"/>
    <x v="12"/>
    <x v="0"/>
    <n v="0"/>
    <s v="Asadh 76"/>
    <n v="2019"/>
  </r>
  <r>
    <n v="1246"/>
    <x v="22"/>
    <x v="13"/>
    <x v="0"/>
    <n v="0"/>
    <s v="Asadh 76"/>
    <n v="2019"/>
  </r>
  <r>
    <n v="1247"/>
    <x v="22"/>
    <x v="14"/>
    <x v="0"/>
    <n v="0"/>
    <s v="Asadh 76"/>
    <n v="2019"/>
  </r>
  <r>
    <n v="1248"/>
    <x v="22"/>
    <x v="15"/>
    <x v="0"/>
    <n v="0"/>
    <s v="Asadh 76"/>
    <n v="2019"/>
  </r>
  <r>
    <n v="1249"/>
    <x v="22"/>
    <x v="16"/>
    <x v="0"/>
    <n v="0"/>
    <s v="Asadh 76"/>
    <n v="2019"/>
  </r>
  <r>
    <n v="1250"/>
    <x v="22"/>
    <x v="17"/>
    <x v="0"/>
    <n v="0"/>
    <s v="Asadh 76"/>
    <n v="2019"/>
  </r>
  <r>
    <n v="1251"/>
    <x v="22"/>
    <x v="18"/>
    <x v="0"/>
    <n v="0"/>
    <s v="Asadh 76"/>
    <n v="2019"/>
  </r>
  <r>
    <n v="1252"/>
    <x v="22"/>
    <x v="19"/>
    <x v="0"/>
    <n v="0"/>
    <s v="Asadh 76"/>
    <n v="2019"/>
  </r>
  <r>
    <n v="1253"/>
    <x v="22"/>
    <x v="20"/>
    <x v="0"/>
    <n v="0"/>
    <s v="Asadh 76"/>
    <n v="2019"/>
  </r>
  <r>
    <n v="1254"/>
    <x v="22"/>
    <x v="21"/>
    <x v="0"/>
    <n v="0"/>
    <s v="Asadh 76"/>
    <n v="2019"/>
  </r>
  <r>
    <n v="1255"/>
    <x v="22"/>
    <x v="22"/>
    <x v="0"/>
    <n v="0"/>
    <s v="Asadh 76"/>
    <n v="2019"/>
  </r>
  <r>
    <n v="1256"/>
    <x v="22"/>
    <x v="23"/>
    <x v="0"/>
    <n v="0"/>
    <s v="Asadh 76"/>
    <n v="2019"/>
  </r>
  <r>
    <n v="1257"/>
    <x v="22"/>
    <x v="24"/>
    <x v="0"/>
    <n v="0"/>
    <s v="Asadh 76"/>
    <n v="2019"/>
  </r>
  <r>
    <n v="1258"/>
    <x v="22"/>
    <x v="25"/>
    <x v="0"/>
    <n v="0"/>
    <s v="Asadh 76"/>
    <n v="2019"/>
  </r>
  <r>
    <n v="1259"/>
    <x v="22"/>
    <x v="26"/>
    <x v="0"/>
    <n v="0"/>
    <s v="Asadh 76"/>
    <n v="2019"/>
  </r>
  <r>
    <n v="1260"/>
    <x v="22"/>
    <x v="27"/>
    <x v="0"/>
    <n v="0"/>
    <s v="Asadh 76"/>
    <n v="2019"/>
  </r>
  <r>
    <n v="1261"/>
    <x v="22"/>
    <x v="0"/>
    <x v="1"/>
    <n v="0"/>
    <s v="Asadh 76"/>
    <n v="2019"/>
  </r>
  <r>
    <n v="1262"/>
    <x v="22"/>
    <x v="1"/>
    <x v="1"/>
    <n v="0"/>
    <s v="Asadh 76"/>
    <n v="2019"/>
  </r>
  <r>
    <n v="1263"/>
    <x v="22"/>
    <x v="2"/>
    <x v="1"/>
    <n v="0"/>
    <s v="Asadh 76"/>
    <n v="2019"/>
  </r>
  <r>
    <n v="1264"/>
    <x v="22"/>
    <x v="3"/>
    <x v="1"/>
    <n v="0"/>
    <s v="Asadh 76"/>
    <n v="2019"/>
  </r>
  <r>
    <n v="1265"/>
    <x v="22"/>
    <x v="4"/>
    <x v="1"/>
    <n v="0"/>
    <s v="Asadh 76"/>
    <n v="2019"/>
  </r>
  <r>
    <n v="1266"/>
    <x v="22"/>
    <x v="5"/>
    <x v="1"/>
    <n v="0"/>
    <s v="Asadh 76"/>
    <n v="2019"/>
  </r>
  <r>
    <n v="1267"/>
    <x v="22"/>
    <x v="6"/>
    <x v="1"/>
    <n v="0"/>
    <s v="Asadh 76"/>
    <n v="2019"/>
  </r>
  <r>
    <n v="1268"/>
    <x v="22"/>
    <x v="7"/>
    <x v="1"/>
    <n v="0"/>
    <s v="Asadh 76"/>
    <n v="2019"/>
  </r>
  <r>
    <n v="1269"/>
    <x v="22"/>
    <x v="8"/>
    <x v="1"/>
    <n v="0"/>
    <s v="Asadh 76"/>
    <n v="2019"/>
  </r>
  <r>
    <n v="1270"/>
    <x v="22"/>
    <x v="9"/>
    <x v="1"/>
    <n v="0"/>
    <s v="Asadh 76"/>
    <n v="2019"/>
  </r>
  <r>
    <n v="1271"/>
    <x v="22"/>
    <x v="10"/>
    <x v="1"/>
    <n v="0"/>
    <s v="Asadh 76"/>
    <n v="2019"/>
  </r>
  <r>
    <n v="1272"/>
    <x v="22"/>
    <x v="11"/>
    <x v="1"/>
    <n v="0"/>
    <s v="Asadh 76"/>
    <n v="2019"/>
  </r>
  <r>
    <n v="1273"/>
    <x v="22"/>
    <x v="12"/>
    <x v="1"/>
    <n v="0"/>
    <s v="Asadh 76"/>
    <n v="2019"/>
  </r>
  <r>
    <n v="1274"/>
    <x v="22"/>
    <x v="13"/>
    <x v="1"/>
    <n v="0"/>
    <s v="Asadh 76"/>
    <n v="2019"/>
  </r>
  <r>
    <n v="1275"/>
    <x v="22"/>
    <x v="14"/>
    <x v="1"/>
    <n v="0"/>
    <s v="Asadh 76"/>
    <n v="2019"/>
  </r>
  <r>
    <n v="1276"/>
    <x v="22"/>
    <x v="15"/>
    <x v="1"/>
    <n v="0"/>
    <s v="Asadh 76"/>
    <n v="2019"/>
  </r>
  <r>
    <n v="1277"/>
    <x v="22"/>
    <x v="16"/>
    <x v="1"/>
    <n v="0"/>
    <s v="Asadh 76"/>
    <n v="2019"/>
  </r>
  <r>
    <n v="1278"/>
    <x v="22"/>
    <x v="17"/>
    <x v="1"/>
    <n v="0"/>
    <s v="Asadh 76"/>
    <n v="2019"/>
  </r>
  <r>
    <n v="1279"/>
    <x v="22"/>
    <x v="18"/>
    <x v="1"/>
    <n v="0"/>
    <s v="Asadh 76"/>
    <n v="2019"/>
  </r>
  <r>
    <n v="1280"/>
    <x v="22"/>
    <x v="19"/>
    <x v="1"/>
    <n v="0"/>
    <s v="Asadh 76"/>
    <n v="2019"/>
  </r>
  <r>
    <n v="1281"/>
    <x v="22"/>
    <x v="20"/>
    <x v="1"/>
    <n v="0"/>
    <s v="Asadh 76"/>
    <n v="2019"/>
  </r>
  <r>
    <n v="1282"/>
    <x v="22"/>
    <x v="21"/>
    <x v="1"/>
    <n v="0"/>
    <s v="Asadh 76"/>
    <n v="2019"/>
  </r>
  <r>
    <n v="1283"/>
    <x v="22"/>
    <x v="22"/>
    <x v="1"/>
    <n v="0"/>
    <s v="Asadh 76"/>
    <n v="2019"/>
  </r>
  <r>
    <n v="1284"/>
    <x v="22"/>
    <x v="23"/>
    <x v="1"/>
    <n v="0"/>
    <s v="Asadh 76"/>
    <n v="2019"/>
  </r>
  <r>
    <n v="1285"/>
    <x v="22"/>
    <x v="24"/>
    <x v="1"/>
    <n v="0"/>
    <s v="Asadh 76"/>
    <n v="2019"/>
  </r>
  <r>
    <n v="1286"/>
    <x v="22"/>
    <x v="25"/>
    <x v="1"/>
    <n v="0"/>
    <s v="Asadh 76"/>
    <n v="2019"/>
  </r>
  <r>
    <n v="1287"/>
    <x v="22"/>
    <x v="26"/>
    <x v="1"/>
    <n v="0"/>
    <s v="Asadh 76"/>
    <n v="2019"/>
  </r>
  <r>
    <n v="1288"/>
    <x v="22"/>
    <x v="27"/>
    <x v="1"/>
    <n v="0"/>
    <s v="Asadh 76"/>
    <n v="201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88">
  <r>
    <x v="0"/>
    <x v="0"/>
    <n v="0.12892252146601907"/>
    <s v="Poush 81"/>
    <x v="0"/>
  </r>
  <r>
    <x v="1"/>
    <x v="0"/>
    <n v="0"/>
    <s v="Poush 81"/>
    <x v="0"/>
  </r>
  <r>
    <x v="2"/>
    <x v="0"/>
    <n v="0"/>
    <s v="Poush 81"/>
    <x v="0"/>
  </r>
  <r>
    <x v="3"/>
    <x v="0"/>
    <n v="9.1355400283232524E-2"/>
    <s v="Poush 81"/>
    <x v="0"/>
  </r>
  <r>
    <x v="4"/>
    <x v="0"/>
    <n v="0.12010395924220262"/>
    <s v="Poush 81"/>
    <x v="0"/>
  </r>
  <r>
    <x v="5"/>
    <x v="0"/>
    <n v="0.19430909865599366"/>
    <s v="Poush 81"/>
    <x v="0"/>
  </r>
  <r>
    <x v="6"/>
    <x v="0"/>
    <n v="0"/>
    <s v="Poush 81"/>
    <x v="0"/>
  </r>
  <r>
    <x v="7"/>
    <x v="0"/>
    <n v="0"/>
    <s v="Poush 81"/>
    <x v="0"/>
  </r>
  <r>
    <x v="8"/>
    <x v="0"/>
    <n v="4.6706172782707431E-2"/>
    <s v="Poush 81"/>
    <x v="0"/>
  </r>
  <r>
    <x v="9"/>
    <x v="0"/>
    <n v="2.8464920153483124E-3"/>
    <s v="Poush 81"/>
    <x v="0"/>
  </r>
  <r>
    <x v="10"/>
    <x v="0"/>
    <n v="0"/>
    <s v="Poush 81"/>
    <x v="0"/>
  </r>
  <r>
    <x v="11"/>
    <x v="0"/>
    <n v="8.3882953150711342E-2"/>
    <s v="Poush 81"/>
    <x v="0"/>
  </r>
  <r>
    <x v="12"/>
    <x v="0"/>
    <n v="0.169393802772486"/>
    <s v="Poush 81"/>
    <x v="0"/>
  </r>
  <r>
    <x v="13"/>
    <x v="0"/>
    <n v="0.10875601451192747"/>
    <s v="Poush 81"/>
    <x v="0"/>
  </r>
  <r>
    <x v="14"/>
    <x v="0"/>
    <n v="0"/>
    <s v="Poush 81"/>
    <x v="0"/>
  </r>
  <r>
    <x v="15"/>
    <x v="0"/>
    <n v="0.19528280506701479"/>
    <s v="Poush 81"/>
    <x v="0"/>
  </r>
  <r>
    <x v="16"/>
    <x v="0"/>
    <n v="0"/>
    <s v="Poush 81"/>
    <x v="0"/>
  </r>
  <r>
    <x v="17"/>
    <x v="0"/>
    <n v="7.5862093206630316E-2"/>
    <s v="Poush 81"/>
    <x v="0"/>
  </r>
  <r>
    <x v="18"/>
    <x v="0"/>
    <n v="2.7180805999842732E-2"/>
    <s v="Poush 81"/>
    <x v="0"/>
  </r>
  <r>
    <x v="19"/>
    <x v="0"/>
    <n v="0"/>
    <s v="Poush 81"/>
    <x v="0"/>
  </r>
  <r>
    <x v="20"/>
    <x v="0"/>
    <n v="0"/>
    <s v="Poush 81"/>
    <x v="0"/>
  </r>
  <r>
    <x v="21"/>
    <x v="0"/>
    <n v="0"/>
    <s v="Poush 81"/>
    <x v="0"/>
  </r>
  <r>
    <x v="22"/>
    <x v="0"/>
    <n v="1.2675887527856542E-2"/>
    <s v="Poush 81"/>
    <x v="0"/>
  </r>
  <r>
    <x v="23"/>
    <x v="0"/>
    <n v="0"/>
    <s v="Poush 81"/>
    <x v="0"/>
  </r>
  <r>
    <x v="24"/>
    <x v="0"/>
    <n v="0"/>
    <s v="Poush 81"/>
    <x v="0"/>
  </r>
  <r>
    <x v="25"/>
    <x v="0"/>
    <n v="0"/>
    <s v="Poush 81"/>
    <x v="0"/>
  </r>
  <r>
    <x v="26"/>
    <x v="0"/>
    <n v="0"/>
    <s v="Poush 81"/>
    <x v="0"/>
  </r>
  <r>
    <x v="27"/>
    <x v="0"/>
    <n v="0"/>
    <s v="Poush 81"/>
    <x v="0"/>
  </r>
  <r>
    <x v="0"/>
    <x v="1"/>
    <n v="0.19989453956925751"/>
    <s v="Poush 81"/>
    <x v="0"/>
  </r>
  <r>
    <x v="1"/>
    <x v="1"/>
    <n v="0"/>
    <s v="Poush 81"/>
    <x v="0"/>
  </r>
  <r>
    <x v="2"/>
    <x v="1"/>
    <n v="0"/>
    <s v="Poush 81"/>
    <x v="0"/>
  </r>
  <r>
    <x v="3"/>
    <x v="1"/>
    <n v="0.27760798271423498"/>
    <s v="Poush 81"/>
    <x v="0"/>
  </r>
  <r>
    <x v="4"/>
    <x v="1"/>
    <n v="0.17640008496844142"/>
    <s v="Poush 81"/>
    <x v="0"/>
  </r>
  <r>
    <x v="5"/>
    <x v="1"/>
    <n v="0.33440376138467287"/>
    <s v="Poush 81"/>
    <x v="0"/>
  </r>
  <r>
    <x v="6"/>
    <x v="1"/>
    <n v="0"/>
    <s v="Poush 81"/>
    <x v="0"/>
  </r>
  <r>
    <x v="7"/>
    <x v="1"/>
    <n v="0"/>
    <s v="Poush 81"/>
    <x v="0"/>
  </r>
  <r>
    <x v="8"/>
    <x v="1"/>
    <n v="0.53049772939435369"/>
    <s v="Poush 81"/>
    <x v="0"/>
  </r>
  <r>
    <x v="9"/>
    <x v="1"/>
    <n v="0.14453319613355389"/>
    <s v="Poush 81"/>
    <x v="0"/>
  </r>
  <r>
    <x v="10"/>
    <x v="1"/>
    <n v="0"/>
    <s v="Poush 81"/>
    <x v="0"/>
  </r>
  <r>
    <x v="11"/>
    <x v="1"/>
    <n v="0.2926079436429429"/>
    <s v="Poush 81"/>
    <x v="0"/>
  </r>
  <r>
    <x v="12"/>
    <x v="1"/>
    <n v="0.27219558992150272"/>
    <s v="Poush 81"/>
    <x v="0"/>
  </r>
  <r>
    <x v="13"/>
    <x v="1"/>
    <n v="0.37308697078314568"/>
    <s v="Poush 81"/>
    <x v="0"/>
  </r>
  <r>
    <x v="14"/>
    <x v="1"/>
    <n v="0"/>
    <s v="Poush 81"/>
    <x v="0"/>
  </r>
  <r>
    <x v="15"/>
    <x v="1"/>
    <n v="0.50149529230205137"/>
    <s v="Poush 81"/>
    <x v="0"/>
  </r>
  <r>
    <x v="16"/>
    <x v="1"/>
    <n v="0"/>
    <s v="Poush 81"/>
    <x v="0"/>
  </r>
  <r>
    <x v="17"/>
    <x v="1"/>
    <n v="0.14291013368759392"/>
    <s v="Poush 81"/>
    <x v="0"/>
  </r>
  <r>
    <x v="18"/>
    <x v="1"/>
    <n v="0.13346956069709026"/>
    <s v="Poush 81"/>
    <x v="0"/>
  </r>
  <r>
    <x v="19"/>
    <x v="1"/>
    <n v="0"/>
    <s v="Poush 81"/>
    <x v="0"/>
  </r>
  <r>
    <x v="20"/>
    <x v="1"/>
    <n v="0"/>
    <s v="Poush 81"/>
    <x v="0"/>
  </r>
  <r>
    <x v="21"/>
    <x v="1"/>
    <n v="0"/>
    <s v="Poush 81"/>
    <x v="0"/>
  </r>
  <r>
    <x v="22"/>
    <x v="1"/>
    <n v="4.1531125708018715E-2"/>
    <s v="Poush 81"/>
    <x v="0"/>
  </r>
  <r>
    <x v="23"/>
    <x v="1"/>
    <n v="0"/>
    <s v="Poush 81"/>
    <x v="0"/>
  </r>
  <r>
    <x v="24"/>
    <x v="1"/>
    <n v="0"/>
    <s v="Poush 81"/>
    <x v="0"/>
  </r>
  <r>
    <x v="25"/>
    <x v="1"/>
    <n v="0"/>
    <s v="Poush 81"/>
    <x v="0"/>
  </r>
  <r>
    <x v="26"/>
    <x v="1"/>
    <n v="0"/>
    <s v="Poush 81"/>
    <x v="0"/>
  </r>
  <r>
    <x v="27"/>
    <x v="1"/>
    <n v="0"/>
    <s v="Poush 81"/>
    <x v="0"/>
  </r>
  <r>
    <x v="0"/>
    <x v="0"/>
    <n v="0.49586094004758607"/>
    <s v="Ashoj 81"/>
    <x v="1"/>
  </r>
  <r>
    <x v="1"/>
    <x v="0"/>
    <n v="0.34258776323503548"/>
    <s v="Ashoj 81"/>
    <x v="1"/>
  </r>
  <r>
    <x v="2"/>
    <x v="0"/>
    <n v="0"/>
    <s v="Ashoj 81"/>
    <x v="1"/>
  </r>
  <r>
    <x v="3"/>
    <x v="0"/>
    <n v="0.38463349642868516"/>
    <s v="Ashoj 81"/>
    <x v="1"/>
  </r>
  <r>
    <x v="4"/>
    <x v="0"/>
    <n v="0.70304922120911018"/>
    <s v="Ashoj 81"/>
    <x v="1"/>
  </r>
  <r>
    <x v="5"/>
    <x v="0"/>
    <n v="0.26930361770305944"/>
    <s v="Ashoj 81"/>
    <x v="1"/>
  </r>
  <r>
    <x v="6"/>
    <x v="0"/>
    <n v="0.24108653255993465"/>
    <s v="Ashoj 81"/>
    <x v="1"/>
  </r>
  <r>
    <x v="7"/>
    <x v="0"/>
    <n v="0"/>
    <s v="Ashoj 81"/>
    <x v="1"/>
  </r>
  <r>
    <x v="8"/>
    <x v="0"/>
    <n v="0"/>
    <s v="Ashoj 81"/>
    <x v="1"/>
  </r>
  <r>
    <x v="9"/>
    <x v="0"/>
    <n v="0"/>
    <s v="Ashoj 81"/>
    <x v="1"/>
  </r>
  <r>
    <x v="10"/>
    <x v="0"/>
    <n v="0.3500157557074679"/>
    <s v="Ashoj 81"/>
    <x v="1"/>
  </r>
  <r>
    <x v="11"/>
    <x v="0"/>
    <n v="0.36677310133886826"/>
    <s v="Ashoj 81"/>
    <x v="1"/>
  </r>
  <r>
    <x v="12"/>
    <x v="0"/>
    <n v="0.41549801266549646"/>
    <s v="Ashoj 81"/>
    <x v="1"/>
  </r>
  <r>
    <x v="13"/>
    <x v="0"/>
    <n v="0.50549986246368184"/>
    <s v="Ashoj 81"/>
    <x v="1"/>
  </r>
  <r>
    <x v="14"/>
    <x v="0"/>
    <n v="0"/>
    <s v="Ashoj 81"/>
    <x v="1"/>
  </r>
  <r>
    <x v="15"/>
    <x v="0"/>
    <n v="0.63054644323850739"/>
    <s v="Ashoj 81"/>
    <x v="1"/>
  </r>
  <r>
    <x v="16"/>
    <x v="0"/>
    <n v="0"/>
    <s v="Ashoj 81"/>
    <x v="1"/>
  </r>
  <r>
    <x v="17"/>
    <x v="0"/>
    <n v="0.35043158362439203"/>
    <s v="Ashoj 81"/>
    <x v="1"/>
  </r>
  <r>
    <x v="18"/>
    <x v="0"/>
    <n v="0.23432967788063058"/>
    <s v="Ashoj 81"/>
    <x v="1"/>
  </r>
  <r>
    <x v="19"/>
    <x v="0"/>
    <n v="0"/>
    <s v="Ashoj 81"/>
    <x v="1"/>
  </r>
  <r>
    <x v="20"/>
    <x v="0"/>
    <n v="0"/>
    <s v="Ashoj 81"/>
    <x v="1"/>
  </r>
  <r>
    <x v="21"/>
    <x v="0"/>
    <n v="0"/>
    <s v="Ashoj 81"/>
    <x v="1"/>
  </r>
  <r>
    <x v="22"/>
    <x v="0"/>
    <n v="0.17934080413031375"/>
    <s v="Ashoj 81"/>
    <x v="1"/>
  </r>
  <r>
    <x v="23"/>
    <x v="0"/>
    <n v="0"/>
    <s v="Ashoj 81"/>
    <x v="1"/>
  </r>
  <r>
    <x v="24"/>
    <x v="0"/>
    <n v="0"/>
    <s v="Ashoj 81"/>
    <x v="1"/>
  </r>
  <r>
    <x v="25"/>
    <x v="0"/>
    <n v="0"/>
    <s v="Ashoj 81"/>
    <x v="1"/>
  </r>
  <r>
    <x v="26"/>
    <x v="0"/>
    <n v="0"/>
    <s v="Ashoj 81"/>
    <x v="1"/>
  </r>
  <r>
    <x v="27"/>
    <x v="0"/>
    <n v="0"/>
    <s v="Ashoj 81"/>
    <x v="1"/>
  </r>
  <r>
    <x v="0"/>
    <x v="1"/>
    <n v="0.65111632587012092"/>
    <s v="Ashoj 81"/>
    <x v="1"/>
  </r>
  <r>
    <x v="1"/>
    <x v="1"/>
    <n v="0.88630958164983864"/>
    <s v="Ashoj 81"/>
    <x v="1"/>
  </r>
  <r>
    <x v="2"/>
    <x v="1"/>
    <n v="0"/>
    <s v="Ashoj 81"/>
    <x v="1"/>
  </r>
  <r>
    <x v="3"/>
    <x v="1"/>
    <n v="0.78604933431442336"/>
    <s v="Ashoj 81"/>
    <x v="1"/>
  </r>
  <r>
    <x v="4"/>
    <x v="1"/>
    <n v="0.82199116840477504"/>
    <s v="Ashoj 81"/>
    <x v="1"/>
  </r>
  <r>
    <x v="5"/>
    <x v="1"/>
    <n v="0.62278649313796453"/>
    <s v="Ashoj 81"/>
    <x v="1"/>
  </r>
  <r>
    <x v="6"/>
    <x v="1"/>
    <n v="0"/>
    <s v="Ashoj 81"/>
    <x v="1"/>
  </r>
  <r>
    <x v="7"/>
    <x v="1"/>
    <n v="0"/>
    <s v="Ashoj 81"/>
    <x v="1"/>
  </r>
  <r>
    <x v="8"/>
    <x v="1"/>
    <n v="0"/>
    <s v="Ashoj 81"/>
    <x v="1"/>
  </r>
  <r>
    <x v="9"/>
    <x v="1"/>
    <n v="0"/>
    <s v="Ashoj 81"/>
    <x v="1"/>
  </r>
  <r>
    <x v="10"/>
    <x v="1"/>
    <n v="0"/>
    <s v="Ashoj 81"/>
    <x v="1"/>
  </r>
  <r>
    <x v="11"/>
    <x v="1"/>
    <n v="0.44459816001643915"/>
    <s v="Ashoj 81"/>
    <x v="1"/>
  </r>
  <r>
    <x v="12"/>
    <x v="1"/>
    <n v="0.74235887702908776"/>
    <s v="Ashoj 81"/>
    <x v="1"/>
  </r>
  <r>
    <x v="13"/>
    <x v="1"/>
    <n v="0.95708174455409389"/>
    <s v="Ashoj 81"/>
    <x v="1"/>
  </r>
  <r>
    <x v="14"/>
    <x v="1"/>
    <n v="0"/>
    <s v="Ashoj 81"/>
    <x v="1"/>
  </r>
  <r>
    <x v="15"/>
    <x v="1"/>
    <n v="0.86608243894196302"/>
    <s v="Ashoj 81"/>
    <x v="1"/>
  </r>
  <r>
    <x v="16"/>
    <x v="1"/>
    <n v="0"/>
    <s v="Ashoj 81"/>
    <x v="1"/>
  </r>
  <r>
    <x v="17"/>
    <x v="1"/>
    <n v="0.55581064050733486"/>
    <s v="Ashoj 81"/>
    <x v="1"/>
  </r>
  <r>
    <x v="18"/>
    <x v="1"/>
    <n v="0.26304313637247767"/>
    <s v="Ashoj 81"/>
    <x v="1"/>
  </r>
  <r>
    <x v="19"/>
    <x v="1"/>
    <n v="0"/>
    <s v="Ashoj 81"/>
    <x v="1"/>
  </r>
  <r>
    <x v="20"/>
    <x v="1"/>
    <n v="0"/>
    <s v="Ashoj 81"/>
    <x v="1"/>
  </r>
  <r>
    <x v="21"/>
    <x v="1"/>
    <n v="0"/>
    <s v="Ashoj 81"/>
    <x v="1"/>
  </r>
  <r>
    <x v="22"/>
    <x v="1"/>
    <n v="0.24237554927466676"/>
    <s v="Ashoj 81"/>
    <x v="1"/>
  </r>
  <r>
    <x v="23"/>
    <x v="1"/>
    <n v="0"/>
    <s v="Ashoj 81"/>
    <x v="1"/>
  </r>
  <r>
    <x v="24"/>
    <x v="1"/>
    <n v="0"/>
    <s v="Ashoj 81"/>
    <x v="1"/>
  </r>
  <r>
    <x v="25"/>
    <x v="1"/>
    <n v="0"/>
    <s v="Ashoj 81"/>
    <x v="1"/>
  </r>
  <r>
    <x v="26"/>
    <x v="1"/>
    <n v="0"/>
    <s v="Ashoj 81"/>
    <x v="1"/>
  </r>
  <r>
    <x v="27"/>
    <x v="1"/>
    <n v="0"/>
    <s v="Ashoj 81"/>
    <x v="1"/>
  </r>
  <r>
    <x v="0"/>
    <x v="0"/>
    <n v="0.2277883815570548"/>
    <s v="Asadh 81"/>
    <x v="1"/>
  </r>
  <r>
    <x v="1"/>
    <x v="0"/>
    <n v="0.27938790242853773"/>
    <s v="Asadh 81"/>
    <x v="1"/>
  </r>
  <r>
    <x v="2"/>
    <x v="0"/>
    <n v="0"/>
    <s v="Asadh 81"/>
    <x v="1"/>
  </r>
  <r>
    <x v="3"/>
    <x v="0"/>
    <n v="3.8252531512235011E-2"/>
    <s v="Asadh 81"/>
    <x v="1"/>
  </r>
  <r>
    <x v="4"/>
    <x v="0"/>
    <n v="8.9934160810423297E-2"/>
    <s v="Asadh 81"/>
    <x v="1"/>
  </r>
  <r>
    <x v="5"/>
    <x v="0"/>
    <n v="5.2609987778126296E-2"/>
    <s v="Asadh 81"/>
    <x v="1"/>
  </r>
  <r>
    <x v="6"/>
    <x v="0"/>
    <n v="0"/>
    <s v="Asadh 81"/>
    <x v="1"/>
  </r>
  <r>
    <x v="7"/>
    <x v="0"/>
    <n v="0"/>
    <s v="Asadh 81"/>
    <x v="1"/>
  </r>
  <r>
    <x v="8"/>
    <x v="0"/>
    <n v="0"/>
    <s v="Asadh 81"/>
    <x v="1"/>
  </r>
  <r>
    <x v="9"/>
    <x v="0"/>
    <n v="1.7866060529915066E-2"/>
    <s v="Asadh 81"/>
    <x v="1"/>
  </r>
  <r>
    <x v="10"/>
    <x v="0"/>
    <n v="0"/>
    <s v="Asadh 81"/>
    <x v="1"/>
  </r>
  <r>
    <x v="11"/>
    <x v="0"/>
    <n v="7.1488491583689667E-2"/>
    <s v="Asadh 81"/>
    <x v="1"/>
  </r>
  <r>
    <x v="12"/>
    <x v="0"/>
    <n v="5.2167900550347091E-2"/>
    <s v="Asadh 81"/>
    <x v="1"/>
  </r>
  <r>
    <x v="13"/>
    <x v="0"/>
    <n v="0"/>
    <s v="Asadh 81"/>
    <x v="1"/>
  </r>
  <r>
    <x v="14"/>
    <x v="0"/>
    <n v="0"/>
    <s v="Asadh 81"/>
    <x v="1"/>
  </r>
  <r>
    <x v="15"/>
    <x v="0"/>
    <n v="0.162330219300657"/>
    <s v="Asadh 81"/>
    <x v="1"/>
  </r>
  <r>
    <x v="16"/>
    <x v="0"/>
    <n v="0"/>
    <s v="Asadh 81"/>
    <x v="1"/>
  </r>
  <r>
    <x v="17"/>
    <x v="0"/>
    <n v="0.11823937926215786"/>
    <s v="Asadh 81"/>
    <x v="1"/>
  </r>
  <r>
    <x v="18"/>
    <x v="0"/>
    <n v="0.1996449727669497"/>
    <s v="Asadh 81"/>
    <x v="1"/>
  </r>
  <r>
    <x v="19"/>
    <x v="0"/>
    <n v="0"/>
    <s v="Asadh 81"/>
    <x v="1"/>
  </r>
  <r>
    <x v="20"/>
    <x v="0"/>
    <n v="9.2085259443766346E-2"/>
    <s v="Asadh 81"/>
    <x v="1"/>
  </r>
  <r>
    <x v="21"/>
    <x v="0"/>
    <n v="0"/>
    <s v="Asadh 81"/>
    <x v="1"/>
  </r>
  <r>
    <x v="22"/>
    <x v="0"/>
    <n v="0.25482952100793271"/>
    <s v="Asadh 81"/>
    <x v="1"/>
  </r>
  <r>
    <x v="23"/>
    <x v="0"/>
    <n v="0"/>
    <s v="Asadh 81"/>
    <x v="1"/>
  </r>
  <r>
    <x v="24"/>
    <x v="0"/>
    <n v="0"/>
    <s v="Asadh 81"/>
    <x v="1"/>
  </r>
  <r>
    <x v="25"/>
    <x v="0"/>
    <n v="0"/>
    <s v="Asadh 81"/>
    <x v="1"/>
  </r>
  <r>
    <x v="26"/>
    <x v="0"/>
    <n v="0"/>
    <s v="Asadh 81"/>
    <x v="1"/>
  </r>
  <r>
    <x v="27"/>
    <x v="0"/>
    <n v="0"/>
    <s v="Asadh 81"/>
    <x v="1"/>
  </r>
  <r>
    <x v="0"/>
    <x v="1"/>
    <n v="0.61990858199989551"/>
    <s v="Asadh 81"/>
    <x v="1"/>
  </r>
  <r>
    <x v="1"/>
    <x v="1"/>
    <n v="0.28086496500895308"/>
    <s v="Asadh 81"/>
    <x v="1"/>
  </r>
  <r>
    <x v="2"/>
    <x v="1"/>
    <n v="0"/>
    <s v="Asadh 81"/>
    <x v="1"/>
  </r>
  <r>
    <x v="3"/>
    <x v="1"/>
    <n v="0.15656918407788242"/>
    <s v="Asadh 81"/>
    <x v="1"/>
  </r>
  <r>
    <x v="4"/>
    <x v="1"/>
    <n v="0.25447945990783827"/>
    <s v="Asadh 81"/>
    <x v="1"/>
  </r>
  <r>
    <x v="5"/>
    <x v="1"/>
    <n v="0.35705716374433244"/>
    <s v="Asadh 81"/>
    <x v="1"/>
  </r>
  <r>
    <x v="6"/>
    <x v="1"/>
    <n v="8.1893763283625132E-2"/>
    <s v="Asadh 81"/>
    <x v="1"/>
  </r>
  <r>
    <x v="7"/>
    <x v="1"/>
    <n v="0"/>
    <s v="Asadh 81"/>
    <x v="1"/>
  </r>
  <r>
    <x v="8"/>
    <x v="1"/>
    <n v="0.38579968151585775"/>
    <s v="Asadh 81"/>
    <x v="1"/>
  </r>
  <r>
    <x v="9"/>
    <x v="1"/>
    <n v="0.25646527008690895"/>
    <s v="Asadh 81"/>
    <x v="1"/>
  </r>
  <r>
    <x v="10"/>
    <x v="1"/>
    <n v="0"/>
    <s v="Asadh 81"/>
    <x v="1"/>
  </r>
  <r>
    <x v="11"/>
    <x v="1"/>
    <n v="0.34808462424066772"/>
    <s v="Asadh 81"/>
    <x v="1"/>
  </r>
  <r>
    <x v="12"/>
    <x v="1"/>
    <n v="0.13691179522490765"/>
    <s v="Asadh 81"/>
    <x v="1"/>
  </r>
  <r>
    <x v="13"/>
    <x v="1"/>
    <n v="0"/>
    <s v="Asadh 81"/>
    <x v="1"/>
  </r>
  <r>
    <x v="14"/>
    <x v="1"/>
    <n v="0"/>
    <s v="Asadh 81"/>
    <x v="1"/>
  </r>
  <r>
    <x v="15"/>
    <x v="1"/>
    <n v="0.14276871879255654"/>
    <s v="Asadh 81"/>
    <x v="1"/>
  </r>
  <r>
    <x v="16"/>
    <x v="1"/>
    <n v="0"/>
    <s v="Asadh 81"/>
    <x v="1"/>
  </r>
  <r>
    <x v="17"/>
    <x v="1"/>
    <n v="0.25143303622968649"/>
    <s v="Asadh 81"/>
    <x v="1"/>
  </r>
  <r>
    <x v="18"/>
    <x v="1"/>
    <n v="0.33184249928914611"/>
    <s v="Asadh 81"/>
    <x v="1"/>
  </r>
  <r>
    <x v="19"/>
    <x v="1"/>
    <n v="0"/>
    <s v="Asadh 81"/>
    <x v="1"/>
  </r>
  <r>
    <x v="20"/>
    <x v="1"/>
    <n v="0"/>
    <s v="Asadh 81"/>
    <x v="1"/>
  </r>
  <r>
    <x v="21"/>
    <x v="1"/>
    <n v="0"/>
    <s v="Asadh 81"/>
    <x v="1"/>
  </r>
  <r>
    <x v="22"/>
    <x v="1"/>
    <n v="0.73945076759430672"/>
    <s v="Asadh 81"/>
    <x v="1"/>
  </r>
  <r>
    <x v="23"/>
    <x v="1"/>
    <n v="0"/>
    <s v="Asadh 81"/>
    <x v="1"/>
  </r>
  <r>
    <x v="24"/>
    <x v="1"/>
    <n v="0"/>
    <s v="Asadh 81"/>
    <x v="1"/>
  </r>
  <r>
    <x v="25"/>
    <x v="1"/>
    <n v="0"/>
    <s v="Asadh 81"/>
    <x v="1"/>
  </r>
  <r>
    <x v="26"/>
    <x v="1"/>
    <n v="0"/>
    <s v="Asadh 81"/>
    <x v="1"/>
  </r>
  <r>
    <x v="27"/>
    <x v="1"/>
    <n v="0"/>
    <s v="Asadh 81"/>
    <x v="1"/>
  </r>
  <r>
    <x v="0"/>
    <x v="0"/>
    <n v="0.13560894186644379"/>
    <s v="Chaitra 80"/>
    <x v="1"/>
  </r>
  <r>
    <x v="1"/>
    <x v="0"/>
    <n v="9.3124170899224007E-2"/>
    <s v="Chaitra 80"/>
    <x v="1"/>
  </r>
  <r>
    <x v="2"/>
    <x v="0"/>
    <n v="0"/>
    <s v="Chaitra 80"/>
    <x v="1"/>
  </r>
  <r>
    <x v="3"/>
    <x v="0"/>
    <n v="0.22373924301568221"/>
    <s v="Chaitra 80"/>
    <x v="1"/>
  </r>
  <r>
    <x v="4"/>
    <x v="0"/>
    <n v="0.30918347145708697"/>
    <s v="Chaitra 80"/>
    <x v="1"/>
  </r>
  <r>
    <x v="5"/>
    <x v="0"/>
    <n v="0.15804668504198863"/>
    <s v="Chaitra 80"/>
    <x v="1"/>
  </r>
  <r>
    <x v="6"/>
    <x v="0"/>
    <n v="0.19328886932580022"/>
    <s v="Chaitra 80"/>
    <x v="1"/>
  </r>
  <r>
    <x v="7"/>
    <x v="0"/>
    <n v="0"/>
    <s v="Chaitra 80"/>
    <x v="1"/>
  </r>
  <r>
    <x v="8"/>
    <x v="0"/>
    <n v="0.35355507257966112"/>
    <s v="Chaitra 80"/>
    <x v="1"/>
  </r>
  <r>
    <x v="9"/>
    <x v="0"/>
    <n v="3.3476887175885074E-3"/>
    <s v="Chaitra 80"/>
    <x v="1"/>
  </r>
  <r>
    <x v="10"/>
    <x v="0"/>
    <n v="0"/>
    <s v="Chaitra 80"/>
    <x v="1"/>
  </r>
  <r>
    <x v="11"/>
    <x v="0"/>
    <n v="0.23058020026408518"/>
    <s v="Chaitra 80"/>
    <x v="1"/>
  </r>
  <r>
    <x v="12"/>
    <x v="0"/>
    <n v="7.7130445039635495E-2"/>
    <s v="Chaitra 80"/>
    <x v="1"/>
  </r>
  <r>
    <x v="13"/>
    <x v="0"/>
    <n v="1.8361436110444929E-2"/>
    <s v="Chaitra 80"/>
    <x v="1"/>
  </r>
  <r>
    <x v="14"/>
    <x v="0"/>
    <n v="0"/>
    <s v="Chaitra 80"/>
    <x v="1"/>
  </r>
  <r>
    <x v="15"/>
    <x v="0"/>
    <n v="0.34312557545472194"/>
    <s v="Chaitra 80"/>
    <x v="1"/>
  </r>
  <r>
    <x v="16"/>
    <x v="0"/>
    <n v="0"/>
    <s v="Chaitra 80"/>
    <x v="1"/>
  </r>
  <r>
    <x v="17"/>
    <x v="0"/>
    <n v="0.17132330333363938"/>
    <s v="Chaitra 80"/>
    <x v="1"/>
  </r>
  <r>
    <x v="18"/>
    <x v="0"/>
    <n v="9.2405366794877708E-2"/>
    <s v="Chaitra 80"/>
    <x v="1"/>
  </r>
  <r>
    <x v="19"/>
    <x v="0"/>
    <n v="0"/>
    <s v="Chaitra 80"/>
    <x v="1"/>
  </r>
  <r>
    <x v="20"/>
    <x v="0"/>
    <n v="5.1890962850575886E-2"/>
    <s v="Chaitra 80"/>
    <x v="1"/>
  </r>
  <r>
    <x v="21"/>
    <x v="0"/>
    <n v="0"/>
    <s v="Chaitra 80"/>
    <x v="1"/>
  </r>
  <r>
    <x v="22"/>
    <x v="0"/>
    <n v="0"/>
    <s v="Chaitra 80"/>
    <x v="1"/>
  </r>
  <r>
    <x v="23"/>
    <x v="0"/>
    <n v="0"/>
    <s v="Chaitra 80"/>
    <x v="1"/>
  </r>
  <r>
    <x v="24"/>
    <x v="0"/>
    <n v="0"/>
    <s v="Chaitra 80"/>
    <x v="1"/>
  </r>
  <r>
    <x v="25"/>
    <x v="0"/>
    <n v="0"/>
    <s v="Chaitra 80"/>
    <x v="1"/>
  </r>
  <r>
    <x v="26"/>
    <x v="0"/>
    <n v="0"/>
    <s v="Chaitra 80"/>
    <x v="1"/>
  </r>
  <r>
    <x v="27"/>
    <x v="0"/>
    <n v="0"/>
    <s v="Chaitra 80"/>
    <x v="1"/>
  </r>
  <r>
    <x v="0"/>
    <x v="1"/>
    <n v="0.57822000317118905"/>
    <s v="Chaitra 80"/>
    <x v="1"/>
  </r>
  <r>
    <x v="1"/>
    <x v="1"/>
    <n v="0.5356626345153741"/>
    <s v="Chaitra 80"/>
    <x v="1"/>
  </r>
  <r>
    <x v="2"/>
    <x v="1"/>
    <n v="0"/>
    <s v="Chaitra 80"/>
    <x v="1"/>
  </r>
  <r>
    <x v="3"/>
    <x v="1"/>
    <n v="0.61494886095745915"/>
    <s v="Chaitra 80"/>
    <x v="1"/>
  </r>
  <r>
    <x v="4"/>
    <x v="1"/>
    <n v="0.81350714670694879"/>
    <s v="Chaitra 80"/>
    <x v="1"/>
  </r>
  <r>
    <x v="5"/>
    <x v="1"/>
    <n v="0.42679379682116869"/>
    <s v="Chaitra 80"/>
    <x v="1"/>
  </r>
  <r>
    <x v="6"/>
    <x v="1"/>
    <n v="0.98706966990971379"/>
    <s v="Chaitra 80"/>
    <x v="1"/>
  </r>
  <r>
    <x v="7"/>
    <x v="1"/>
    <n v="0"/>
    <s v="Chaitra 80"/>
    <x v="1"/>
  </r>
  <r>
    <x v="8"/>
    <x v="1"/>
    <n v="0.85431584217378231"/>
    <s v="Chaitra 80"/>
    <x v="1"/>
  </r>
  <r>
    <x v="9"/>
    <x v="1"/>
    <n v="0.79160363529383382"/>
    <s v="Chaitra 80"/>
    <x v="1"/>
  </r>
  <r>
    <x v="10"/>
    <x v="1"/>
    <n v="0"/>
    <s v="Chaitra 80"/>
    <x v="1"/>
  </r>
  <r>
    <x v="11"/>
    <x v="1"/>
    <n v="0.75908817735479994"/>
    <s v="Chaitra 80"/>
    <x v="1"/>
  </r>
  <r>
    <x v="12"/>
    <x v="1"/>
    <n v="0.1410123142849882"/>
    <s v="Chaitra 80"/>
    <x v="1"/>
  </r>
  <r>
    <x v="13"/>
    <x v="1"/>
    <n v="0.49862861152737853"/>
    <s v="Chaitra 80"/>
    <x v="1"/>
  </r>
  <r>
    <x v="14"/>
    <x v="1"/>
    <n v="0"/>
    <s v="Chaitra 80"/>
    <x v="1"/>
  </r>
  <r>
    <x v="15"/>
    <x v="1"/>
    <n v="0.60913548767263426"/>
    <s v="Chaitra 80"/>
    <x v="1"/>
  </r>
  <r>
    <x v="16"/>
    <x v="1"/>
    <n v="0"/>
    <s v="Chaitra 80"/>
    <x v="1"/>
  </r>
  <r>
    <x v="17"/>
    <x v="1"/>
    <n v="0.32390185462103555"/>
    <s v="Chaitra 80"/>
    <x v="1"/>
  </r>
  <r>
    <x v="18"/>
    <x v="1"/>
    <n v="0.18175977026195164"/>
    <s v="Chaitra 80"/>
    <x v="1"/>
  </r>
  <r>
    <x v="19"/>
    <x v="1"/>
    <n v="0"/>
    <s v="Chaitra 80"/>
    <x v="1"/>
  </r>
  <r>
    <x v="20"/>
    <x v="1"/>
    <n v="0"/>
    <s v="Chaitra 80"/>
    <x v="1"/>
  </r>
  <r>
    <x v="21"/>
    <x v="1"/>
    <n v="0"/>
    <s v="Chaitra 80"/>
    <x v="1"/>
  </r>
  <r>
    <x v="22"/>
    <x v="1"/>
    <n v="0"/>
    <s v="Chaitra 80"/>
    <x v="1"/>
  </r>
  <r>
    <x v="23"/>
    <x v="1"/>
    <n v="0"/>
    <s v="Chaitra 80"/>
    <x v="1"/>
  </r>
  <r>
    <x v="24"/>
    <x v="1"/>
    <n v="0"/>
    <s v="Chaitra 80"/>
    <x v="1"/>
  </r>
  <r>
    <x v="25"/>
    <x v="1"/>
    <n v="0"/>
    <s v="Chaitra 80"/>
    <x v="1"/>
  </r>
  <r>
    <x v="26"/>
    <x v="1"/>
    <n v="0"/>
    <s v="Chaitra 80"/>
    <x v="1"/>
  </r>
  <r>
    <x v="27"/>
    <x v="1"/>
    <n v="0"/>
    <s v="Chaitra 80"/>
    <x v="1"/>
  </r>
  <r>
    <x v="0"/>
    <x v="0"/>
    <n v="0.24855209889701646"/>
    <s v="Poush 80"/>
    <x v="2"/>
  </r>
  <r>
    <x v="1"/>
    <x v="0"/>
    <n v="0.13986063032117141"/>
    <s v="Poush 80"/>
    <x v="2"/>
  </r>
  <r>
    <x v="2"/>
    <x v="0"/>
    <n v="0"/>
    <s v="Poush 80"/>
    <x v="2"/>
  </r>
  <r>
    <x v="3"/>
    <x v="0"/>
    <n v="0.13215414863259209"/>
    <s v="Poush 80"/>
    <x v="2"/>
  </r>
  <r>
    <x v="4"/>
    <x v="0"/>
    <n v="0.33017545741837506"/>
    <s v="Poush 80"/>
    <x v="2"/>
  </r>
  <r>
    <x v="5"/>
    <x v="0"/>
    <n v="0.18365449655914115"/>
    <s v="Poush 80"/>
    <x v="2"/>
  </r>
  <r>
    <x v="6"/>
    <x v="0"/>
    <n v="6.2855123336410412E-2"/>
    <s v="Poush 80"/>
    <x v="2"/>
  </r>
  <r>
    <x v="7"/>
    <x v="0"/>
    <n v="0"/>
    <s v="Poush 80"/>
    <x v="2"/>
  </r>
  <r>
    <x v="8"/>
    <x v="0"/>
    <n v="0.29428334042869797"/>
    <s v="Poush 80"/>
    <x v="2"/>
  </r>
  <r>
    <x v="9"/>
    <x v="0"/>
    <n v="1.3412929094780885E-2"/>
    <s v="Poush 80"/>
    <x v="2"/>
  </r>
  <r>
    <x v="10"/>
    <x v="0"/>
    <n v="0"/>
    <s v="Poush 80"/>
    <x v="2"/>
  </r>
  <r>
    <x v="11"/>
    <x v="0"/>
    <n v="0.23477147848222291"/>
    <s v="Poush 80"/>
    <x v="2"/>
  </r>
  <r>
    <x v="12"/>
    <x v="0"/>
    <n v="0.21982934702454374"/>
    <s v="Poush 80"/>
    <x v="2"/>
  </r>
  <r>
    <x v="13"/>
    <x v="0"/>
    <n v="0.19476763642741166"/>
    <s v="Poush 80"/>
    <x v="2"/>
  </r>
  <r>
    <x v="14"/>
    <x v="0"/>
    <n v="0"/>
    <s v="Poush 80"/>
    <x v="2"/>
  </r>
  <r>
    <x v="15"/>
    <x v="0"/>
    <n v="0.39426865371306768"/>
    <s v="Poush 80"/>
    <x v="2"/>
  </r>
  <r>
    <x v="16"/>
    <x v="0"/>
    <n v="0"/>
    <s v="Poush 80"/>
    <x v="2"/>
  </r>
  <r>
    <x v="17"/>
    <x v="0"/>
    <n v="0.15216309350310464"/>
    <s v="Poush 80"/>
    <x v="2"/>
  </r>
  <r>
    <x v="18"/>
    <x v="0"/>
    <n v="2.1206798283260428E-2"/>
    <s v="Poush 80"/>
    <x v="2"/>
  </r>
  <r>
    <x v="19"/>
    <x v="0"/>
    <n v="0"/>
    <s v="Poush 80"/>
    <x v="2"/>
  </r>
  <r>
    <x v="20"/>
    <x v="0"/>
    <n v="0"/>
    <s v="Poush 80"/>
    <x v="2"/>
  </r>
  <r>
    <x v="21"/>
    <x v="0"/>
    <n v="0"/>
    <s v="Poush 80"/>
    <x v="2"/>
  </r>
  <r>
    <x v="22"/>
    <x v="0"/>
    <n v="0"/>
    <s v="Poush 80"/>
    <x v="2"/>
  </r>
  <r>
    <x v="23"/>
    <x v="0"/>
    <n v="0"/>
    <s v="Poush 80"/>
    <x v="2"/>
  </r>
  <r>
    <x v="24"/>
    <x v="0"/>
    <n v="0"/>
    <s v="Poush 80"/>
    <x v="2"/>
  </r>
  <r>
    <x v="25"/>
    <x v="0"/>
    <n v="0"/>
    <s v="Poush 80"/>
    <x v="2"/>
  </r>
  <r>
    <x v="26"/>
    <x v="0"/>
    <n v="0"/>
    <s v="Poush 80"/>
    <x v="2"/>
  </r>
  <r>
    <x v="27"/>
    <x v="0"/>
    <n v="0"/>
    <s v="Poush 80"/>
    <x v="2"/>
  </r>
  <r>
    <x v="0"/>
    <x v="1"/>
    <n v="0.25411132574026196"/>
    <s v="Poush 80"/>
    <x v="2"/>
  </r>
  <r>
    <x v="1"/>
    <x v="1"/>
    <n v="0.5673860589246198"/>
    <s v="Poush 80"/>
    <x v="2"/>
  </r>
  <r>
    <x v="2"/>
    <x v="1"/>
    <n v="0"/>
    <s v="Poush 80"/>
    <x v="2"/>
  </r>
  <r>
    <x v="3"/>
    <x v="1"/>
    <n v="0.46206754789816262"/>
    <s v="Poush 80"/>
    <x v="2"/>
  </r>
  <r>
    <x v="4"/>
    <x v="1"/>
    <n v="0.49774259389177211"/>
    <s v="Poush 80"/>
    <x v="2"/>
  </r>
  <r>
    <x v="5"/>
    <x v="1"/>
    <n v="0.44213080875867872"/>
    <s v="Poush 80"/>
    <x v="2"/>
  </r>
  <r>
    <x v="6"/>
    <x v="1"/>
    <n v="6.4383910891994869E-2"/>
    <s v="Poush 80"/>
    <x v="2"/>
  </r>
  <r>
    <x v="7"/>
    <x v="1"/>
    <n v="0"/>
    <s v="Poush 80"/>
    <x v="2"/>
  </r>
  <r>
    <x v="8"/>
    <x v="1"/>
    <n v="0.65292712031449629"/>
    <s v="Poush 80"/>
    <x v="2"/>
  </r>
  <r>
    <x v="9"/>
    <x v="1"/>
    <n v="0.29460455987793033"/>
    <s v="Poush 80"/>
    <x v="2"/>
  </r>
  <r>
    <x v="10"/>
    <x v="1"/>
    <n v="0.25107138368789617"/>
    <s v="Poush 80"/>
    <x v="2"/>
  </r>
  <r>
    <x v="11"/>
    <x v="1"/>
    <n v="0.73223466860459274"/>
    <s v="Poush 80"/>
    <x v="2"/>
  </r>
  <r>
    <x v="12"/>
    <x v="1"/>
    <n v="0.48699854436995321"/>
    <s v="Poush 80"/>
    <x v="2"/>
  </r>
  <r>
    <x v="13"/>
    <x v="1"/>
    <n v="0.55183300462129625"/>
    <s v="Poush 80"/>
    <x v="2"/>
  </r>
  <r>
    <x v="14"/>
    <x v="1"/>
    <n v="0"/>
    <s v="Poush 80"/>
    <x v="2"/>
  </r>
  <r>
    <x v="15"/>
    <x v="1"/>
    <n v="0.78361913215174228"/>
    <s v="Poush 80"/>
    <x v="2"/>
  </r>
  <r>
    <x v="16"/>
    <x v="1"/>
    <n v="0"/>
    <s v="Poush 80"/>
    <x v="2"/>
  </r>
  <r>
    <x v="17"/>
    <x v="1"/>
    <n v="0.29306487444288426"/>
    <s v="Poush 80"/>
    <x v="2"/>
  </r>
  <r>
    <x v="18"/>
    <x v="1"/>
    <n v="6.477618321031485E-2"/>
    <s v="Poush 80"/>
    <x v="2"/>
  </r>
  <r>
    <x v="19"/>
    <x v="1"/>
    <n v="0"/>
    <s v="Poush 80"/>
    <x v="2"/>
  </r>
  <r>
    <x v="20"/>
    <x v="1"/>
    <n v="0"/>
    <s v="Poush 80"/>
    <x v="2"/>
  </r>
  <r>
    <x v="21"/>
    <x v="1"/>
    <n v="0"/>
    <s v="Poush 80"/>
    <x v="2"/>
  </r>
  <r>
    <x v="22"/>
    <x v="1"/>
    <n v="0"/>
    <s v="Poush 80"/>
    <x v="2"/>
  </r>
  <r>
    <x v="23"/>
    <x v="1"/>
    <n v="0"/>
    <s v="Poush 80"/>
    <x v="2"/>
  </r>
  <r>
    <x v="24"/>
    <x v="1"/>
    <n v="0"/>
    <s v="Poush 80"/>
    <x v="2"/>
  </r>
  <r>
    <x v="25"/>
    <x v="1"/>
    <n v="0"/>
    <s v="Poush 80"/>
    <x v="2"/>
  </r>
  <r>
    <x v="26"/>
    <x v="1"/>
    <n v="0"/>
    <s v="Poush 80"/>
    <x v="2"/>
  </r>
  <r>
    <x v="27"/>
    <x v="1"/>
    <n v="0"/>
    <s v="Poush 80"/>
    <x v="2"/>
  </r>
  <r>
    <x v="0"/>
    <x v="0"/>
    <n v="0.3449783896253581"/>
    <s v="Ashoj 80"/>
    <x v="2"/>
  </r>
  <r>
    <x v="1"/>
    <x v="0"/>
    <n v="0.23708202160529451"/>
    <s v="Ashoj 80"/>
    <x v="2"/>
  </r>
  <r>
    <x v="2"/>
    <x v="0"/>
    <n v="0"/>
    <s v="Ashoj 80"/>
    <x v="2"/>
  </r>
  <r>
    <x v="3"/>
    <x v="0"/>
    <n v="0.24389425453700109"/>
    <s v="Ashoj 80"/>
    <x v="2"/>
  </r>
  <r>
    <x v="4"/>
    <x v="0"/>
    <n v="0.70406307464914908"/>
    <s v="Ashoj 80"/>
    <x v="2"/>
  </r>
  <r>
    <x v="5"/>
    <x v="0"/>
    <n v="0.4314469302268602"/>
    <s v="Ashoj 80"/>
    <x v="2"/>
  </r>
  <r>
    <x v="6"/>
    <x v="0"/>
    <n v="0"/>
    <s v="Ashoj 80"/>
    <x v="2"/>
  </r>
  <r>
    <x v="7"/>
    <x v="0"/>
    <n v="0"/>
    <s v="Ashoj 80"/>
    <x v="2"/>
  </r>
  <r>
    <x v="8"/>
    <x v="0"/>
    <n v="0.85779567387820721"/>
    <s v="Ashoj 80"/>
    <x v="2"/>
  </r>
  <r>
    <x v="9"/>
    <x v="0"/>
    <n v="1.4108277758695335E-2"/>
    <s v="Ashoj 80"/>
    <x v="2"/>
  </r>
  <r>
    <x v="10"/>
    <x v="0"/>
    <n v="9.1496255725096801E-3"/>
    <s v="Ashoj 80"/>
    <x v="2"/>
  </r>
  <r>
    <x v="11"/>
    <x v="0"/>
    <n v="0.57822730849912563"/>
    <s v="Ashoj 80"/>
    <x v="2"/>
  </r>
  <r>
    <x v="12"/>
    <x v="0"/>
    <n v="0.34646628679101787"/>
    <s v="Ashoj 80"/>
    <x v="2"/>
  </r>
  <r>
    <x v="13"/>
    <x v="0"/>
    <n v="0.59115399637470745"/>
    <s v="Ashoj 80"/>
    <x v="2"/>
  </r>
  <r>
    <x v="14"/>
    <x v="0"/>
    <n v="0"/>
    <s v="Ashoj 80"/>
    <x v="2"/>
  </r>
  <r>
    <x v="15"/>
    <x v="0"/>
    <n v="0.40021739433093306"/>
    <s v="Ashoj 80"/>
    <x v="2"/>
  </r>
  <r>
    <x v="16"/>
    <x v="0"/>
    <n v="0"/>
    <s v="Ashoj 80"/>
    <x v="2"/>
  </r>
  <r>
    <x v="17"/>
    <x v="0"/>
    <n v="0.32375171434768502"/>
    <s v="Ashoj 80"/>
    <x v="2"/>
  </r>
  <r>
    <x v="18"/>
    <x v="0"/>
    <n v="0.46708850989528555"/>
    <s v="Ashoj 80"/>
    <x v="2"/>
  </r>
  <r>
    <x v="19"/>
    <x v="0"/>
    <n v="0"/>
    <s v="Ashoj 80"/>
    <x v="2"/>
  </r>
  <r>
    <x v="20"/>
    <x v="0"/>
    <n v="0"/>
    <s v="Ashoj 80"/>
    <x v="2"/>
  </r>
  <r>
    <x v="21"/>
    <x v="0"/>
    <n v="0"/>
    <s v="Ashoj 80"/>
    <x v="2"/>
  </r>
  <r>
    <x v="22"/>
    <x v="0"/>
    <n v="8.4534926537409696E-2"/>
    <s v="Ashoj 80"/>
    <x v="2"/>
  </r>
  <r>
    <x v="23"/>
    <x v="0"/>
    <n v="0"/>
    <s v="Ashoj 80"/>
    <x v="2"/>
  </r>
  <r>
    <x v="24"/>
    <x v="0"/>
    <n v="0"/>
    <s v="Ashoj 80"/>
    <x v="2"/>
  </r>
  <r>
    <x v="25"/>
    <x v="0"/>
    <n v="0"/>
    <s v="Ashoj 80"/>
    <x v="2"/>
  </r>
  <r>
    <x v="26"/>
    <x v="0"/>
    <n v="0"/>
    <s v="Ashoj 80"/>
    <x v="2"/>
  </r>
  <r>
    <x v="27"/>
    <x v="0"/>
    <n v="0"/>
    <s v="Ashoj 80"/>
    <x v="2"/>
  </r>
  <r>
    <x v="0"/>
    <x v="1"/>
    <n v="1"/>
    <s v="Ashoj 80"/>
    <x v="2"/>
  </r>
  <r>
    <x v="1"/>
    <x v="1"/>
    <n v="0"/>
    <s v="Ashoj 80"/>
    <x v="2"/>
  </r>
  <r>
    <x v="2"/>
    <x v="1"/>
    <n v="0"/>
    <s v="Ashoj 80"/>
    <x v="2"/>
  </r>
  <r>
    <x v="3"/>
    <x v="1"/>
    <n v="0.49139528068964528"/>
    <s v="Ashoj 80"/>
    <x v="2"/>
  </r>
  <r>
    <x v="4"/>
    <x v="1"/>
    <n v="0.75826984904903272"/>
    <s v="Ashoj 80"/>
    <x v="2"/>
  </r>
  <r>
    <x v="5"/>
    <x v="1"/>
    <n v="0.73638931668264318"/>
    <s v="Ashoj 80"/>
    <x v="2"/>
  </r>
  <r>
    <x v="6"/>
    <x v="1"/>
    <n v="0"/>
    <s v="Ashoj 80"/>
    <x v="2"/>
  </r>
  <r>
    <x v="7"/>
    <x v="1"/>
    <n v="0"/>
    <s v="Ashoj 80"/>
    <x v="2"/>
  </r>
  <r>
    <x v="8"/>
    <x v="1"/>
    <n v="0.98770795699460978"/>
    <s v="Ashoj 80"/>
    <x v="2"/>
  </r>
  <r>
    <x v="9"/>
    <x v="1"/>
    <n v="0.20971649691495162"/>
    <s v="Ashoj 80"/>
    <x v="2"/>
  </r>
  <r>
    <x v="10"/>
    <x v="1"/>
    <n v="0"/>
    <s v="Ashoj 80"/>
    <x v="2"/>
  </r>
  <r>
    <x v="11"/>
    <x v="1"/>
    <n v="0.78833475956443033"/>
    <s v="Ashoj 80"/>
    <x v="2"/>
  </r>
  <r>
    <x v="12"/>
    <x v="1"/>
    <n v="0.57904896043197573"/>
    <s v="Ashoj 80"/>
    <x v="2"/>
  </r>
  <r>
    <x v="13"/>
    <x v="1"/>
    <n v="1"/>
    <s v="Ashoj 80"/>
    <x v="2"/>
  </r>
  <r>
    <x v="14"/>
    <x v="1"/>
    <n v="0"/>
    <s v="Ashoj 80"/>
    <x v="2"/>
  </r>
  <r>
    <x v="15"/>
    <x v="1"/>
    <n v="0.71911505203798565"/>
    <s v="Ashoj 80"/>
    <x v="2"/>
  </r>
  <r>
    <x v="16"/>
    <x v="1"/>
    <n v="0"/>
    <s v="Ashoj 80"/>
    <x v="2"/>
  </r>
  <r>
    <x v="17"/>
    <x v="1"/>
    <n v="0.46495769744555115"/>
    <s v="Ashoj 80"/>
    <x v="2"/>
  </r>
  <r>
    <x v="18"/>
    <x v="1"/>
    <n v="0.54339685937727045"/>
    <s v="Ashoj 80"/>
    <x v="2"/>
  </r>
  <r>
    <x v="19"/>
    <x v="1"/>
    <n v="0"/>
    <s v="Ashoj 80"/>
    <x v="2"/>
  </r>
  <r>
    <x v="20"/>
    <x v="1"/>
    <n v="0"/>
    <s v="Ashoj 80"/>
    <x v="2"/>
  </r>
  <r>
    <x v="21"/>
    <x v="1"/>
    <n v="0"/>
    <s v="Ashoj 80"/>
    <x v="2"/>
  </r>
  <r>
    <x v="22"/>
    <x v="1"/>
    <n v="0"/>
    <s v="Ashoj 80"/>
    <x v="2"/>
  </r>
  <r>
    <x v="23"/>
    <x v="1"/>
    <n v="0"/>
    <s v="Ashoj 80"/>
    <x v="2"/>
  </r>
  <r>
    <x v="24"/>
    <x v="1"/>
    <n v="0"/>
    <s v="Ashoj 80"/>
    <x v="2"/>
  </r>
  <r>
    <x v="25"/>
    <x v="1"/>
    <n v="0"/>
    <s v="Ashoj 80"/>
    <x v="2"/>
  </r>
  <r>
    <x v="26"/>
    <x v="1"/>
    <n v="0"/>
    <s v="Ashoj 80"/>
    <x v="2"/>
  </r>
  <r>
    <x v="27"/>
    <x v="1"/>
    <n v="0"/>
    <s v="Ashoj 80"/>
    <x v="2"/>
  </r>
  <r>
    <x v="0"/>
    <x v="0"/>
    <n v="3.4235803014445051E-2"/>
    <s v="Asadh 80"/>
    <x v="2"/>
  </r>
  <r>
    <x v="1"/>
    <x v="0"/>
    <n v="0"/>
    <s v="Asadh 80"/>
    <x v="2"/>
  </r>
  <r>
    <x v="2"/>
    <x v="0"/>
    <n v="0"/>
    <s v="Asadh 80"/>
    <x v="2"/>
  </r>
  <r>
    <x v="3"/>
    <x v="0"/>
    <n v="7.6472851048231122E-2"/>
    <s v="Asadh 80"/>
    <x v="2"/>
  </r>
  <r>
    <x v="4"/>
    <x v="0"/>
    <n v="0.16340734777391733"/>
    <s v="Asadh 80"/>
    <x v="2"/>
  </r>
  <r>
    <x v="5"/>
    <x v="0"/>
    <n v="7.9888683411804828E-2"/>
    <s v="Asadh 80"/>
    <x v="2"/>
  </r>
  <r>
    <x v="6"/>
    <x v="0"/>
    <n v="0"/>
    <s v="Asadh 80"/>
    <x v="2"/>
  </r>
  <r>
    <x v="7"/>
    <x v="0"/>
    <n v="0"/>
    <s v="Asadh 80"/>
    <x v="2"/>
  </r>
  <r>
    <x v="8"/>
    <x v="0"/>
    <n v="0.1366339143577992"/>
    <s v="Asadh 80"/>
    <x v="2"/>
  </r>
  <r>
    <x v="9"/>
    <x v="0"/>
    <n v="0.23335926548868952"/>
    <s v="Asadh 80"/>
    <x v="2"/>
  </r>
  <r>
    <x v="10"/>
    <x v="0"/>
    <n v="0"/>
    <s v="Asadh 80"/>
    <x v="2"/>
  </r>
  <r>
    <x v="11"/>
    <x v="0"/>
    <n v="0.20683307064262194"/>
    <s v="Asadh 80"/>
    <x v="2"/>
  </r>
  <r>
    <x v="12"/>
    <x v="0"/>
    <n v="5.2940396104800426E-2"/>
    <s v="Asadh 80"/>
    <x v="2"/>
  </r>
  <r>
    <x v="13"/>
    <x v="0"/>
    <n v="0"/>
    <s v="Asadh 80"/>
    <x v="2"/>
  </r>
  <r>
    <x v="14"/>
    <x v="0"/>
    <n v="0"/>
    <s v="Asadh 80"/>
    <x v="2"/>
  </r>
  <r>
    <x v="15"/>
    <x v="0"/>
    <n v="0.19782772023998796"/>
    <s v="Asadh 80"/>
    <x v="2"/>
  </r>
  <r>
    <x v="16"/>
    <x v="0"/>
    <n v="0"/>
    <s v="Asadh 80"/>
    <x v="2"/>
  </r>
  <r>
    <x v="17"/>
    <x v="0"/>
    <n v="0.14428935643738483"/>
    <s v="Asadh 80"/>
    <x v="2"/>
  </r>
  <r>
    <x v="18"/>
    <x v="0"/>
    <n v="0.18217850985661016"/>
    <s v="Asadh 80"/>
    <x v="2"/>
  </r>
  <r>
    <x v="19"/>
    <x v="0"/>
    <n v="0"/>
    <s v="Asadh 80"/>
    <x v="2"/>
  </r>
  <r>
    <x v="20"/>
    <x v="0"/>
    <n v="0"/>
    <s v="Asadh 80"/>
    <x v="2"/>
  </r>
  <r>
    <x v="21"/>
    <x v="0"/>
    <n v="0"/>
    <s v="Asadh 80"/>
    <x v="2"/>
  </r>
  <r>
    <x v="22"/>
    <x v="0"/>
    <n v="0"/>
    <s v="Asadh 80"/>
    <x v="2"/>
  </r>
  <r>
    <x v="23"/>
    <x v="0"/>
    <n v="0"/>
    <s v="Asadh 80"/>
    <x v="2"/>
  </r>
  <r>
    <x v="24"/>
    <x v="0"/>
    <n v="0"/>
    <s v="Asadh 80"/>
    <x v="2"/>
  </r>
  <r>
    <x v="25"/>
    <x v="0"/>
    <n v="1"/>
    <s v="Asadh 80"/>
    <x v="2"/>
  </r>
  <r>
    <x v="26"/>
    <x v="0"/>
    <n v="0"/>
    <s v="Asadh 80"/>
    <x v="2"/>
  </r>
  <r>
    <x v="27"/>
    <x v="0"/>
    <n v="0"/>
    <s v="Asadh 80"/>
    <x v="2"/>
  </r>
  <r>
    <x v="0"/>
    <x v="1"/>
    <n v="3.4680823735224464E-2"/>
    <s v="Asadh 80"/>
    <x v="2"/>
  </r>
  <r>
    <x v="1"/>
    <x v="1"/>
    <n v="0.51562192141164287"/>
    <s v="Asadh 80"/>
    <x v="2"/>
  </r>
  <r>
    <x v="2"/>
    <x v="1"/>
    <n v="0"/>
    <s v="Asadh 80"/>
    <x v="2"/>
  </r>
  <r>
    <x v="3"/>
    <x v="1"/>
    <n v="0.19938074937408573"/>
    <s v="Asadh 80"/>
    <x v="2"/>
  </r>
  <r>
    <x v="4"/>
    <x v="1"/>
    <n v="0.23507369317542906"/>
    <s v="Asadh 80"/>
    <x v="2"/>
  </r>
  <r>
    <x v="5"/>
    <x v="1"/>
    <n v="0.299538875217217"/>
    <s v="Asadh 80"/>
    <x v="2"/>
  </r>
  <r>
    <x v="6"/>
    <x v="1"/>
    <n v="0.2193485493111752"/>
    <s v="Asadh 80"/>
    <x v="2"/>
  </r>
  <r>
    <x v="7"/>
    <x v="1"/>
    <n v="0"/>
    <s v="Asadh 80"/>
    <x v="2"/>
  </r>
  <r>
    <x v="8"/>
    <x v="1"/>
    <n v="0.28091380822180401"/>
    <s v="Asadh 80"/>
    <x v="2"/>
  </r>
  <r>
    <x v="9"/>
    <x v="1"/>
    <n v="0.71990146719034787"/>
    <s v="Asadh 80"/>
    <x v="2"/>
  </r>
  <r>
    <x v="10"/>
    <x v="1"/>
    <n v="0"/>
    <s v="Asadh 80"/>
    <x v="2"/>
  </r>
  <r>
    <x v="11"/>
    <x v="1"/>
    <n v="0.40353145867204587"/>
    <s v="Asadh 80"/>
    <x v="2"/>
  </r>
  <r>
    <x v="12"/>
    <x v="1"/>
    <n v="0.19035593155030733"/>
    <s v="Asadh 80"/>
    <x v="2"/>
  </r>
  <r>
    <x v="13"/>
    <x v="1"/>
    <n v="3.4552201563698057E-3"/>
    <s v="Asadh 80"/>
    <x v="2"/>
  </r>
  <r>
    <x v="14"/>
    <x v="1"/>
    <n v="0"/>
    <s v="Asadh 80"/>
    <x v="2"/>
  </r>
  <r>
    <x v="15"/>
    <x v="1"/>
    <n v="0.38113278404329337"/>
    <s v="Asadh 80"/>
    <x v="2"/>
  </r>
  <r>
    <x v="16"/>
    <x v="1"/>
    <n v="0"/>
    <s v="Asadh 80"/>
    <x v="2"/>
  </r>
  <r>
    <x v="17"/>
    <x v="1"/>
    <n v="0.23938481341342929"/>
    <s v="Asadh 80"/>
    <x v="2"/>
  </r>
  <r>
    <x v="18"/>
    <x v="1"/>
    <n v="0.21322565571022392"/>
    <s v="Asadh 80"/>
    <x v="2"/>
  </r>
  <r>
    <x v="19"/>
    <x v="1"/>
    <n v="0"/>
    <s v="Asadh 80"/>
    <x v="2"/>
  </r>
  <r>
    <x v="20"/>
    <x v="1"/>
    <n v="0"/>
    <s v="Asadh 80"/>
    <x v="2"/>
  </r>
  <r>
    <x v="21"/>
    <x v="1"/>
    <n v="0"/>
    <s v="Asadh 80"/>
    <x v="2"/>
  </r>
  <r>
    <x v="22"/>
    <x v="1"/>
    <n v="0"/>
    <s v="Asadh 80"/>
    <x v="2"/>
  </r>
  <r>
    <x v="23"/>
    <x v="1"/>
    <n v="0"/>
    <s v="Asadh 80"/>
    <x v="2"/>
  </r>
  <r>
    <x v="24"/>
    <x v="1"/>
    <n v="0"/>
    <s v="Asadh 80"/>
    <x v="2"/>
  </r>
  <r>
    <x v="25"/>
    <x v="1"/>
    <n v="0"/>
    <s v="Asadh 80"/>
    <x v="2"/>
  </r>
  <r>
    <x v="26"/>
    <x v="1"/>
    <n v="0"/>
    <s v="Asadh 80"/>
    <x v="2"/>
  </r>
  <r>
    <x v="27"/>
    <x v="1"/>
    <n v="0"/>
    <s v="Asadh 80"/>
    <x v="2"/>
  </r>
  <r>
    <x v="0"/>
    <x v="0"/>
    <n v="3.8852619186632707E-2"/>
    <s v="Chaitra 79"/>
    <x v="2"/>
  </r>
  <r>
    <x v="1"/>
    <x v="0"/>
    <n v="0.10673712266082122"/>
    <s v="Chaitra 79"/>
    <x v="2"/>
  </r>
  <r>
    <x v="2"/>
    <x v="0"/>
    <n v="0"/>
    <s v="Chaitra 79"/>
    <x v="2"/>
  </r>
  <r>
    <x v="3"/>
    <x v="0"/>
    <n v="0.12891642895682734"/>
    <s v="Chaitra 79"/>
    <x v="2"/>
  </r>
  <r>
    <x v="4"/>
    <x v="0"/>
    <n v="0.15302725211544127"/>
    <s v="Chaitra 79"/>
    <x v="2"/>
  </r>
  <r>
    <x v="5"/>
    <x v="0"/>
    <n v="0.17918808591385976"/>
    <s v="Chaitra 79"/>
    <x v="2"/>
  </r>
  <r>
    <x v="6"/>
    <x v="0"/>
    <n v="0"/>
    <s v="Chaitra 79"/>
    <x v="2"/>
  </r>
  <r>
    <x v="7"/>
    <x v="0"/>
    <n v="0"/>
    <s v="Chaitra 79"/>
    <x v="2"/>
  </r>
  <r>
    <x v="8"/>
    <x v="0"/>
    <n v="0.41833595707766758"/>
    <s v="Chaitra 79"/>
    <x v="2"/>
  </r>
  <r>
    <x v="9"/>
    <x v="0"/>
    <n v="5.662731617438313E-3"/>
    <s v="Chaitra 79"/>
    <x v="2"/>
  </r>
  <r>
    <x v="10"/>
    <x v="0"/>
    <n v="9.7910518567752458E-2"/>
    <s v="Chaitra 79"/>
    <x v="2"/>
  </r>
  <r>
    <x v="11"/>
    <x v="0"/>
    <n v="0.13091883098310353"/>
    <s v="Chaitra 79"/>
    <x v="2"/>
  </r>
  <r>
    <x v="12"/>
    <x v="0"/>
    <n v="4.4565972213570906E-2"/>
    <s v="Chaitra 79"/>
    <x v="2"/>
  </r>
  <r>
    <x v="13"/>
    <x v="0"/>
    <n v="0"/>
    <s v="Chaitra 79"/>
    <x v="2"/>
  </r>
  <r>
    <x v="14"/>
    <x v="0"/>
    <n v="0"/>
    <s v="Chaitra 79"/>
    <x v="2"/>
  </r>
  <r>
    <x v="15"/>
    <x v="0"/>
    <n v="0.2120793988147151"/>
    <s v="Chaitra 79"/>
    <x v="2"/>
  </r>
  <r>
    <x v="16"/>
    <x v="0"/>
    <n v="0"/>
    <s v="Chaitra 79"/>
    <x v="2"/>
  </r>
  <r>
    <x v="17"/>
    <x v="0"/>
    <n v="0.10836416531430079"/>
    <s v="Chaitra 79"/>
    <x v="2"/>
  </r>
  <r>
    <x v="18"/>
    <x v="0"/>
    <n v="8.1989229578233597E-2"/>
    <s v="Chaitra 79"/>
    <x v="2"/>
  </r>
  <r>
    <x v="19"/>
    <x v="0"/>
    <n v="0"/>
    <s v="Chaitra 79"/>
    <x v="2"/>
  </r>
  <r>
    <x v="20"/>
    <x v="0"/>
    <n v="0"/>
    <s v="Chaitra 79"/>
    <x v="2"/>
  </r>
  <r>
    <x v="21"/>
    <x v="0"/>
    <n v="0"/>
    <s v="Chaitra 79"/>
    <x v="2"/>
  </r>
  <r>
    <x v="22"/>
    <x v="0"/>
    <n v="0"/>
    <s v="Chaitra 79"/>
    <x v="2"/>
  </r>
  <r>
    <x v="23"/>
    <x v="0"/>
    <n v="0"/>
    <s v="Chaitra 79"/>
    <x v="2"/>
  </r>
  <r>
    <x v="24"/>
    <x v="0"/>
    <n v="0"/>
    <s v="Chaitra 79"/>
    <x v="2"/>
  </r>
  <r>
    <x v="25"/>
    <x v="0"/>
    <n v="0"/>
    <s v="Chaitra 79"/>
    <x v="2"/>
  </r>
  <r>
    <x v="26"/>
    <x v="0"/>
    <n v="0"/>
    <s v="Chaitra 79"/>
    <x v="2"/>
  </r>
  <r>
    <x v="27"/>
    <x v="0"/>
    <n v="0"/>
    <s v="Chaitra 79"/>
    <x v="2"/>
  </r>
  <r>
    <x v="0"/>
    <x v="1"/>
    <n v="3.9906376557314847E-2"/>
    <s v="Chaitra 79"/>
    <x v="2"/>
  </r>
  <r>
    <x v="1"/>
    <x v="1"/>
    <n v="0.15087909601832744"/>
    <s v="Chaitra 79"/>
    <x v="2"/>
  </r>
  <r>
    <x v="2"/>
    <x v="1"/>
    <n v="0"/>
    <s v="Chaitra 79"/>
    <x v="2"/>
  </r>
  <r>
    <x v="3"/>
    <x v="1"/>
    <n v="0.30474756816702786"/>
    <s v="Chaitra 79"/>
    <x v="2"/>
  </r>
  <r>
    <x v="4"/>
    <x v="1"/>
    <n v="0.30941419116730828"/>
    <s v="Chaitra 79"/>
    <x v="2"/>
  </r>
  <r>
    <x v="5"/>
    <x v="1"/>
    <n v="0.5820056263983987"/>
    <s v="Chaitra 79"/>
    <x v="2"/>
  </r>
  <r>
    <x v="6"/>
    <x v="1"/>
    <n v="0"/>
    <s v="Chaitra 79"/>
    <x v="2"/>
  </r>
  <r>
    <x v="7"/>
    <x v="1"/>
    <n v="0"/>
    <s v="Chaitra 79"/>
    <x v="2"/>
  </r>
  <r>
    <x v="8"/>
    <x v="1"/>
    <n v="0.52776928605666407"/>
    <s v="Chaitra 79"/>
    <x v="2"/>
  </r>
  <r>
    <x v="9"/>
    <x v="1"/>
    <n v="1.3185511298953272E-2"/>
    <s v="Chaitra 79"/>
    <x v="2"/>
  </r>
  <r>
    <x v="10"/>
    <x v="1"/>
    <n v="0.96449211647096966"/>
    <s v="Chaitra 79"/>
    <x v="2"/>
  </r>
  <r>
    <x v="11"/>
    <x v="1"/>
    <n v="0.21303766935412796"/>
    <s v="Chaitra 79"/>
    <x v="2"/>
  </r>
  <r>
    <x v="12"/>
    <x v="1"/>
    <n v="5.5510118853846588E-2"/>
    <s v="Chaitra 79"/>
    <x v="2"/>
  </r>
  <r>
    <x v="13"/>
    <x v="1"/>
    <n v="0"/>
    <s v="Chaitra 79"/>
    <x v="2"/>
  </r>
  <r>
    <x v="14"/>
    <x v="1"/>
    <n v="0"/>
    <s v="Chaitra 79"/>
    <x v="2"/>
  </r>
  <r>
    <x v="15"/>
    <x v="1"/>
    <n v="0.43476511862509271"/>
    <s v="Chaitra 79"/>
    <x v="2"/>
  </r>
  <r>
    <x v="16"/>
    <x v="1"/>
    <n v="0"/>
    <s v="Chaitra 79"/>
    <x v="2"/>
  </r>
  <r>
    <x v="17"/>
    <x v="1"/>
    <n v="0.24467888790305314"/>
    <s v="Chaitra 79"/>
    <x v="2"/>
  </r>
  <r>
    <x v="18"/>
    <x v="1"/>
    <n v="2.9929615434595987E-2"/>
    <s v="Chaitra 79"/>
    <x v="2"/>
  </r>
  <r>
    <x v="19"/>
    <x v="1"/>
    <n v="0"/>
    <s v="Chaitra 79"/>
    <x v="2"/>
  </r>
  <r>
    <x v="20"/>
    <x v="1"/>
    <n v="0"/>
    <s v="Chaitra 79"/>
    <x v="2"/>
  </r>
  <r>
    <x v="21"/>
    <x v="1"/>
    <n v="0"/>
    <s v="Chaitra 79"/>
    <x v="2"/>
  </r>
  <r>
    <x v="22"/>
    <x v="1"/>
    <n v="0"/>
    <s v="Chaitra 79"/>
    <x v="2"/>
  </r>
  <r>
    <x v="23"/>
    <x v="1"/>
    <n v="0"/>
    <s v="Chaitra 79"/>
    <x v="2"/>
  </r>
  <r>
    <x v="24"/>
    <x v="1"/>
    <n v="0"/>
    <s v="Chaitra 79"/>
    <x v="2"/>
  </r>
  <r>
    <x v="25"/>
    <x v="1"/>
    <n v="0"/>
    <s v="Chaitra 79"/>
    <x v="2"/>
  </r>
  <r>
    <x v="26"/>
    <x v="1"/>
    <n v="0"/>
    <s v="Chaitra 79"/>
    <x v="2"/>
  </r>
  <r>
    <x v="27"/>
    <x v="1"/>
    <n v="0"/>
    <s v="Chaitra 79"/>
    <x v="2"/>
  </r>
  <r>
    <x v="0"/>
    <x v="0"/>
    <n v="2.702758136971993E-2"/>
    <s v="Poush 79"/>
    <x v="3"/>
  </r>
  <r>
    <x v="1"/>
    <x v="0"/>
    <n v="1.3928383126171444E-2"/>
    <s v="Poush 79"/>
    <x v="3"/>
  </r>
  <r>
    <x v="2"/>
    <x v="0"/>
    <n v="0"/>
    <s v="Poush 79"/>
    <x v="3"/>
  </r>
  <r>
    <x v="3"/>
    <x v="0"/>
    <n v="9.5214995417441495E-2"/>
    <s v="Poush 79"/>
    <x v="3"/>
  </r>
  <r>
    <x v="4"/>
    <x v="0"/>
    <n v="0.23309613639966617"/>
    <s v="Poush 79"/>
    <x v="3"/>
  </r>
  <r>
    <x v="5"/>
    <x v="0"/>
    <n v="4.5749025707799623E-2"/>
    <s v="Poush 79"/>
    <x v="3"/>
  </r>
  <r>
    <x v="6"/>
    <x v="0"/>
    <n v="9.1624733193187771E-2"/>
    <s v="Poush 79"/>
    <x v="3"/>
  </r>
  <r>
    <x v="7"/>
    <x v="0"/>
    <n v="0"/>
    <s v="Poush 79"/>
    <x v="3"/>
  </r>
  <r>
    <x v="8"/>
    <x v="0"/>
    <n v="0.31367852257879114"/>
    <s v="Poush 79"/>
    <x v="3"/>
  </r>
  <r>
    <x v="9"/>
    <x v="0"/>
    <n v="8.1696848841921656E-3"/>
    <s v="Poush 79"/>
    <x v="3"/>
  </r>
  <r>
    <x v="10"/>
    <x v="0"/>
    <n v="5.7758276414934884E-3"/>
    <s v="Poush 79"/>
    <x v="3"/>
  </r>
  <r>
    <x v="11"/>
    <x v="0"/>
    <n v="0.18013319685871892"/>
    <s v="Poush 79"/>
    <x v="3"/>
  </r>
  <r>
    <x v="12"/>
    <x v="0"/>
    <n v="6.8679630437924577E-2"/>
    <s v="Poush 79"/>
    <x v="3"/>
  </r>
  <r>
    <x v="13"/>
    <x v="0"/>
    <n v="0"/>
    <s v="Poush 79"/>
    <x v="3"/>
  </r>
  <r>
    <x v="14"/>
    <x v="0"/>
    <n v="0"/>
    <s v="Poush 79"/>
    <x v="3"/>
  </r>
  <r>
    <x v="15"/>
    <x v="0"/>
    <n v="0.3785983034793427"/>
    <s v="Poush 79"/>
    <x v="3"/>
  </r>
  <r>
    <x v="16"/>
    <x v="0"/>
    <n v="0"/>
    <s v="Poush 79"/>
    <x v="3"/>
  </r>
  <r>
    <x v="17"/>
    <x v="0"/>
    <n v="8.1652539491002069E-2"/>
    <s v="Poush 79"/>
    <x v="3"/>
  </r>
  <r>
    <x v="18"/>
    <x v="0"/>
    <n v="2.7880249750878598E-2"/>
    <s v="Poush 79"/>
    <x v="3"/>
  </r>
  <r>
    <x v="19"/>
    <x v="0"/>
    <n v="0"/>
    <s v="Poush 79"/>
    <x v="3"/>
  </r>
  <r>
    <x v="20"/>
    <x v="0"/>
    <n v="0"/>
    <s v="Poush 79"/>
    <x v="3"/>
  </r>
  <r>
    <x v="21"/>
    <x v="0"/>
    <n v="0"/>
    <s v="Poush 79"/>
    <x v="3"/>
  </r>
  <r>
    <x v="22"/>
    <x v="0"/>
    <n v="0"/>
    <s v="Poush 79"/>
    <x v="3"/>
  </r>
  <r>
    <x v="23"/>
    <x v="0"/>
    <n v="0"/>
    <s v="Poush 79"/>
    <x v="3"/>
  </r>
  <r>
    <x v="24"/>
    <x v="0"/>
    <n v="0"/>
    <s v="Poush 79"/>
    <x v="3"/>
  </r>
  <r>
    <x v="25"/>
    <x v="0"/>
    <n v="0"/>
    <s v="Poush 79"/>
    <x v="3"/>
  </r>
  <r>
    <x v="26"/>
    <x v="0"/>
    <n v="0"/>
    <s v="Poush 79"/>
    <x v="3"/>
  </r>
  <r>
    <x v="27"/>
    <x v="0"/>
    <n v="0"/>
    <s v="Poush 79"/>
    <x v="3"/>
  </r>
  <r>
    <x v="0"/>
    <x v="1"/>
    <n v="2.5476331535166527E-2"/>
    <s v="Poush 79"/>
    <x v="3"/>
  </r>
  <r>
    <x v="1"/>
    <x v="1"/>
    <n v="1.4832916515960519E-2"/>
    <s v="Poush 79"/>
    <x v="3"/>
  </r>
  <r>
    <x v="2"/>
    <x v="1"/>
    <n v="0"/>
    <s v="Poush 79"/>
    <x v="3"/>
  </r>
  <r>
    <x v="3"/>
    <x v="1"/>
    <n v="0.21149840134605746"/>
    <s v="Poush 79"/>
    <x v="3"/>
  </r>
  <r>
    <x v="4"/>
    <x v="1"/>
    <n v="0.24925814758271797"/>
    <s v="Poush 79"/>
    <x v="3"/>
  </r>
  <r>
    <x v="5"/>
    <x v="1"/>
    <n v="0.16189072365200377"/>
    <s v="Poush 79"/>
    <x v="3"/>
  </r>
  <r>
    <x v="6"/>
    <x v="1"/>
    <n v="0.52921260441781759"/>
    <s v="Poush 79"/>
    <x v="3"/>
  </r>
  <r>
    <x v="7"/>
    <x v="1"/>
    <n v="0"/>
    <s v="Poush 79"/>
    <x v="3"/>
  </r>
  <r>
    <x v="8"/>
    <x v="1"/>
    <n v="0.64086120843811101"/>
    <s v="Poush 79"/>
    <x v="3"/>
  </r>
  <r>
    <x v="9"/>
    <x v="1"/>
    <n v="0.12461378596897005"/>
    <s v="Poush 79"/>
    <x v="3"/>
  </r>
  <r>
    <x v="10"/>
    <x v="1"/>
    <n v="4.5499682926874304E-3"/>
    <s v="Poush 79"/>
    <x v="3"/>
  </r>
  <r>
    <x v="11"/>
    <x v="1"/>
    <n v="0.23870577833676404"/>
    <s v="Poush 79"/>
    <x v="3"/>
  </r>
  <r>
    <x v="12"/>
    <x v="1"/>
    <n v="0.29212519769326917"/>
    <s v="Poush 79"/>
    <x v="3"/>
  </r>
  <r>
    <x v="13"/>
    <x v="1"/>
    <n v="0"/>
    <s v="Poush 79"/>
    <x v="3"/>
  </r>
  <r>
    <x v="14"/>
    <x v="1"/>
    <n v="0"/>
    <s v="Poush 79"/>
    <x v="3"/>
  </r>
  <r>
    <x v="15"/>
    <x v="1"/>
    <n v="0.62399972541202142"/>
    <s v="Poush 79"/>
    <x v="3"/>
  </r>
  <r>
    <x v="16"/>
    <x v="1"/>
    <n v="0"/>
    <s v="Poush 79"/>
    <x v="3"/>
  </r>
  <r>
    <x v="17"/>
    <x v="1"/>
    <n v="0.13299493223216566"/>
    <s v="Poush 79"/>
    <x v="3"/>
  </r>
  <r>
    <x v="18"/>
    <x v="1"/>
    <n v="0.30629594341622823"/>
    <s v="Poush 79"/>
    <x v="3"/>
  </r>
  <r>
    <x v="19"/>
    <x v="1"/>
    <n v="0"/>
    <s v="Poush 79"/>
    <x v="3"/>
  </r>
  <r>
    <x v="20"/>
    <x v="1"/>
    <n v="0"/>
    <s v="Poush 79"/>
    <x v="3"/>
  </r>
  <r>
    <x v="21"/>
    <x v="1"/>
    <n v="0"/>
    <s v="Poush 79"/>
    <x v="3"/>
  </r>
  <r>
    <x v="22"/>
    <x v="1"/>
    <n v="0"/>
    <s v="Poush 79"/>
    <x v="3"/>
  </r>
  <r>
    <x v="23"/>
    <x v="1"/>
    <n v="0"/>
    <s v="Poush 79"/>
    <x v="3"/>
  </r>
  <r>
    <x v="24"/>
    <x v="1"/>
    <n v="0"/>
    <s v="Poush 79"/>
    <x v="3"/>
  </r>
  <r>
    <x v="25"/>
    <x v="1"/>
    <n v="0"/>
    <s v="Poush 79"/>
    <x v="3"/>
  </r>
  <r>
    <x v="26"/>
    <x v="1"/>
    <n v="0"/>
    <s v="Poush 79"/>
    <x v="3"/>
  </r>
  <r>
    <x v="27"/>
    <x v="1"/>
    <n v="0"/>
    <s v="Poush 79"/>
    <x v="3"/>
  </r>
  <r>
    <x v="0"/>
    <x v="0"/>
    <n v="0"/>
    <s v="Ashoj 79"/>
    <x v="3"/>
  </r>
  <r>
    <x v="1"/>
    <x v="0"/>
    <n v="0"/>
    <s v="Ashoj 79"/>
    <x v="3"/>
  </r>
  <r>
    <x v="2"/>
    <x v="0"/>
    <n v="0"/>
    <s v="Ashoj 79"/>
    <x v="3"/>
  </r>
  <r>
    <x v="3"/>
    <x v="0"/>
    <n v="0.17664745790190461"/>
    <s v="Ashoj 79"/>
    <x v="3"/>
  </r>
  <r>
    <x v="4"/>
    <x v="0"/>
    <n v="0.22493363841068717"/>
    <s v="Ashoj 79"/>
    <x v="3"/>
  </r>
  <r>
    <x v="5"/>
    <x v="0"/>
    <n v="0.2599501930809297"/>
    <s v="Ashoj 79"/>
    <x v="3"/>
  </r>
  <r>
    <x v="6"/>
    <x v="0"/>
    <n v="0.1955161514188288"/>
    <s v="Ashoj 79"/>
    <x v="3"/>
  </r>
  <r>
    <x v="7"/>
    <x v="0"/>
    <n v="0"/>
    <s v="Ashoj 79"/>
    <x v="3"/>
  </r>
  <r>
    <x v="8"/>
    <x v="0"/>
    <n v="0.47648156878262682"/>
    <s v="Ashoj 79"/>
    <x v="3"/>
  </r>
  <r>
    <x v="9"/>
    <x v="0"/>
    <n v="7.1693071412729948E-3"/>
    <s v="Ashoj 79"/>
    <x v="3"/>
  </r>
  <r>
    <x v="10"/>
    <x v="0"/>
    <n v="7.2513712073597775E-2"/>
    <s v="Ashoj 79"/>
    <x v="3"/>
  </r>
  <r>
    <x v="11"/>
    <x v="0"/>
    <n v="0.16945083036275255"/>
    <s v="Ashoj 79"/>
    <x v="3"/>
  </r>
  <r>
    <x v="12"/>
    <x v="0"/>
    <n v="0.40946726061312905"/>
    <s v="Ashoj 79"/>
    <x v="3"/>
  </r>
  <r>
    <x v="13"/>
    <x v="0"/>
    <n v="0"/>
    <s v="Ashoj 79"/>
    <x v="3"/>
  </r>
  <r>
    <x v="14"/>
    <x v="0"/>
    <n v="0"/>
    <s v="Ashoj 79"/>
    <x v="3"/>
  </r>
  <r>
    <x v="15"/>
    <x v="0"/>
    <n v="0.22496243853810552"/>
    <s v="Ashoj 79"/>
    <x v="3"/>
  </r>
  <r>
    <x v="16"/>
    <x v="0"/>
    <n v="0"/>
    <s v="Ashoj 79"/>
    <x v="3"/>
  </r>
  <r>
    <x v="17"/>
    <x v="0"/>
    <n v="0.18513857386759361"/>
    <s v="Ashoj 79"/>
    <x v="3"/>
  </r>
  <r>
    <x v="18"/>
    <x v="0"/>
    <n v="0.10478751107475855"/>
    <s v="Ashoj 79"/>
    <x v="3"/>
  </r>
  <r>
    <x v="19"/>
    <x v="0"/>
    <n v="0"/>
    <s v="Ashoj 79"/>
    <x v="3"/>
  </r>
  <r>
    <x v="20"/>
    <x v="0"/>
    <n v="0"/>
    <s v="Ashoj 79"/>
    <x v="3"/>
  </r>
  <r>
    <x v="21"/>
    <x v="0"/>
    <n v="0"/>
    <s v="Ashoj 79"/>
    <x v="3"/>
  </r>
  <r>
    <x v="22"/>
    <x v="0"/>
    <n v="0"/>
    <s v="Ashoj 79"/>
    <x v="3"/>
  </r>
  <r>
    <x v="23"/>
    <x v="0"/>
    <n v="0"/>
    <s v="Ashoj 79"/>
    <x v="3"/>
  </r>
  <r>
    <x v="24"/>
    <x v="0"/>
    <n v="0"/>
    <s v="Ashoj 79"/>
    <x v="3"/>
  </r>
  <r>
    <x v="25"/>
    <x v="0"/>
    <n v="0"/>
    <s v="Ashoj 79"/>
    <x v="3"/>
  </r>
  <r>
    <x v="26"/>
    <x v="0"/>
    <n v="0"/>
    <s v="Ashoj 79"/>
    <x v="3"/>
  </r>
  <r>
    <x v="27"/>
    <x v="0"/>
    <n v="0"/>
    <s v="Ashoj 79"/>
    <x v="3"/>
  </r>
  <r>
    <x v="0"/>
    <x v="1"/>
    <n v="0"/>
    <s v="Ashoj 79"/>
    <x v="3"/>
  </r>
  <r>
    <x v="1"/>
    <x v="1"/>
    <n v="0"/>
    <s v="Ashoj 79"/>
    <x v="3"/>
  </r>
  <r>
    <x v="2"/>
    <x v="1"/>
    <n v="0"/>
    <s v="Ashoj 79"/>
    <x v="3"/>
  </r>
  <r>
    <x v="3"/>
    <x v="1"/>
    <n v="0.36297445939466771"/>
    <s v="Ashoj 79"/>
    <x v="3"/>
  </r>
  <r>
    <x v="4"/>
    <x v="1"/>
    <n v="0.21538869018984633"/>
    <s v="Ashoj 79"/>
    <x v="3"/>
  </r>
  <r>
    <x v="5"/>
    <x v="1"/>
    <n v="0.38989197017707589"/>
    <s v="Ashoj 79"/>
    <x v="3"/>
  </r>
  <r>
    <x v="6"/>
    <x v="1"/>
    <n v="2.5468979702669162E-2"/>
    <s v="Ashoj 79"/>
    <x v="3"/>
  </r>
  <r>
    <x v="7"/>
    <x v="1"/>
    <n v="0"/>
    <s v="Ashoj 79"/>
    <x v="3"/>
  </r>
  <r>
    <x v="8"/>
    <x v="1"/>
    <n v="0.66383940214447257"/>
    <s v="Ashoj 79"/>
    <x v="3"/>
  </r>
  <r>
    <x v="9"/>
    <x v="1"/>
    <n v="0.11835973113586012"/>
    <s v="Ashoj 79"/>
    <x v="3"/>
  </r>
  <r>
    <x v="10"/>
    <x v="1"/>
    <n v="0.11462825396681414"/>
    <s v="Ashoj 79"/>
    <x v="3"/>
  </r>
  <r>
    <x v="11"/>
    <x v="1"/>
    <n v="0.24411049792967154"/>
    <s v="Ashoj 79"/>
    <x v="3"/>
  </r>
  <r>
    <x v="12"/>
    <x v="1"/>
    <n v="0.72686074209428031"/>
    <s v="Ashoj 79"/>
    <x v="3"/>
  </r>
  <r>
    <x v="13"/>
    <x v="1"/>
    <n v="0"/>
    <s v="Ashoj 79"/>
    <x v="3"/>
  </r>
  <r>
    <x v="14"/>
    <x v="1"/>
    <n v="0"/>
    <s v="Ashoj 79"/>
    <x v="3"/>
  </r>
  <r>
    <x v="15"/>
    <x v="1"/>
    <n v="0.36191516053357575"/>
    <s v="Ashoj 79"/>
    <x v="3"/>
  </r>
  <r>
    <x v="16"/>
    <x v="1"/>
    <n v="0"/>
    <s v="Ashoj 79"/>
    <x v="3"/>
  </r>
  <r>
    <x v="17"/>
    <x v="1"/>
    <n v="0.21812764804578569"/>
    <s v="Ashoj 79"/>
    <x v="3"/>
  </r>
  <r>
    <x v="18"/>
    <x v="1"/>
    <n v="5.9269883464250675E-2"/>
    <s v="Ashoj 79"/>
    <x v="3"/>
  </r>
  <r>
    <x v="19"/>
    <x v="1"/>
    <n v="0"/>
    <s v="Ashoj 79"/>
    <x v="3"/>
  </r>
  <r>
    <x v="20"/>
    <x v="1"/>
    <n v="0"/>
    <s v="Ashoj 79"/>
    <x v="3"/>
  </r>
  <r>
    <x v="21"/>
    <x v="1"/>
    <n v="0"/>
    <s v="Ashoj 79"/>
    <x v="3"/>
  </r>
  <r>
    <x v="22"/>
    <x v="1"/>
    <n v="0"/>
    <s v="Ashoj 79"/>
    <x v="3"/>
  </r>
  <r>
    <x v="23"/>
    <x v="1"/>
    <n v="0"/>
    <s v="Ashoj 79"/>
    <x v="3"/>
  </r>
  <r>
    <x v="24"/>
    <x v="1"/>
    <n v="0"/>
    <s v="Ashoj 79"/>
    <x v="3"/>
  </r>
  <r>
    <x v="25"/>
    <x v="1"/>
    <n v="0"/>
    <s v="Ashoj 79"/>
    <x v="3"/>
  </r>
  <r>
    <x v="26"/>
    <x v="1"/>
    <n v="0"/>
    <s v="Ashoj 79"/>
    <x v="3"/>
  </r>
  <r>
    <x v="27"/>
    <x v="1"/>
    <n v="0"/>
    <s v="Ashoj 79"/>
    <x v="3"/>
  </r>
  <r>
    <x v="0"/>
    <x v="0"/>
    <n v="0"/>
    <s v="Asadh 79"/>
    <x v="3"/>
  </r>
  <r>
    <x v="1"/>
    <x v="0"/>
    <n v="0"/>
    <s v="Asadh 79"/>
    <x v="3"/>
  </r>
  <r>
    <x v="2"/>
    <x v="0"/>
    <n v="0"/>
    <s v="Asadh 79"/>
    <x v="3"/>
  </r>
  <r>
    <x v="3"/>
    <x v="0"/>
    <n v="0"/>
    <s v="Asadh 79"/>
    <x v="3"/>
  </r>
  <r>
    <x v="4"/>
    <x v="0"/>
    <n v="0"/>
    <s v="Asadh 79"/>
    <x v="3"/>
  </r>
  <r>
    <x v="5"/>
    <x v="0"/>
    <n v="0"/>
    <s v="Asadh 79"/>
    <x v="3"/>
  </r>
  <r>
    <x v="6"/>
    <x v="0"/>
    <n v="0"/>
    <s v="Asadh 79"/>
    <x v="3"/>
  </r>
  <r>
    <x v="7"/>
    <x v="0"/>
    <n v="0"/>
    <s v="Asadh 79"/>
    <x v="3"/>
  </r>
  <r>
    <x v="8"/>
    <x v="0"/>
    <n v="0"/>
    <s v="Asadh 79"/>
    <x v="3"/>
  </r>
  <r>
    <x v="9"/>
    <x v="0"/>
    <n v="0"/>
    <s v="Asadh 79"/>
    <x v="3"/>
  </r>
  <r>
    <x v="10"/>
    <x v="0"/>
    <n v="0"/>
    <s v="Asadh 79"/>
    <x v="3"/>
  </r>
  <r>
    <x v="11"/>
    <x v="0"/>
    <n v="0"/>
    <s v="Asadh 79"/>
    <x v="3"/>
  </r>
  <r>
    <x v="12"/>
    <x v="0"/>
    <n v="0"/>
    <s v="Asadh 79"/>
    <x v="3"/>
  </r>
  <r>
    <x v="13"/>
    <x v="0"/>
    <n v="0"/>
    <s v="Asadh 79"/>
    <x v="3"/>
  </r>
  <r>
    <x v="14"/>
    <x v="0"/>
    <n v="0"/>
    <s v="Asadh 79"/>
    <x v="3"/>
  </r>
  <r>
    <x v="15"/>
    <x v="0"/>
    <n v="0"/>
    <s v="Asadh 79"/>
    <x v="3"/>
  </r>
  <r>
    <x v="16"/>
    <x v="0"/>
    <n v="0"/>
    <s v="Asadh 79"/>
    <x v="3"/>
  </r>
  <r>
    <x v="17"/>
    <x v="0"/>
    <n v="0"/>
    <s v="Asadh 79"/>
    <x v="3"/>
  </r>
  <r>
    <x v="18"/>
    <x v="0"/>
    <n v="0"/>
    <s v="Asadh 79"/>
    <x v="3"/>
  </r>
  <r>
    <x v="19"/>
    <x v="0"/>
    <n v="0"/>
    <s v="Asadh 79"/>
    <x v="3"/>
  </r>
  <r>
    <x v="20"/>
    <x v="0"/>
    <n v="0"/>
    <s v="Asadh 79"/>
    <x v="3"/>
  </r>
  <r>
    <x v="21"/>
    <x v="0"/>
    <n v="0"/>
    <s v="Asadh 79"/>
    <x v="3"/>
  </r>
  <r>
    <x v="22"/>
    <x v="0"/>
    <n v="0"/>
    <s v="Asadh 79"/>
    <x v="3"/>
  </r>
  <r>
    <x v="23"/>
    <x v="0"/>
    <n v="0"/>
    <s v="Asadh 79"/>
    <x v="3"/>
  </r>
  <r>
    <x v="24"/>
    <x v="0"/>
    <n v="0"/>
    <s v="Asadh 79"/>
    <x v="3"/>
  </r>
  <r>
    <x v="25"/>
    <x v="0"/>
    <n v="0"/>
    <s v="Asadh 79"/>
    <x v="3"/>
  </r>
  <r>
    <x v="26"/>
    <x v="0"/>
    <n v="0"/>
    <s v="Asadh 79"/>
    <x v="3"/>
  </r>
  <r>
    <x v="27"/>
    <x v="0"/>
    <n v="0"/>
    <s v="Asadh 79"/>
    <x v="3"/>
  </r>
  <r>
    <x v="0"/>
    <x v="1"/>
    <n v="0"/>
    <s v="Asadh 79"/>
    <x v="3"/>
  </r>
  <r>
    <x v="1"/>
    <x v="1"/>
    <n v="0"/>
    <s v="Asadh 79"/>
    <x v="3"/>
  </r>
  <r>
    <x v="2"/>
    <x v="1"/>
    <n v="0"/>
    <s v="Asadh 79"/>
    <x v="3"/>
  </r>
  <r>
    <x v="3"/>
    <x v="1"/>
    <n v="0"/>
    <s v="Asadh 79"/>
    <x v="3"/>
  </r>
  <r>
    <x v="4"/>
    <x v="1"/>
    <n v="0"/>
    <s v="Asadh 79"/>
    <x v="3"/>
  </r>
  <r>
    <x v="5"/>
    <x v="1"/>
    <n v="0"/>
    <s v="Asadh 79"/>
    <x v="3"/>
  </r>
  <r>
    <x v="6"/>
    <x v="1"/>
    <n v="0"/>
    <s v="Asadh 79"/>
    <x v="3"/>
  </r>
  <r>
    <x v="7"/>
    <x v="1"/>
    <n v="0"/>
    <s v="Asadh 79"/>
    <x v="3"/>
  </r>
  <r>
    <x v="8"/>
    <x v="1"/>
    <n v="0"/>
    <s v="Asadh 79"/>
    <x v="3"/>
  </r>
  <r>
    <x v="9"/>
    <x v="1"/>
    <n v="0"/>
    <s v="Asadh 79"/>
    <x v="3"/>
  </r>
  <r>
    <x v="10"/>
    <x v="1"/>
    <n v="0"/>
    <s v="Asadh 79"/>
    <x v="3"/>
  </r>
  <r>
    <x v="11"/>
    <x v="1"/>
    <n v="0"/>
    <s v="Asadh 79"/>
    <x v="3"/>
  </r>
  <r>
    <x v="12"/>
    <x v="1"/>
    <n v="0"/>
    <s v="Asadh 79"/>
    <x v="3"/>
  </r>
  <r>
    <x v="13"/>
    <x v="1"/>
    <n v="0"/>
    <s v="Asadh 79"/>
    <x v="3"/>
  </r>
  <r>
    <x v="14"/>
    <x v="1"/>
    <n v="0"/>
    <s v="Asadh 79"/>
    <x v="3"/>
  </r>
  <r>
    <x v="15"/>
    <x v="1"/>
    <n v="0"/>
    <s v="Asadh 79"/>
    <x v="3"/>
  </r>
  <r>
    <x v="16"/>
    <x v="1"/>
    <n v="0"/>
    <s v="Asadh 79"/>
    <x v="3"/>
  </r>
  <r>
    <x v="17"/>
    <x v="1"/>
    <n v="0"/>
    <s v="Asadh 79"/>
    <x v="3"/>
  </r>
  <r>
    <x v="18"/>
    <x v="1"/>
    <n v="0"/>
    <s v="Asadh 79"/>
    <x v="3"/>
  </r>
  <r>
    <x v="19"/>
    <x v="1"/>
    <n v="0"/>
    <s v="Asadh 79"/>
    <x v="3"/>
  </r>
  <r>
    <x v="20"/>
    <x v="1"/>
    <n v="0"/>
    <s v="Asadh 79"/>
    <x v="3"/>
  </r>
  <r>
    <x v="21"/>
    <x v="1"/>
    <n v="0"/>
    <s v="Asadh 79"/>
    <x v="3"/>
  </r>
  <r>
    <x v="22"/>
    <x v="1"/>
    <n v="0"/>
    <s v="Asadh 79"/>
    <x v="3"/>
  </r>
  <r>
    <x v="23"/>
    <x v="1"/>
    <n v="0"/>
    <s v="Asadh 79"/>
    <x v="3"/>
  </r>
  <r>
    <x v="24"/>
    <x v="1"/>
    <n v="0"/>
    <s v="Asadh 79"/>
    <x v="3"/>
  </r>
  <r>
    <x v="25"/>
    <x v="1"/>
    <n v="0"/>
    <s v="Asadh 79"/>
    <x v="3"/>
  </r>
  <r>
    <x v="26"/>
    <x v="1"/>
    <n v="0"/>
    <s v="Asadh 79"/>
    <x v="3"/>
  </r>
  <r>
    <x v="27"/>
    <x v="1"/>
    <n v="0"/>
    <s v="Asadh 79"/>
    <x v="3"/>
  </r>
  <r>
    <x v="0"/>
    <x v="0"/>
    <n v="0"/>
    <s v="Chaitra 78"/>
    <x v="3"/>
  </r>
  <r>
    <x v="1"/>
    <x v="0"/>
    <n v="0"/>
    <s v="Chaitra 78"/>
    <x v="3"/>
  </r>
  <r>
    <x v="2"/>
    <x v="0"/>
    <n v="0"/>
    <s v="Chaitra 78"/>
    <x v="3"/>
  </r>
  <r>
    <x v="3"/>
    <x v="0"/>
    <n v="2.6116740788248209E-2"/>
    <s v="Chaitra 78"/>
    <x v="3"/>
  </r>
  <r>
    <x v="4"/>
    <x v="0"/>
    <n v="0.30284171395330939"/>
    <s v="Chaitra 78"/>
    <x v="3"/>
  </r>
  <r>
    <x v="5"/>
    <x v="0"/>
    <n v="9.378122434643589E-2"/>
    <s v="Chaitra 78"/>
    <x v="3"/>
  </r>
  <r>
    <x v="6"/>
    <x v="0"/>
    <n v="9.3040092970364169E-2"/>
    <s v="Chaitra 78"/>
    <x v="3"/>
  </r>
  <r>
    <x v="7"/>
    <x v="0"/>
    <n v="0"/>
    <s v="Chaitra 78"/>
    <x v="3"/>
  </r>
  <r>
    <x v="8"/>
    <x v="0"/>
    <n v="0.31996635473430218"/>
    <s v="Chaitra 78"/>
    <x v="3"/>
  </r>
  <r>
    <x v="9"/>
    <x v="0"/>
    <n v="8.066016212799048E-3"/>
    <s v="Chaitra 78"/>
    <x v="3"/>
  </r>
  <r>
    <x v="10"/>
    <x v="0"/>
    <n v="8.6892186152471532E-2"/>
    <s v="Chaitra 78"/>
    <x v="3"/>
  </r>
  <r>
    <x v="11"/>
    <x v="0"/>
    <n v="6.9080667415324995E-2"/>
    <s v="Chaitra 78"/>
    <x v="3"/>
  </r>
  <r>
    <x v="12"/>
    <x v="0"/>
    <n v="2.6413352749386061E-2"/>
    <s v="Chaitra 78"/>
    <x v="3"/>
  </r>
  <r>
    <x v="13"/>
    <x v="0"/>
    <n v="0"/>
    <s v="Chaitra 78"/>
    <x v="3"/>
  </r>
  <r>
    <x v="14"/>
    <x v="0"/>
    <n v="0"/>
    <s v="Chaitra 78"/>
    <x v="3"/>
  </r>
  <r>
    <x v="15"/>
    <x v="0"/>
    <n v="9.0656629478304579E-2"/>
    <s v="Chaitra 78"/>
    <x v="3"/>
  </r>
  <r>
    <x v="16"/>
    <x v="0"/>
    <n v="0"/>
    <s v="Chaitra 78"/>
    <x v="3"/>
  </r>
  <r>
    <x v="17"/>
    <x v="0"/>
    <n v="7.1279148854983945E-2"/>
    <s v="Chaitra 78"/>
    <x v="3"/>
  </r>
  <r>
    <x v="18"/>
    <x v="0"/>
    <n v="0"/>
    <s v="Chaitra 78"/>
    <x v="3"/>
  </r>
  <r>
    <x v="19"/>
    <x v="0"/>
    <n v="0"/>
    <s v="Chaitra 78"/>
    <x v="3"/>
  </r>
  <r>
    <x v="20"/>
    <x v="0"/>
    <n v="0"/>
    <s v="Chaitra 78"/>
    <x v="3"/>
  </r>
  <r>
    <x v="21"/>
    <x v="0"/>
    <n v="0"/>
    <s v="Chaitra 78"/>
    <x v="3"/>
  </r>
  <r>
    <x v="22"/>
    <x v="0"/>
    <n v="0"/>
    <s v="Chaitra 78"/>
    <x v="3"/>
  </r>
  <r>
    <x v="23"/>
    <x v="0"/>
    <n v="0"/>
    <s v="Chaitra 78"/>
    <x v="3"/>
  </r>
  <r>
    <x v="24"/>
    <x v="0"/>
    <n v="0"/>
    <s v="Chaitra 78"/>
    <x v="3"/>
  </r>
  <r>
    <x v="25"/>
    <x v="0"/>
    <n v="0"/>
    <s v="Chaitra 78"/>
    <x v="3"/>
  </r>
  <r>
    <x v="26"/>
    <x v="0"/>
    <n v="0"/>
    <s v="Chaitra 78"/>
    <x v="3"/>
  </r>
  <r>
    <x v="27"/>
    <x v="0"/>
    <n v="0"/>
    <s v="Chaitra 78"/>
    <x v="3"/>
  </r>
  <r>
    <x v="0"/>
    <x v="1"/>
    <n v="0"/>
    <s v="Chaitra 78"/>
    <x v="3"/>
  </r>
  <r>
    <x v="1"/>
    <x v="1"/>
    <n v="0"/>
    <s v="Chaitra 78"/>
    <x v="3"/>
  </r>
  <r>
    <x v="2"/>
    <x v="1"/>
    <n v="0"/>
    <s v="Chaitra 78"/>
    <x v="3"/>
  </r>
  <r>
    <x v="3"/>
    <x v="1"/>
    <n v="2.7046901387768461E-2"/>
    <s v="Chaitra 78"/>
    <x v="3"/>
  </r>
  <r>
    <x v="4"/>
    <x v="1"/>
    <n v="0.29502601784493832"/>
    <s v="Chaitra 78"/>
    <x v="3"/>
  </r>
  <r>
    <x v="5"/>
    <x v="1"/>
    <n v="7.5813443960422819E-2"/>
    <s v="Chaitra 78"/>
    <x v="3"/>
  </r>
  <r>
    <x v="6"/>
    <x v="1"/>
    <n v="0.12019914418013097"/>
    <s v="Chaitra 78"/>
    <x v="3"/>
  </r>
  <r>
    <x v="7"/>
    <x v="1"/>
    <n v="0"/>
    <s v="Chaitra 78"/>
    <x v="3"/>
  </r>
  <r>
    <x v="8"/>
    <x v="1"/>
    <n v="0.62472163421012705"/>
    <s v="Chaitra 78"/>
    <x v="3"/>
  </r>
  <r>
    <x v="9"/>
    <x v="1"/>
    <n v="1.0580560636042917E-2"/>
    <s v="Chaitra 78"/>
    <x v="3"/>
  </r>
  <r>
    <x v="10"/>
    <x v="1"/>
    <n v="0.10959995551890482"/>
    <s v="Chaitra 78"/>
    <x v="3"/>
  </r>
  <r>
    <x v="11"/>
    <x v="1"/>
    <n v="4.9421922650027539E-2"/>
    <s v="Chaitra 78"/>
    <x v="3"/>
  </r>
  <r>
    <x v="12"/>
    <x v="1"/>
    <n v="6.4799365659608449E-2"/>
    <s v="Chaitra 78"/>
    <x v="3"/>
  </r>
  <r>
    <x v="13"/>
    <x v="1"/>
    <n v="0"/>
    <s v="Chaitra 78"/>
    <x v="3"/>
  </r>
  <r>
    <x v="14"/>
    <x v="1"/>
    <n v="0"/>
    <s v="Chaitra 78"/>
    <x v="3"/>
  </r>
  <r>
    <x v="15"/>
    <x v="1"/>
    <n v="0.20374174845682214"/>
    <s v="Chaitra 78"/>
    <x v="3"/>
  </r>
  <r>
    <x v="16"/>
    <x v="1"/>
    <n v="0"/>
    <s v="Chaitra 78"/>
    <x v="3"/>
  </r>
  <r>
    <x v="17"/>
    <x v="1"/>
    <n v="6.9625445399834188E-2"/>
    <s v="Chaitra 78"/>
    <x v="3"/>
  </r>
  <r>
    <x v="18"/>
    <x v="1"/>
    <n v="0"/>
    <s v="Chaitra 78"/>
    <x v="3"/>
  </r>
  <r>
    <x v="19"/>
    <x v="1"/>
    <n v="0"/>
    <s v="Chaitra 78"/>
    <x v="3"/>
  </r>
  <r>
    <x v="20"/>
    <x v="1"/>
    <n v="0"/>
    <s v="Chaitra 78"/>
    <x v="3"/>
  </r>
  <r>
    <x v="21"/>
    <x v="1"/>
    <n v="0"/>
    <s v="Chaitra 78"/>
    <x v="3"/>
  </r>
  <r>
    <x v="22"/>
    <x v="1"/>
    <n v="0"/>
    <s v="Chaitra 78"/>
    <x v="3"/>
  </r>
  <r>
    <x v="23"/>
    <x v="1"/>
    <n v="0"/>
    <s v="Chaitra 78"/>
    <x v="3"/>
  </r>
  <r>
    <x v="24"/>
    <x v="1"/>
    <n v="0"/>
    <s v="Chaitra 78"/>
    <x v="3"/>
  </r>
  <r>
    <x v="25"/>
    <x v="1"/>
    <n v="0"/>
    <s v="Chaitra 78"/>
    <x v="3"/>
  </r>
  <r>
    <x v="26"/>
    <x v="1"/>
    <n v="0"/>
    <s v="Chaitra 78"/>
    <x v="3"/>
  </r>
  <r>
    <x v="27"/>
    <x v="1"/>
    <n v="0"/>
    <s v="Chaitra 78"/>
    <x v="3"/>
  </r>
  <r>
    <x v="0"/>
    <x v="0"/>
    <n v="0"/>
    <s v="Poush 78"/>
    <x v="4"/>
  </r>
  <r>
    <x v="1"/>
    <x v="0"/>
    <n v="0"/>
    <s v="Poush 78"/>
    <x v="4"/>
  </r>
  <r>
    <x v="2"/>
    <x v="0"/>
    <n v="0"/>
    <s v="Poush 78"/>
    <x v="4"/>
  </r>
  <r>
    <x v="3"/>
    <x v="0"/>
    <n v="1.9584101091558601E-2"/>
    <s v="Poush 78"/>
    <x v="4"/>
  </r>
  <r>
    <x v="4"/>
    <x v="0"/>
    <n v="4.35052274979134E-3"/>
    <s v="Poush 78"/>
    <x v="4"/>
  </r>
  <r>
    <x v="5"/>
    <x v="0"/>
    <n v="7.7936830428050885E-3"/>
    <s v="Poush 78"/>
    <x v="4"/>
  </r>
  <r>
    <x v="6"/>
    <x v="0"/>
    <n v="0"/>
    <s v="Poush 78"/>
    <x v="4"/>
  </r>
  <r>
    <x v="7"/>
    <x v="0"/>
    <n v="0"/>
    <s v="Poush 78"/>
    <x v="4"/>
  </r>
  <r>
    <x v="8"/>
    <x v="0"/>
    <n v="0.15295318455856344"/>
    <s v="Poush 78"/>
    <x v="4"/>
  </r>
  <r>
    <x v="9"/>
    <x v="0"/>
    <n v="3.958648511592347E-3"/>
    <s v="Poush 78"/>
    <x v="4"/>
  </r>
  <r>
    <x v="10"/>
    <x v="0"/>
    <n v="4.7997158300209015E-2"/>
    <s v="Poush 78"/>
    <x v="4"/>
  </r>
  <r>
    <x v="11"/>
    <x v="0"/>
    <n v="4.1715373241307703E-3"/>
    <s v="Poush 78"/>
    <x v="4"/>
  </r>
  <r>
    <x v="12"/>
    <x v="0"/>
    <n v="1.0583214896988021E-2"/>
    <s v="Poush 78"/>
    <x v="4"/>
  </r>
  <r>
    <x v="13"/>
    <x v="0"/>
    <n v="0"/>
    <s v="Poush 78"/>
    <x v="4"/>
  </r>
  <r>
    <x v="14"/>
    <x v="0"/>
    <n v="0"/>
    <s v="Poush 78"/>
    <x v="4"/>
  </r>
  <r>
    <x v="15"/>
    <x v="0"/>
    <n v="2.7487408055034586E-2"/>
    <s v="Poush 78"/>
    <x v="4"/>
  </r>
  <r>
    <x v="16"/>
    <x v="0"/>
    <n v="0"/>
    <s v="Poush 78"/>
    <x v="4"/>
  </r>
  <r>
    <x v="17"/>
    <x v="0"/>
    <n v="5.8998506386391779E-3"/>
    <s v="Poush 78"/>
    <x v="4"/>
  </r>
  <r>
    <x v="18"/>
    <x v="0"/>
    <n v="0"/>
    <s v="Poush 78"/>
    <x v="4"/>
  </r>
  <r>
    <x v="19"/>
    <x v="0"/>
    <n v="0"/>
    <s v="Poush 78"/>
    <x v="4"/>
  </r>
  <r>
    <x v="20"/>
    <x v="0"/>
    <n v="0"/>
    <s v="Poush 78"/>
    <x v="4"/>
  </r>
  <r>
    <x v="21"/>
    <x v="0"/>
    <n v="0"/>
    <s v="Poush 78"/>
    <x v="4"/>
  </r>
  <r>
    <x v="22"/>
    <x v="0"/>
    <n v="0"/>
    <s v="Poush 78"/>
    <x v="4"/>
  </r>
  <r>
    <x v="23"/>
    <x v="0"/>
    <n v="0"/>
    <s v="Poush 78"/>
    <x v="4"/>
  </r>
  <r>
    <x v="24"/>
    <x v="0"/>
    <n v="0"/>
    <s v="Poush 78"/>
    <x v="4"/>
  </r>
  <r>
    <x v="25"/>
    <x v="0"/>
    <n v="0"/>
    <s v="Poush 78"/>
    <x v="4"/>
  </r>
  <r>
    <x v="26"/>
    <x v="0"/>
    <n v="0"/>
    <s v="Poush 78"/>
    <x v="4"/>
  </r>
  <r>
    <x v="27"/>
    <x v="0"/>
    <n v="0"/>
    <s v="Poush 78"/>
    <x v="4"/>
  </r>
  <r>
    <x v="0"/>
    <x v="1"/>
    <n v="0"/>
    <s v="Poush 78"/>
    <x v="4"/>
  </r>
  <r>
    <x v="1"/>
    <x v="1"/>
    <n v="0"/>
    <s v="Poush 78"/>
    <x v="4"/>
  </r>
  <r>
    <x v="2"/>
    <x v="1"/>
    <n v="0"/>
    <s v="Poush 78"/>
    <x v="4"/>
  </r>
  <r>
    <x v="3"/>
    <x v="1"/>
    <n v="6.7521952260243934E-2"/>
    <s v="Poush 78"/>
    <x v="4"/>
  </r>
  <r>
    <x v="4"/>
    <x v="1"/>
    <n v="7.3660123995579838E-3"/>
    <s v="Poush 78"/>
    <x v="4"/>
  </r>
  <r>
    <x v="5"/>
    <x v="1"/>
    <n v="9.6438547939504404E-3"/>
    <s v="Poush 78"/>
    <x v="4"/>
  </r>
  <r>
    <x v="6"/>
    <x v="1"/>
    <n v="0"/>
    <s v="Poush 78"/>
    <x v="4"/>
  </r>
  <r>
    <x v="7"/>
    <x v="1"/>
    <n v="0"/>
    <s v="Poush 78"/>
    <x v="4"/>
  </r>
  <r>
    <x v="8"/>
    <x v="1"/>
    <n v="0.23742315786773371"/>
    <s v="Poush 78"/>
    <x v="4"/>
  </r>
  <r>
    <x v="9"/>
    <x v="1"/>
    <n v="4.9943214942318535E-2"/>
    <s v="Poush 78"/>
    <x v="4"/>
  </r>
  <r>
    <x v="10"/>
    <x v="1"/>
    <n v="5.2042543742629926E-2"/>
    <s v="Poush 78"/>
    <x v="4"/>
  </r>
  <r>
    <x v="11"/>
    <x v="1"/>
    <n v="5.2747147843885789E-2"/>
    <s v="Poush 78"/>
    <x v="4"/>
  </r>
  <r>
    <x v="12"/>
    <x v="1"/>
    <n v="8.0585677217618577E-3"/>
    <s v="Poush 78"/>
    <x v="4"/>
  </r>
  <r>
    <x v="13"/>
    <x v="1"/>
    <n v="0"/>
    <s v="Poush 78"/>
    <x v="4"/>
  </r>
  <r>
    <x v="14"/>
    <x v="1"/>
    <n v="0"/>
    <s v="Poush 78"/>
    <x v="4"/>
  </r>
  <r>
    <x v="15"/>
    <x v="1"/>
    <n v="2.9274801884688503E-2"/>
    <s v="Poush 78"/>
    <x v="4"/>
  </r>
  <r>
    <x v="16"/>
    <x v="1"/>
    <n v="0"/>
    <s v="Poush 78"/>
    <x v="4"/>
  </r>
  <r>
    <x v="17"/>
    <x v="1"/>
    <n v="9.7077293811186696E-3"/>
    <s v="Poush 78"/>
    <x v="4"/>
  </r>
  <r>
    <x v="18"/>
    <x v="1"/>
    <n v="0"/>
    <s v="Poush 78"/>
    <x v="4"/>
  </r>
  <r>
    <x v="19"/>
    <x v="1"/>
    <n v="0"/>
    <s v="Poush 78"/>
    <x v="4"/>
  </r>
  <r>
    <x v="20"/>
    <x v="1"/>
    <n v="0"/>
    <s v="Poush 78"/>
    <x v="4"/>
  </r>
  <r>
    <x v="21"/>
    <x v="1"/>
    <n v="0"/>
    <s v="Poush 78"/>
    <x v="4"/>
  </r>
  <r>
    <x v="22"/>
    <x v="1"/>
    <n v="0"/>
    <s v="Poush 78"/>
    <x v="4"/>
  </r>
  <r>
    <x v="23"/>
    <x v="1"/>
    <n v="0"/>
    <s v="Poush 78"/>
    <x v="4"/>
  </r>
  <r>
    <x v="24"/>
    <x v="1"/>
    <n v="0"/>
    <s v="Poush 78"/>
    <x v="4"/>
  </r>
  <r>
    <x v="25"/>
    <x v="1"/>
    <n v="0"/>
    <s v="Poush 78"/>
    <x v="4"/>
  </r>
  <r>
    <x v="26"/>
    <x v="1"/>
    <n v="0"/>
    <s v="Poush 78"/>
    <x v="4"/>
  </r>
  <r>
    <x v="27"/>
    <x v="1"/>
    <n v="0"/>
    <s v="Poush 78"/>
    <x v="4"/>
  </r>
  <r>
    <x v="0"/>
    <x v="0"/>
    <n v="1.9760377067548792E-2"/>
    <s v="Ashoj 78"/>
    <x v="4"/>
  </r>
  <r>
    <x v="1"/>
    <x v="0"/>
    <n v="0"/>
    <s v="Ashoj 78"/>
    <x v="4"/>
  </r>
  <r>
    <x v="2"/>
    <x v="0"/>
    <n v="0"/>
    <s v="Ashoj 78"/>
    <x v="4"/>
  </r>
  <r>
    <x v="3"/>
    <x v="0"/>
    <n v="0.11609070608799857"/>
    <s v="Ashoj 78"/>
    <x v="4"/>
  </r>
  <r>
    <x v="4"/>
    <x v="0"/>
    <n v="0.12414486149460957"/>
    <s v="Ashoj 78"/>
    <x v="4"/>
  </r>
  <r>
    <x v="5"/>
    <x v="0"/>
    <n v="0.3361288775246134"/>
    <s v="Ashoj 78"/>
    <x v="4"/>
  </r>
  <r>
    <x v="6"/>
    <x v="0"/>
    <n v="0.1222352457976764"/>
    <s v="Ashoj 78"/>
    <x v="4"/>
  </r>
  <r>
    <x v="7"/>
    <x v="0"/>
    <n v="0"/>
    <s v="Ashoj 78"/>
    <x v="4"/>
  </r>
  <r>
    <x v="8"/>
    <x v="0"/>
    <n v="0.43823215515940117"/>
    <s v="Ashoj 78"/>
    <x v="4"/>
  </r>
  <r>
    <x v="9"/>
    <x v="0"/>
    <n v="3.4917074215836008E-2"/>
    <s v="Ashoj 78"/>
    <x v="4"/>
  </r>
  <r>
    <x v="10"/>
    <x v="0"/>
    <n v="3.2070569583022956E-2"/>
    <s v="Ashoj 78"/>
    <x v="4"/>
  </r>
  <r>
    <x v="11"/>
    <x v="0"/>
    <n v="0.29064097242593034"/>
    <s v="Ashoj 78"/>
    <x v="4"/>
  </r>
  <r>
    <x v="12"/>
    <x v="0"/>
    <n v="0.22612373334896574"/>
    <s v="Ashoj 78"/>
    <x v="4"/>
  </r>
  <r>
    <x v="13"/>
    <x v="0"/>
    <n v="0"/>
    <s v="Ashoj 78"/>
    <x v="4"/>
  </r>
  <r>
    <x v="14"/>
    <x v="0"/>
    <n v="0"/>
    <s v="Ashoj 78"/>
    <x v="4"/>
  </r>
  <r>
    <x v="15"/>
    <x v="0"/>
    <n v="0.26435363713476151"/>
    <s v="Ashoj 78"/>
    <x v="4"/>
  </r>
  <r>
    <x v="16"/>
    <x v="0"/>
    <n v="0"/>
    <s v="Ashoj 78"/>
    <x v="4"/>
  </r>
  <r>
    <x v="17"/>
    <x v="0"/>
    <n v="0.18267464989432974"/>
    <s v="Ashoj 78"/>
    <x v="4"/>
  </r>
  <r>
    <x v="18"/>
    <x v="0"/>
    <n v="0"/>
    <s v="Ashoj 78"/>
    <x v="4"/>
  </r>
  <r>
    <x v="19"/>
    <x v="0"/>
    <n v="0"/>
    <s v="Ashoj 78"/>
    <x v="4"/>
  </r>
  <r>
    <x v="20"/>
    <x v="0"/>
    <n v="0.73837070835614893"/>
    <s v="Ashoj 78"/>
    <x v="4"/>
  </r>
  <r>
    <x v="21"/>
    <x v="0"/>
    <n v="0"/>
    <s v="Ashoj 78"/>
    <x v="4"/>
  </r>
  <r>
    <x v="22"/>
    <x v="0"/>
    <n v="0"/>
    <s v="Ashoj 78"/>
    <x v="4"/>
  </r>
  <r>
    <x v="23"/>
    <x v="0"/>
    <n v="0"/>
    <s v="Ashoj 78"/>
    <x v="4"/>
  </r>
  <r>
    <x v="24"/>
    <x v="0"/>
    <n v="1"/>
    <s v="Ashoj 78"/>
    <x v="4"/>
  </r>
  <r>
    <x v="25"/>
    <x v="0"/>
    <n v="0"/>
    <s v="Ashoj 78"/>
    <x v="4"/>
  </r>
  <r>
    <x v="26"/>
    <x v="0"/>
    <n v="0"/>
    <s v="Ashoj 78"/>
    <x v="4"/>
  </r>
  <r>
    <x v="27"/>
    <x v="0"/>
    <n v="0"/>
    <s v="Ashoj 78"/>
    <x v="4"/>
  </r>
  <r>
    <x v="0"/>
    <x v="1"/>
    <n v="0"/>
    <s v="Ashoj 78"/>
    <x v="4"/>
  </r>
  <r>
    <x v="1"/>
    <x v="1"/>
    <n v="0"/>
    <s v="Ashoj 78"/>
    <x v="4"/>
  </r>
  <r>
    <x v="2"/>
    <x v="1"/>
    <n v="0"/>
    <s v="Ashoj 78"/>
    <x v="4"/>
  </r>
  <r>
    <x v="3"/>
    <x v="1"/>
    <n v="0.24266827844940075"/>
    <s v="Ashoj 78"/>
    <x v="4"/>
  </r>
  <r>
    <x v="4"/>
    <x v="1"/>
    <n v="0.24902259568295013"/>
    <s v="Ashoj 78"/>
    <x v="4"/>
  </r>
  <r>
    <x v="5"/>
    <x v="1"/>
    <n v="0.58324337203041898"/>
    <s v="Ashoj 78"/>
    <x v="4"/>
  </r>
  <r>
    <x v="6"/>
    <x v="1"/>
    <n v="0"/>
    <s v="Ashoj 78"/>
    <x v="4"/>
  </r>
  <r>
    <x v="7"/>
    <x v="1"/>
    <n v="0"/>
    <s v="Ashoj 78"/>
    <x v="4"/>
  </r>
  <r>
    <x v="8"/>
    <x v="1"/>
    <n v="0.64329120656464311"/>
    <s v="Ashoj 78"/>
    <x v="4"/>
  </r>
  <r>
    <x v="9"/>
    <x v="1"/>
    <n v="0.68643779417166417"/>
    <s v="Ashoj 78"/>
    <x v="4"/>
  </r>
  <r>
    <x v="10"/>
    <x v="1"/>
    <n v="0"/>
    <s v="Ashoj 78"/>
    <x v="4"/>
  </r>
  <r>
    <x v="11"/>
    <x v="1"/>
    <n v="0.56214701169252046"/>
    <s v="Ashoj 78"/>
    <x v="4"/>
  </r>
  <r>
    <x v="12"/>
    <x v="1"/>
    <n v="0.58608988514381"/>
    <s v="Ashoj 78"/>
    <x v="4"/>
  </r>
  <r>
    <x v="13"/>
    <x v="1"/>
    <n v="0"/>
    <s v="Ashoj 78"/>
    <x v="4"/>
  </r>
  <r>
    <x v="14"/>
    <x v="1"/>
    <n v="0"/>
    <s v="Ashoj 78"/>
    <x v="4"/>
  </r>
  <r>
    <x v="15"/>
    <x v="1"/>
    <n v="0.35980327992895861"/>
    <s v="Ashoj 78"/>
    <x v="4"/>
  </r>
  <r>
    <x v="16"/>
    <x v="1"/>
    <n v="0"/>
    <s v="Ashoj 78"/>
    <x v="4"/>
  </r>
  <r>
    <x v="17"/>
    <x v="1"/>
    <n v="0.25550179182229482"/>
    <s v="Ashoj 78"/>
    <x v="4"/>
  </r>
  <r>
    <x v="18"/>
    <x v="1"/>
    <n v="0"/>
    <s v="Ashoj 78"/>
    <x v="4"/>
  </r>
  <r>
    <x v="19"/>
    <x v="1"/>
    <n v="0"/>
    <s v="Ashoj 78"/>
    <x v="4"/>
  </r>
  <r>
    <x v="20"/>
    <x v="1"/>
    <n v="0"/>
    <s v="Ashoj 78"/>
    <x v="4"/>
  </r>
  <r>
    <x v="21"/>
    <x v="1"/>
    <n v="0"/>
    <s v="Ashoj 78"/>
    <x v="4"/>
  </r>
  <r>
    <x v="22"/>
    <x v="1"/>
    <n v="0"/>
    <s v="Ashoj 78"/>
    <x v="4"/>
  </r>
  <r>
    <x v="23"/>
    <x v="1"/>
    <n v="0"/>
    <s v="Ashoj 78"/>
    <x v="4"/>
  </r>
  <r>
    <x v="24"/>
    <x v="1"/>
    <n v="0"/>
    <s v="Ashoj 78"/>
    <x v="4"/>
  </r>
  <r>
    <x v="25"/>
    <x v="1"/>
    <n v="0"/>
    <s v="Ashoj 78"/>
    <x v="4"/>
  </r>
  <r>
    <x v="26"/>
    <x v="1"/>
    <n v="0"/>
    <s v="Ashoj 78"/>
    <x v="4"/>
  </r>
  <r>
    <x v="27"/>
    <x v="1"/>
    <n v="0"/>
    <s v="Ashoj 78"/>
    <x v="4"/>
  </r>
  <r>
    <x v="0"/>
    <x v="0"/>
    <n v="0"/>
    <s v="Asadh 78"/>
    <x v="4"/>
  </r>
  <r>
    <x v="1"/>
    <x v="0"/>
    <n v="0"/>
    <s v="Asadh 78"/>
    <x v="4"/>
  </r>
  <r>
    <x v="2"/>
    <x v="0"/>
    <n v="0"/>
    <s v="Asadh 78"/>
    <x v="4"/>
  </r>
  <r>
    <x v="3"/>
    <x v="0"/>
    <n v="8.2115471418034908E-2"/>
    <s v="Asadh 78"/>
    <x v="4"/>
  </r>
  <r>
    <x v="4"/>
    <x v="0"/>
    <n v="5.8465577468117154E-2"/>
    <s v="Asadh 78"/>
    <x v="4"/>
  </r>
  <r>
    <x v="5"/>
    <x v="0"/>
    <n v="0.13154166398605616"/>
    <s v="Asadh 78"/>
    <x v="4"/>
  </r>
  <r>
    <x v="6"/>
    <x v="0"/>
    <n v="0.19545144953241403"/>
    <s v="Asadh 78"/>
    <x v="4"/>
  </r>
  <r>
    <x v="7"/>
    <x v="0"/>
    <n v="0"/>
    <s v="Asadh 78"/>
    <x v="4"/>
  </r>
  <r>
    <x v="8"/>
    <x v="0"/>
    <n v="0.37713561751520697"/>
    <s v="Asadh 78"/>
    <x v="4"/>
  </r>
  <r>
    <x v="9"/>
    <x v="0"/>
    <n v="3.7359120211697884E-2"/>
    <s v="Asadh 78"/>
    <x v="4"/>
  </r>
  <r>
    <x v="10"/>
    <x v="0"/>
    <n v="0"/>
    <s v="Asadh 78"/>
    <x v="4"/>
  </r>
  <r>
    <x v="11"/>
    <x v="0"/>
    <n v="8.7557871540043727E-2"/>
    <s v="Asadh 78"/>
    <x v="4"/>
  </r>
  <r>
    <x v="12"/>
    <x v="0"/>
    <n v="0.10514814217995466"/>
    <s v="Asadh 78"/>
    <x v="4"/>
  </r>
  <r>
    <x v="13"/>
    <x v="0"/>
    <n v="0"/>
    <s v="Asadh 78"/>
    <x v="4"/>
  </r>
  <r>
    <x v="14"/>
    <x v="0"/>
    <n v="0"/>
    <s v="Asadh 78"/>
    <x v="4"/>
  </r>
  <r>
    <x v="15"/>
    <x v="0"/>
    <n v="0.30260697661094627"/>
    <s v="Asadh 78"/>
    <x v="4"/>
  </r>
  <r>
    <x v="16"/>
    <x v="0"/>
    <n v="0"/>
    <s v="Asadh 78"/>
    <x v="4"/>
  </r>
  <r>
    <x v="17"/>
    <x v="0"/>
    <n v="6.4849134416083365E-2"/>
    <s v="Asadh 78"/>
    <x v="4"/>
  </r>
  <r>
    <x v="18"/>
    <x v="0"/>
    <n v="0"/>
    <s v="Asadh 78"/>
    <x v="4"/>
  </r>
  <r>
    <x v="19"/>
    <x v="0"/>
    <n v="0"/>
    <s v="Asadh 78"/>
    <x v="4"/>
  </r>
  <r>
    <x v="20"/>
    <x v="0"/>
    <n v="0"/>
    <s v="Asadh 78"/>
    <x v="4"/>
  </r>
  <r>
    <x v="21"/>
    <x v="0"/>
    <n v="4.072983535735248E-2"/>
    <s v="Asadh 78"/>
    <x v="4"/>
  </r>
  <r>
    <x v="22"/>
    <x v="0"/>
    <n v="0"/>
    <s v="Asadh 78"/>
    <x v="4"/>
  </r>
  <r>
    <x v="23"/>
    <x v="0"/>
    <n v="0"/>
    <s v="Asadh 78"/>
    <x v="4"/>
  </r>
  <r>
    <x v="24"/>
    <x v="0"/>
    <n v="1.2305193086419752E-2"/>
    <s v="Asadh 78"/>
    <x v="4"/>
  </r>
  <r>
    <x v="25"/>
    <x v="0"/>
    <n v="0"/>
    <s v="Asadh 78"/>
    <x v="4"/>
  </r>
  <r>
    <x v="26"/>
    <x v="0"/>
    <n v="0"/>
    <s v="Asadh 78"/>
    <x v="4"/>
  </r>
  <r>
    <x v="27"/>
    <x v="0"/>
    <n v="0"/>
    <s v="Asadh 78"/>
    <x v="4"/>
  </r>
  <r>
    <x v="0"/>
    <x v="1"/>
    <n v="0"/>
    <s v="Asadh 78"/>
    <x v="4"/>
  </r>
  <r>
    <x v="1"/>
    <x v="1"/>
    <n v="0"/>
    <s v="Asadh 78"/>
    <x v="4"/>
  </r>
  <r>
    <x v="2"/>
    <x v="1"/>
    <n v="0"/>
    <s v="Asadh 78"/>
    <x v="4"/>
  </r>
  <r>
    <x v="3"/>
    <x v="1"/>
    <n v="0.18144463949916811"/>
    <s v="Asadh 78"/>
    <x v="4"/>
  </r>
  <r>
    <x v="4"/>
    <x v="1"/>
    <n v="0.17619956346084034"/>
    <s v="Asadh 78"/>
    <x v="4"/>
  </r>
  <r>
    <x v="5"/>
    <x v="1"/>
    <n v="0.18110230329119989"/>
    <s v="Asadh 78"/>
    <x v="4"/>
  </r>
  <r>
    <x v="6"/>
    <x v="1"/>
    <n v="0.19380325564818116"/>
    <s v="Asadh 78"/>
    <x v="4"/>
  </r>
  <r>
    <x v="7"/>
    <x v="1"/>
    <n v="0"/>
    <s v="Asadh 78"/>
    <x v="4"/>
  </r>
  <r>
    <x v="8"/>
    <x v="1"/>
    <n v="0.70625640686497093"/>
    <s v="Asadh 78"/>
    <x v="4"/>
  </r>
  <r>
    <x v="9"/>
    <x v="1"/>
    <n v="6.8160690694082704E-2"/>
    <s v="Asadh 78"/>
    <x v="4"/>
  </r>
  <r>
    <x v="10"/>
    <x v="1"/>
    <n v="1.0494834061131674E-2"/>
    <s v="Asadh 78"/>
    <x v="4"/>
  </r>
  <r>
    <x v="11"/>
    <x v="1"/>
    <n v="0.1068340986290294"/>
    <s v="Asadh 78"/>
    <x v="4"/>
  </r>
  <r>
    <x v="12"/>
    <x v="1"/>
    <n v="0.37419049633788598"/>
    <s v="Asadh 78"/>
    <x v="4"/>
  </r>
  <r>
    <x v="13"/>
    <x v="1"/>
    <n v="0"/>
    <s v="Asadh 78"/>
    <x v="4"/>
  </r>
  <r>
    <x v="14"/>
    <x v="1"/>
    <n v="0"/>
    <s v="Asadh 78"/>
    <x v="4"/>
  </r>
  <r>
    <x v="15"/>
    <x v="1"/>
    <n v="0.42736011955877257"/>
    <s v="Asadh 78"/>
    <x v="4"/>
  </r>
  <r>
    <x v="16"/>
    <x v="1"/>
    <n v="0"/>
    <s v="Asadh 78"/>
    <x v="4"/>
  </r>
  <r>
    <x v="17"/>
    <x v="1"/>
    <n v="0.19173592967382574"/>
    <s v="Asadh 78"/>
    <x v="4"/>
  </r>
  <r>
    <x v="18"/>
    <x v="1"/>
    <n v="0"/>
    <s v="Asadh 78"/>
    <x v="4"/>
  </r>
  <r>
    <x v="19"/>
    <x v="1"/>
    <n v="0"/>
    <s v="Asadh 78"/>
    <x v="4"/>
  </r>
  <r>
    <x v="20"/>
    <x v="1"/>
    <n v="1"/>
    <s v="Asadh 78"/>
    <x v="4"/>
  </r>
  <r>
    <x v="21"/>
    <x v="1"/>
    <n v="0"/>
    <s v="Asadh 78"/>
    <x v="4"/>
  </r>
  <r>
    <x v="22"/>
    <x v="1"/>
    <n v="0"/>
    <s v="Asadh 78"/>
    <x v="4"/>
  </r>
  <r>
    <x v="23"/>
    <x v="1"/>
    <n v="0"/>
    <s v="Asadh 78"/>
    <x v="4"/>
  </r>
  <r>
    <x v="24"/>
    <x v="1"/>
    <n v="0"/>
    <s v="Asadh 78"/>
    <x v="4"/>
  </r>
  <r>
    <x v="25"/>
    <x v="1"/>
    <n v="0"/>
    <s v="Asadh 78"/>
    <x v="4"/>
  </r>
  <r>
    <x v="26"/>
    <x v="1"/>
    <n v="0"/>
    <s v="Asadh 78"/>
    <x v="4"/>
  </r>
  <r>
    <x v="27"/>
    <x v="1"/>
    <n v="0"/>
    <s v="Asadh 78"/>
    <x v="4"/>
  </r>
  <r>
    <x v="0"/>
    <x v="0"/>
    <n v="0"/>
    <s v="Chaitra 77"/>
    <x v="4"/>
  </r>
  <r>
    <x v="1"/>
    <x v="0"/>
    <n v="0"/>
    <s v="Chaitra 77"/>
    <x v="4"/>
  </r>
  <r>
    <x v="2"/>
    <x v="0"/>
    <n v="0"/>
    <s v="Chaitra 77"/>
    <x v="4"/>
  </r>
  <r>
    <x v="3"/>
    <x v="0"/>
    <n v="3.5595709363847441E-2"/>
    <s v="Chaitra 77"/>
    <x v="4"/>
  </r>
  <r>
    <x v="4"/>
    <x v="0"/>
    <n v="4.1573251817567956E-2"/>
    <s v="Chaitra 77"/>
    <x v="4"/>
  </r>
  <r>
    <x v="5"/>
    <x v="0"/>
    <n v="5.6606238733316536E-2"/>
    <s v="Chaitra 77"/>
    <x v="4"/>
  </r>
  <r>
    <x v="6"/>
    <x v="0"/>
    <n v="0"/>
    <s v="Chaitra 77"/>
    <x v="4"/>
  </r>
  <r>
    <x v="7"/>
    <x v="0"/>
    <n v="0"/>
    <s v="Chaitra 77"/>
    <x v="4"/>
  </r>
  <r>
    <x v="8"/>
    <x v="0"/>
    <n v="0.33676884791168549"/>
    <s v="Chaitra 77"/>
    <x v="4"/>
  </r>
  <r>
    <x v="9"/>
    <x v="0"/>
    <n v="3.4419665421563564E-2"/>
    <s v="Chaitra 77"/>
    <x v="4"/>
  </r>
  <r>
    <x v="10"/>
    <x v="0"/>
    <n v="0.60815618403291949"/>
    <s v="Chaitra 77"/>
    <x v="4"/>
  </r>
  <r>
    <x v="11"/>
    <x v="0"/>
    <n v="0"/>
    <s v="Chaitra 77"/>
    <x v="4"/>
  </r>
  <r>
    <x v="12"/>
    <x v="0"/>
    <n v="0"/>
    <s v="Chaitra 77"/>
    <x v="4"/>
  </r>
  <r>
    <x v="13"/>
    <x v="0"/>
    <n v="0"/>
    <s v="Chaitra 77"/>
    <x v="4"/>
  </r>
  <r>
    <x v="14"/>
    <x v="0"/>
    <n v="0"/>
    <s v="Chaitra 77"/>
    <x v="4"/>
  </r>
  <r>
    <x v="15"/>
    <x v="0"/>
    <n v="1.8501487409931461E-2"/>
    <s v="Chaitra 77"/>
    <x v="4"/>
  </r>
  <r>
    <x v="16"/>
    <x v="0"/>
    <n v="0"/>
    <s v="Chaitra 77"/>
    <x v="4"/>
  </r>
  <r>
    <x v="17"/>
    <x v="0"/>
    <n v="6.1660851752168663E-2"/>
    <s v="Chaitra 77"/>
    <x v="4"/>
  </r>
  <r>
    <x v="18"/>
    <x v="0"/>
    <n v="0"/>
    <s v="Chaitra 77"/>
    <x v="4"/>
  </r>
  <r>
    <x v="19"/>
    <x v="0"/>
    <n v="0"/>
    <s v="Chaitra 77"/>
    <x v="4"/>
  </r>
  <r>
    <x v="20"/>
    <x v="0"/>
    <n v="0.11316596489692332"/>
    <s v="Chaitra 77"/>
    <x v="4"/>
  </r>
  <r>
    <x v="21"/>
    <x v="0"/>
    <n v="0"/>
    <s v="Chaitra 77"/>
    <x v="4"/>
  </r>
  <r>
    <x v="22"/>
    <x v="0"/>
    <n v="0"/>
    <s v="Chaitra 77"/>
    <x v="4"/>
  </r>
  <r>
    <x v="23"/>
    <x v="0"/>
    <n v="0"/>
    <s v="Chaitra 77"/>
    <x v="4"/>
  </r>
  <r>
    <x v="24"/>
    <x v="0"/>
    <n v="0"/>
    <s v="Chaitra 77"/>
    <x v="4"/>
  </r>
  <r>
    <x v="25"/>
    <x v="0"/>
    <n v="0"/>
    <s v="Chaitra 77"/>
    <x v="4"/>
  </r>
  <r>
    <x v="26"/>
    <x v="0"/>
    <n v="0"/>
    <s v="Chaitra 77"/>
    <x v="4"/>
  </r>
  <r>
    <x v="27"/>
    <x v="0"/>
    <n v="0"/>
    <s v="Chaitra 77"/>
    <x v="4"/>
  </r>
  <r>
    <x v="0"/>
    <x v="1"/>
    <n v="0"/>
    <s v="Chaitra 77"/>
    <x v="4"/>
  </r>
  <r>
    <x v="1"/>
    <x v="1"/>
    <n v="0"/>
    <s v="Chaitra 77"/>
    <x v="4"/>
  </r>
  <r>
    <x v="2"/>
    <x v="1"/>
    <n v="0"/>
    <s v="Chaitra 77"/>
    <x v="4"/>
  </r>
  <r>
    <x v="3"/>
    <x v="1"/>
    <n v="6.3690298745467555E-2"/>
    <s v="Chaitra 77"/>
    <x v="4"/>
  </r>
  <r>
    <x v="4"/>
    <x v="1"/>
    <n v="7.3761936158340827E-2"/>
    <s v="Chaitra 77"/>
    <x v="4"/>
  </r>
  <r>
    <x v="5"/>
    <x v="1"/>
    <n v="0.11315946032789265"/>
    <s v="Chaitra 77"/>
    <x v="4"/>
  </r>
  <r>
    <x v="6"/>
    <x v="1"/>
    <n v="0"/>
    <s v="Chaitra 77"/>
    <x v="4"/>
  </r>
  <r>
    <x v="7"/>
    <x v="1"/>
    <n v="0"/>
    <s v="Chaitra 77"/>
    <x v="4"/>
  </r>
  <r>
    <x v="8"/>
    <x v="1"/>
    <n v="0.37428674142940799"/>
    <s v="Chaitra 77"/>
    <x v="4"/>
  </r>
  <r>
    <x v="9"/>
    <x v="1"/>
    <n v="0.10518184213179138"/>
    <s v="Chaitra 77"/>
    <x v="4"/>
  </r>
  <r>
    <x v="10"/>
    <x v="1"/>
    <n v="1"/>
    <s v="Chaitra 77"/>
    <x v="4"/>
  </r>
  <r>
    <x v="11"/>
    <x v="1"/>
    <n v="0"/>
    <s v="Chaitra 77"/>
    <x v="4"/>
  </r>
  <r>
    <x v="12"/>
    <x v="1"/>
    <n v="0"/>
    <s v="Chaitra 77"/>
    <x v="4"/>
  </r>
  <r>
    <x v="13"/>
    <x v="1"/>
    <n v="0"/>
    <s v="Chaitra 77"/>
    <x v="4"/>
  </r>
  <r>
    <x v="14"/>
    <x v="1"/>
    <n v="0"/>
    <s v="Chaitra 77"/>
    <x v="4"/>
  </r>
  <r>
    <x v="15"/>
    <x v="1"/>
    <n v="1.5859813746793655E-2"/>
    <s v="Chaitra 77"/>
    <x v="4"/>
  </r>
  <r>
    <x v="16"/>
    <x v="1"/>
    <n v="0"/>
    <s v="Chaitra 77"/>
    <x v="4"/>
  </r>
  <r>
    <x v="17"/>
    <x v="1"/>
    <n v="0.1073355647677755"/>
    <s v="Chaitra 77"/>
    <x v="4"/>
  </r>
  <r>
    <x v="18"/>
    <x v="1"/>
    <n v="0"/>
    <s v="Chaitra 77"/>
    <x v="4"/>
  </r>
  <r>
    <x v="19"/>
    <x v="1"/>
    <n v="0"/>
    <s v="Chaitra 77"/>
    <x v="4"/>
  </r>
  <r>
    <x v="20"/>
    <x v="1"/>
    <n v="0"/>
    <s v="Chaitra 77"/>
    <x v="4"/>
  </r>
  <r>
    <x v="21"/>
    <x v="1"/>
    <n v="0"/>
    <s v="Chaitra 77"/>
    <x v="4"/>
  </r>
  <r>
    <x v="22"/>
    <x v="1"/>
    <n v="0"/>
    <s v="Chaitra 77"/>
    <x v="4"/>
  </r>
  <r>
    <x v="23"/>
    <x v="1"/>
    <n v="0"/>
    <s v="Chaitra 77"/>
    <x v="4"/>
  </r>
  <r>
    <x v="24"/>
    <x v="1"/>
    <n v="0"/>
    <s v="Chaitra 77"/>
    <x v="4"/>
  </r>
  <r>
    <x v="25"/>
    <x v="1"/>
    <n v="0"/>
    <s v="Chaitra 77"/>
    <x v="4"/>
  </r>
  <r>
    <x v="26"/>
    <x v="1"/>
    <n v="0"/>
    <s v="Chaitra 77"/>
    <x v="4"/>
  </r>
  <r>
    <x v="27"/>
    <x v="1"/>
    <n v="0"/>
    <s v="Chaitra 77"/>
    <x v="4"/>
  </r>
  <r>
    <x v="0"/>
    <x v="0"/>
    <n v="0"/>
    <s v="Poush 77"/>
    <x v="5"/>
  </r>
  <r>
    <x v="1"/>
    <x v="0"/>
    <n v="0"/>
    <s v="Poush 77"/>
    <x v="5"/>
  </r>
  <r>
    <x v="2"/>
    <x v="0"/>
    <n v="0"/>
    <s v="Poush 77"/>
    <x v="5"/>
  </r>
  <r>
    <x v="3"/>
    <x v="0"/>
    <n v="1.7885411056569177E-2"/>
    <s v="Poush 77"/>
    <x v="5"/>
  </r>
  <r>
    <x v="4"/>
    <x v="0"/>
    <n v="3.1824090906875581E-2"/>
    <s v="Poush 77"/>
    <x v="5"/>
  </r>
  <r>
    <x v="5"/>
    <x v="0"/>
    <n v="3.4008724246098E-2"/>
    <s v="Poush 77"/>
    <x v="5"/>
  </r>
  <r>
    <x v="6"/>
    <x v="0"/>
    <n v="0"/>
    <s v="Poush 77"/>
    <x v="5"/>
  </r>
  <r>
    <x v="7"/>
    <x v="0"/>
    <n v="0"/>
    <s v="Poush 77"/>
    <x v="5"/>
  </r>
  <r>
    <x v="8"/>
    <x v="0"/>
    <n v="1.5804606833484568E-2"/>
    <s v="Poush 77"/>
    <x v="5"/>
  </r>
  <r>
    <x v="9"/>
    <x v="0"/>
    <n v="9.4247026652508406E-4"/>
    <s v="Poush 77"/>
    <x v="5"/>
  </r>
  <r>
    <x v="10"/>
    <x v="0"/>
    <n v="0"/>
    <s v="Poush 77"/>
    <x v="5"/>
  </r>
  <r>
    <x v="11"/>
    <x v="0"/>
    <n v="1.6983954370702423E-2"/>
    <s v="Poush 77"/>
    <x v="5"/>
  </r>
  <r>
    <x v="12"/>
    <x v="0"/>
    <n v="2.3707386068005216E-2"/>
    <s v="Poush 77"/>
    <x v="5"/>
  </r>
  <r>
    <x v="13"/>
    <x v="0"/>
    <n v="0"/>
    <s v="Poush 77"/>
    <x v="5"/>
  </r>
  <r>
    <x v="14"/>
    <x v="0"/>
    <n v="0"/>
    <s v="Poush 77"/>
    <x v="5"/>
  </r>
  <r>
    <x v="15"/>
    <x v="0"/>
    <n v="9.2049408202809699E-3"/>
    <s v="Poush 77"/>
    <x v="5"/>
  </r>
  <r>
    <x v="16"/>
    <x v="0"/>
    <n v="0"/>
    <s v="Poush 77"/>
    <x v="5"/>
  </r>
  <r>
    <x v="17"/>
    <x v="0"/>
    <n v="2.3322060757486718E-2"/>
    <s v="Poush 77"/>
    <x v="5"/>
  </r>
  <r>
    <x v="18"/>
    <x v="0"/>
    <n v="0"/>
    <s v="Poush 77"/>
    <x v="5"/>
  </r>
  <r>
    <x v="19"/>
    <x v="0"/>
    <n v="0"/>
    <s v="Poush 77"/>
    <x v="5"/>
  </r>
  <r>
    <x v="20"/>
    <x v="0"/>
    <n v="0"/>
    <s v="Poush 77"/>
    <x v="5"/>
  </r>
  <r>
    <x v="21"/>
    <x v="0"/>
    <n v="0"/>
    <s v="Poush 77"/>
    <x v="5"/>
  </r>
  <r>
    <x v="22"/>
    <x v="0"/>
    <n v="0"/>
    <s v="Poush 77"/>
    <x v="5"/>
  </r>
  <r>
    <x v="23"/>
    <x v="0"/>
    <n v="0"/>
    <s v="Poush 77"/>
    <x v="5"/>
  </r>
  <r>
    <x v="24"/>
    <x v="0"/>
    <n v="0"/>
    <s v="Poush 77"/>
    <x v="5"/>
  </r>
  <r>
    <x v="25"/>
    <x v="0"/>
    <n v="0.3013511228620247"/>
    <s v="Poush 77"/>
    <x v="5"/>
  </r>
  <r>
    <x v="26"/>
    <x v="0"/>
    <n v="0"/>
    <s v="Poush 77"/>
    <x v="5"/>
  </r>
  <r>
    <x v="27"/>
    <x v="0"/>
    <n v="0"/>
    <s v="Poush 77"/>
    <x v="5"/>
  </r>
  <r>
    <x v="0"/>
    <x v="1"/>
    <n v="0"/>
    <s v="Poush 77"/>
    <x v="5"/>
  </r>
  <r>
    <x v="1"/>
    <x v="1"/>
    <n v="0"/>
    <s v="Poush 77"/>
    <x v="5"/>
  </r>
  <r>
    <x v="2"/>
    <x v="1"/>
    <n v="0"/>
    <s v="Poush 77"/>
    <x v="5"/>
  </r>
  <r>
    <x v="3"/>
    <x v="1"/>
    <n v="5.3354586021527997E-2"/>
    <s v="Poush 77"/>
    <x v="5"/>
  </r>
  <r>
    <x v="4"/>
    <x v="1"/>
    <n v="7.6917488612856369E-2"/>
    <s v="Poush 77"/>
    <x v="5"/>
  </r>
  <r>
    <x v="5"/>
    <x v="1"/>
    <n v="5.1820449109062916E-2"/>
    <s v="Poush 77"/>
    <x v="5"/>
  </r>
  <r>
    <x v="6"/>
    <x v="1"/>
    <n v="0"/>
    <s v="Poush 77"/>
    <x v="5"/>
  </r>
  <r>
    <x v="7"/>
    <x v="1"/>
    <n v="0"/>
    <s v="Poush 77"/>
    <x v="5"/>
  </r>
  <r>
    <x v="8"/>
    <x v="1"/>
    <n v="2.0330410718750434E-2"/>
    <s v="Poush 77"/>
    <x v="5"/>
  </r>
  <r>
    <x v="9"/>
    <x v="1"/>
    <n v="2.2455480748681835E-2"/>
    <s v="Poush 77"/>
    <x v="5"/>
  </r>
  <r>
    <x v="10"/>
    <x v="1"/>
    <n v="0"/>
    <s v="Poush 77"/>
    <x v="5"/>
  </r>
  <r>
    <x v="11"/>
    <x v="1"/>
    <n v="4.1436462569548832E-2"/>
    <s v="Poush 77"/>
    <x v="5"/>
  </r>
  <r>
    <x v="12"/>
    <x v="1"/>
    <n v="7.9266714356068635E-2"/>
    <s v="Poush 77"/>
    <x v="5"/>
  </r>
  <r>
    <x v="13"/>
    <x v="1"/>
    <n v="0"/>
    <s v="Poush 77"/>
    <x v="5"/>
  </r>
  <r>
    <x v="14"/>
    <x v="1"/>
    <n v="0"/>
    <s v="Poush 77"/>
    <x v="5"/>
  </r>
  <r>
    <x v="15"/>
    <x v="1"/>
    <n v="1.2139374292566616E-2"/>
    <s v="Poush 77"/>
    <x v="5"/>
  </r>
  <r>
    <x v="16"/>
    <x v="1"/>
    <n v="0"/>
    <s v="Poush 77"/>
    <x v="5"/>
  </r>
  <r>
    <x v="17"/>
    <x v="1"/>
    <n v="4.127915642344019E-2"/>
    <s v="Poush 77"/>
    <x v="5"/>
  </r>
  <r>
    <x v="18"/>
    <x v="1"/>
    <n v="0"/>
    <s v="Poush 77"/>
    <x v="5"/>
  </r>
  <r>
    <x v="19"/>
    <x v="1"/>
    <n v="0"/>
    <s v="Poush 77"/>
    <x v="5"/>
  </r>
  <r>
    <x v="20"/>
    <x v="1"/>
    <n v="0"/>
    <s v="Poush 77"/>
    <x v="5"/>
  </r>
  <r>
    <x v="21"/>
    <x v="1"/>
    <n v="0"/>
    <s v="Poush 77"/>
    <x v="5"/>
  </r>
  <r>
    <x v="22"/>
    <x v="1"/>
    <n v="0"/>
    <s v="Poush 77"/>
    <x v="5"/>
  </r>
  <r>
    <x v="23"/>
    <x v="1"/>
    <n v="0"/>
    <s v="Poush 77"/>
    <x v="5"/>
  </r>
  <r>
    <x v="24"/>
    <x v="1"/>
    <n v="0"/>
    <s v="Poush 77"/>
    <x v="5"/>
  </r>
  <r>
    <x v="25"/>
    <x v="1"/>
    <n v="0"/>
    <s v="Poush 77"/>
    <x v="5"/>
  </r>
  <r>
    <x v="26"/>
    <x v="1"/>
    <n v="0"/>
    <s v="Poush 77"/>
    <x v="5"/>
  </r>
  <r>
    <x v="27"/>
    <x v="1"/>
    <n v="0"/>
    <s v="Poush 77"/>
    <x v="5"/>
  </r>
  <r>
    <x v="0"/>
    <x v="0"/>
    <n v="0"/>
    <s v="Asoj 77"/>
    <x v="5"/>
  </r>
  <r>
    <x v="1"/>
    <x v="0"/>
    <n v="0"/>
    <s v="Asoj 77"/>
    <x v="5"/>
  </r>
  <r>
    <x v="2"/>
    <x v="0"/>
    <n v="0"/>
    <s v="Asoj 77"/>
    <x v="5"/>
  </r>
  <r>
    <x v="3"/>
    <x v="0"/>
    <n v="0.47747342172791574"/>
    <s v="Asoj 77"/>
    <x v="5"/>
  </r>
  <r>
    <x v="4"/>
    <x v="0"/>
    <n v="0.17208005999213655"/>
    <s v="Asoj 77"/>
    <x v="5"/>
  </r>
  <r>
    <x v="5"/>
    <x v="0"/>
    <n v="0.30097255610051188"/>
    <s v="Asoj 77"/>
    <x v="5"/>
  </r>
  <r>
    <x v="6"/>
    <x v="0"/>
    <n v="9.3960825787847188E-2"/>
    <s v="Asoj 77"/>
    <x v="5"/>
  </r>
  <r>
    <x v="7"/>
    <x v="0"/>
    <n v="0"/>
    <s v="Asoj 77"/>
    <x v="5"/>
  </r>
  <r>
    <x v="8"/>
    <x v="0"/>
    <n v="0.53906736965852797"/>
    <s v="Asoj 77"/>
    <x v="5"/>
  </r>
  <r>
    <x v="9"/>
    <x v="0"/>
    <n v="7.9864611118053236E-2"/>
    <s v="Asoj 77"/>
    <x v="5"/>
  </r>
  <r>
    <x v="10"/>
    <x v="0"/>
    <n v="0.35643841883853261"/>
    <s v="Asoj 77"/>
    <x v="5"/>
  </r>
  <r>
    <x v="11"/>
    <x v="0"/>
    <n v="0.31385498244535753"/>
    <s v="Asoj 77"/>
    <x v="5"/>
  </r>
  <r>
    <x v="12"/>
    <x v="0"/>
    <n v="0.40205788687656341"/>
    <s v="Asoj 77"/>
    <x v="5"/>
  </r>
  <r>
    <x v="13"/>
    <x v="0"/>
    <n v="0"/>
    <s v="Asoj 77"/>
    <x v="5"/>
  </r>
  <r>
    <x v="14"/>
    <x v="0"/>
    <n v="0"/>
    <s v="Asoj 77"/>
    <x v="5"/>
  </r>
  <r>
    <x v="15"/>
    <x v="0"/>
    <n v="0.51300765817915139"/>
    <s v="Asoj 77"/>
    <x v="5"/>
  </r>
  <r>
    <x v="16"/>
    <x v="0"/>
    <n v="0"/>
    <s v="Asoj 77"/>
    <x v="5"/>
  </r>
  <r>
    <x v="17"/>
    <x v="0"/>
    <n v="9.2149033286611309E-2"/>
    <s v="Asoj 77"/>
    <x v="5"/>
  </r>
  <r>
    <x v="18"/>
    <x v="0"/>
    <n v="0"/>
    <s v="Asoj 77"/>
    <x v="5"/>
  </r>
  <r>
    <x v="19"/>
    <x v="0"/>
    <n v="0"/>
    <s v="Asoj 77"/>
    <x v="5"/>
  </r>
  <r>
    <x v="20"/>
    <x v="0"/>
    <n v="0"/>
    <s v="Asoj 77"/>
    <x v="5"/>
  </r>
  <r>
    <x v="21"/>
    <x v="0"/>
    <n v="0.13956100418262721"/>
    <s v="Asoj 77"/>
    <x v="5"/>
  </r>
  <r>
    <x v="22"/>
    <x v="0"/>
    <n v="0"/>
    <s v="Asoj 77"/>
    <x v="5"/>
  </r>
  <r>
    <x v="23"/>
    <x v="0"/>
    <n v="0"/>
    <s v="Asoj 77"/>
    <x v="5"/>
  </r>
  <r>
    <x v="24"/>
    <x v="0"/>
    <n v="0"/>
    <s v="Asoj 77"/>
    <x v="5"/>
  </r>
  <r>
    <x v="25"/>
    <x v="0"/>
    <n v="0.47517878121136203"/>
    <s v="Asoj 77"/>
    <x v="5"/>
  </r>
  <r>
    <x v="26"/>
    <x v="0"/>
    <n v="0"/>
    <s v="Asoj 77"/>
    <x v="5"/>
  </r>
  <r>
    <x v="27"/>
    <x v="0"/>
    <n v="0"/>
    <s v="Asoj 77"/>
    <x v="5"/>
  </r>
  <r>
    <x v="0"/>
    <x v="1"/>
    <n v="0"/>
    <s v="Asoj 77"/>
    <x v="5"/>
  </r>
  <r>
    <x v="1"/>
    <x v="1"/>
    <n v="0"/>
    <s v="Asoj 77"/>
    <x v="5"/>
  </r>
  <r>
    <x v="2"/>
    <x v="1"/>
    <n v="0"/>
    <s v="Asoj 77"/>
    <x v="5"/>
  </r>
  <r>
    <x v="3"/>
    <x v="1"/>
    <n v="0.61241443808767304"/>
    <s v="Asoj 77"/>
    <x v="5"/>
  </r>
  <r>
    <x v="4"/>
    <x v="1"/>
    <n v="0.17411310468669322"/>
    <s v="Asoj 77"/>
    <x v="5"/>
  </r>
  <r>
    <x v="5"/>
    <x v="1"/>
    <n v="0.44753293981273778"/>
    <s v="Asoj 77"/>
    <x v="5"/>
  </r>
  <r>
    <x v="6"/>
    <x v="1"/>
    <n v="0.9546233703507927"/>
    <s v="Asoj 77"/>
    <x v="5"/>
  </r>
  <r>
    <x v="7"/>
    <x v="1"/>
    <n v="0"/>
    <s v="Asoj 77"/>
    <x v="5"/>
  </r>
  <r>
    <x v="8"/>
    <x v="1"/>
    <n v="0.6775365647689926"/>
    <s v="Asoj 77"/>
    <x v="5"/>
  </r>
  <r>
    <x v="9"/>
    <x v="1"/>
    <n v="0.19840270684925537"/>
    <s v="Asoj 77"/>
    <x v="5"/>
  </r>
  <r>
    <x v="10"/>
    <x v="1"/>
    <n v="0.28309462116216844"/>
    <s v="Asoj 77"/>
    <x v="5"/>
  </r>
  <r>
    <x v="11"/>
    <x v="1"/>
    <n v="0.35041295782373894"/>
    <s v="Asoj 77"/>
    <x v="5"/>
  </r>
  <r>
    <x v="12"/>
    <x v="1"/>
    <n v="0.5134423855122735"/>
    <s v="Asoj 77"/>
    <x v="5"/>
  </r>
  <r>
    <x v="13"/>
    <x v="1"/>
    <n v="0"/>
    <s v="Asoj 77"/>
    <x v="5"/>
  </r>
  <r>
    <x v="14"/>
    <x v="1"/>
    <n v="0"/>
    <s v="Asoj 77"/>
    <x v="5"/>
  </r>
  <r>
    <x v="15"/>
    <x v="1"/>
    <n v="0.69428955273390691"/>
    <s v="Asoj 77"/>
    <x v="5"/>
  </r>
  <r>
    <x v="16"/>
    <x v="1"/>
    <n v="0"/>
    <s v="Asoj 77"/>
    <x v="5"/>
  </r>
  <r>
    <x v="17"/>
    <x v="1"/>
    <n v="9.9942377754467682E-2"/>
    <s v="Asoj 77"/>
    <x v="5"/>
  </r>
  <r>
    <x v="18"/>
    <x v="1"/>
    <n v="0"/>
    <s v="Asoj 77"/>
    <x v="5"/>
  </r>
  <r>
    <x v="19"/>
    <x v="1"/>
    <n v="0"/>
    <s v="Asoj 77"/>
    <x v="5"/>
  </r>
  <r>
    <x v="20"/>
    <x v="1"/>
    <n v="0"/>
    <s v="Asoj 77"/>
    <x v="5"/>
  </r>
  <r>
    <x v="21"/>
    <x v="1"/>
    <n v="1"/>
    <s v="Asoj 77"/>
    <x v="5"/>
  </r>
  <r>
    <x v="22"/>
    <x v="1"/>
    <n v="0"/>
    <s v="Asoj 77"/>
    <x v="5"/>
  </r>
  <r>
    <x v="23"/>
    <x v="1"/>
    <n v="0"/>
    <s v="Asoj 77"/>
    <x v="5"/>
  </r>
  <r>
    <x v="24"/>
    <x v="1"/>
    <n v="0"/>
    <s v="Asoj 77"/>
    <x v="5"/>
  </r>
  <r>
    <x v="25"/>
    <x v="1"/>
    <n v="0"/>
    <s v="Asoj 77"/>
    <x v="5"/>
  </r>
  <r>
    <x v="26"/>
    <x v="1"/>
    <n v="0"/>
    <s v="Asoj 77"/>
    <x v="5"/>
  </r>
  <r>
    <x v="27"/>
    <x v="1"/>
    <n v="0"/>
    <s v="Asoj 77"/>
    <x v="5"/>
  </r>
  <r>
    <x v="0"/>
    <x v="0"/>
    <n v="0"/>
    <s v="Asadh 77"/>
    <x v="5"/>
  </r>
  <r>
    <x v="1"/>
    <x v="0"/>
    <n v="0"/>
    <s v="Asadh 77"/>
    <x v="5"/>
  </r>
  <r>
    <x v="2"/>
    <x v="0"/>
    <n v="0"/>
    <s v="Asadh 77"/>
    <x v="5"/>
  </r>
  <r>
    <x v="3"/>
    <x v="0"/>
    <n v="0.46042657598537517"/>
    <s v="Asadh 77"/>
    <x v="5"/>
  </r>
  <r>
    <x v="4"/>
    <x v="0"/>
    <n v="0.44929399077183779"/>
    <s v="Asadh 77"/>
    <x v="5"/>
  </r>
  <r>
    <x v="5"/>
    <x v="0"/>
    <n v="0.25914332515118255"/>
    <s v="Asadh 77"/>
    <x v="5"/>
  </r>
  <r>
    <x v="6"/>
    <x v="0"/>
    <n v="0.30747873689544669"/>
    <s v="Asadh 77"/>
    <x v="5"/>
  </r>
  <r>
    <x v="7"/>
    <x v="0"/>
    <n v="4.4128171854332973E-2"/>
    <s v="Asadh 77"/>
    <x v="5"/>
  </r>
  <r>
    <x v="8"/>
    <x v="0"/>
    <n v="0.74210682990560983"/>
    <s v="Asadh 77"/>
    <x v="5"/>
  </r>
  <r>
    <x v="9"/>
    <x v="0"/>
    <n v="0.46580578594627686"/>
    <s v="Asadh 77"/>
    <x v="5"/>
  </r>
  <r>
    <x v="10"/>
    <x v="0"/>
    <n v="0.37672094174634746"/>
    <s v="Asadh 77"/>
    <x v="5"/>
  </r>
  <r>
    <x v="11"/>
    <x v="0"/>
    <n v="0.16787355979355364"/>
    <s v="Asadh 77"/>
    <x v="5"/>
  </r>
  <r>
    <x v="12"/>
    <x v="0"/>
    <n v="0.74774235751712759"/>
    <s v="Asadh 77"/>
    <x v="5"/>
  </r>
  <r>
    <x v="13"/>
    <x v="0"/>
    <n v="0"/>
    <s v="Asadh 77"/>
    <x v="5"/>
  </r>
  <r>
    <x v="14"/>
    <x v="0"/>
    <n v="0"/>
    <s v="Asadh 77"/>
    <x v="5"/>
  </r>
  <r>
    <x v="15"/>
    <x v="0"/>
    <n v="0.69818973814600305"/>
    <s v="Asadh 77"/>
    <x v="5"/>
  </r>
  <r>
    <x v="16"/>
    <x v="0"/>
    <n v="0"/>
    <s v="Asadh 77"/>
    <x v="5"/>
  </r>
  <r>
    <x v="17"/>
    <x v="0"/>
    <n v="0.27527400444817662"/>
    <s v="Asadh 77"/>
    <x v="5"/>
  </r>
  <r>
    <x v="18"/>
    <x v="0"/>
    <n v="0"/>
    <s v="Asadh 77"/>
    <x v="5"/>
  </r>
  <r>
    <x v="19"/>
    <x v="0"/>
    <n v="0"/>
    <s v="Asadh 77"/>
    <x v="5"/>
  </r>
  <r>
    <x v="20"/>
    <x v="0"/>
    <n v="0"/>
    <s v="Asadh 77"/>
    <x v="5"/>
  </r>
  <r>
    <x v="21"/>
    <x v="0"/>
    <n v="0"/>
    <s v="Asadh 77"/>
    <x v="5"/>
  </r>
  <r>
    <x v="22"/>
    <x v="0"/>
    <n v="0"/>
    <s v="Asadh 77"/>
    <x v="5"/>
  </r>
  <r>
    <x v="23"/>
    <x v="0"/>
    <n v="0"/>
    <s v="Asadh 77"/>
    <x v="5"/>
  </r>
  <r>
    <x v="24"/>
    <x v="0"/>
    <n v="0"/>
    <s v="Asadh 77"/>
    <x v="5"/>
  </r>
  <r>
    <x v="25"/>
    <x v="0"/>
    <n v="5.4007905219480686E-2"/>
    <s v="Asadh 77"/>
    <x v="5"/>
  </r>
  <r>
    <x v="26"/>
    <x v="0"/>
    <n v="0"/>
    <s v="Asadh 77"/>
    <x v="5"/>
  </r>
  <r>
    <x v="27"/>
    <x v="0"/>
    <n v="0"/>
    <s v="Asadh 77"/>
    <x v="5"/>
  </r>
  <r>
    <x v="0"/>
    <x v="1"/>
    <n v="0"/>
    <s v="Asadh 77"/>
    <x v="5"/>
  </r>
  <r>
    <x v="1"/>
    <x v="1"/>
    <n v="0"/>
    <s v="Asadh 77"/>
    <x v="5"/>
  </r>
  <r>
    <x v="2"/>
    <x v="1"/>
    <n v="0"/>
    <s v="Asadh 77"/>
    <x v="5"/>
  </r>
  <r>
    <x v="3"/>
    <x v="1"/>
    <n v="0.47893814693681924"/>
    <s v="Asadh 77"/>
    <x v="5"/>
  </r>
  <r>
    <x v="4"/>
    <x v="1"/>
    <n v="0.46067588046304087"/>
    <s v="Asadh 77"/>
    <x v="5"/>
  </r>
  <r>
    <x v="5"/>
    <x v="1"/>
    <n v="0.31468822985883954"/>
    <s v="Asadh 77"/>
    <x v="5"/>
  </r>
  <r>
    <x v="6"/>
    <x v="1"/>
    <n v="0.69309970791024988"/>
    <s v="Asadh 77"/>
    <x v="5"/>
  </r>
  <r>
    <x v="7"/>
    <x v="1"/>
    <n v="4.4128190045103002E-2"/>
    <s v="Asadh 77"/>
    <x v="5"/>
  </r>
  <r>
    <x v="8"/>
    <x v="1"/>
    <n v="0.79456917893010459"/>
    <s v="Asadh 77"/>
    <x v="5"/>
  </r>
  <r>
    <x v="9"/>
    <x v="1"/>
    <n v="0.5467572650733773"/>
    <s v="Asadh 77"/>
    <x v="5"/>
  </r>
  <r>
    <x v="10"/>
    <x v="1"/>
    <n v="0.29996530304978042"/>
    <s v="Asadh 77"/>
    <x v="5"/>
  </r>
  <r>
    <x v="11"/>
    <x v="1"/>
    <n v="0.1682461039190192"/>
    <s v="Asadh 77"/>
    <x v="5"/>
  </r>
  <r>
    <x v="12"/>
    <x v="1"/>
    <n v="0.81680143851488496"/>
    <s v="Asadh 77"/>
    <x v="5"/>
  </r>
  <r>
    <x v="13"/>
    <x v="1"/>
    <n v="0"/>
    <s v="Asadh 77"/>
    <x v="5"/>
  </r>
  <r>
    <x v="14"/>
    <x v="1"/>
    <n v="0"/>
    <s v="Asadh 77"/>
    <x v="5"/>
  </r>
  <r>
    <x v="15"/>
    <x v="1"/>
    <n v="0.70551294806944265"/>
    <s v="Asadh 77"/>
    <x v="5"/>
  </r>
  <r>
    <x v="16"/>
    <x v="1"/>
    <n v="0"/>
    <s v="Asadh 77"/>
    <x v="5"/>
  </r>
  <r>
    <x v="17"/>
    <x v="1"/>
    <n v="0.28263808756959768"/>
    <s v="Asadh 77"/>
    <x v="5"/>
  </r>
  <r>
    <x v="18"/>
    <x v="1"/>
    <n v="0"/>
    <s v="Asadh 77"/>
    <x v="5"/>
  </r>
  <r>
    <x v="19"/>
    <x v="1"/>
    <n v="0"/>
    <s v="Asadh 77"/>
    <x v="5"/>
  </r>
  <r>
    <x v="20"/>
    <x v="1"/>
    <n v="0"/>
    <s v="Asadh 77"/>
    <x v="5"/>
  </r>
  <r>
    <x v="21"/>
    <x v="1"/>
    <n v="8.8949688389255155E-2"/>
    <s v="Asadh 77"/>
    <x v="5"/>
  </r>
  <r>
    <x v="22"/>
    <x v="1"/>
    <n v="0"/>
    <s v="Asadh 77"/>
    <x v="5"/>
  </r>
  <r>
    <x v="23"/>
    <x v="1"/>
    <n v="0"/>
    <s v="Asadh 77"/>
    <x v="5"/>
  </r>
  <r>
    <x v="24"/>
    <x v="1"/>
    <n v="0"/>
    <s v="Asadh 77"/>
    <x v="5"/>
  </r>
  <r>
    <x v="25"/>
    <x v="1"/>
    <n v="0"/>
    <s v="Asadh 77"/>
    <x v="5"/>
  </r>
  <r>
    <x v="26"/>
    <x v="1"/>
    <n v="0"/>
    <s v="Asadh 77"/>
    <x v="5"/>
  </r>
  <r>
    <x v="27"/>
    <x v="1"/>
    <n v="0"/>
    <s v="Asadh 77"/>
    <x v="5"/>
  </r>
  <r>
    <x v="0"/>
    <x v="0"/>
    <n v="0"/>
    <s v="chaitra 76"/>
    <x v="5"/>
  </r>
  <r>
    <x v="1"/>
    <x v="0"/>
    <n v="0"/>
    <s v="chaitra 76"/>
    <x v="5"/>
  </r>
  <r>
    <x v="2"/>
    <x v="0"/>
    <n v="0"/>
    <s v="chaitra 76"/>
    <x v="5"/>
  </r>
  <r>
    <x v="3"/>
    <x v="0"/>
    <n v="0.21790128685962482"/>
    <s v="chaitra 76"/>
    <x v="5"/>
  </r>
  <r>
    <x v="4"/>
    <x v="0"/>
    <n v="0.38794500585383462"/>
    <s v="chaitra 76"/>
    <x v="5"/>
  </r>
  <r>
    <x v="5"/>
    <x v="0"/>
    <n v="0.46128572929443745"/>
    <s v="chaitra 76"/>
    <x v="5"/>
  </r>
  <r>
    <x v="6"/>
    <x v="0"/>
    <n v="0.3363902032355246"/>
    <s v="chaitra 76"/>
    <x v="5"/>
  </r>
  <r>
    <x v="7"/>
    <x v="0"/>
    <n v="0.37234397063372315"/>
    <s v="chaitra 76"/>
    <x v="5"/>
  </r>
  <r>
    <x v="8"/>
    <x v="0"/>
    <n v="0.58985793031429301"/>
    <s v="chaitra 76"/>
    <x v="5"/>
  </r>
  <r>
    <x v="9"/>
    <x v="0"/>
    <n v="4.9670447091982955E-2"/>
    <s v="chaitra 76"/>
    <x v="5"/>
  </r>
  <r>
    <x v="10"/>
    <x v="0"/>
    <n v="0.432343118930198"/>
    <s v="chaitra 76"/>
    <x v="5"/>
  </r>
  <r>
    <x v="11"/>
    <x v="0"/>
    <n v="0.14103234304003459"/>
    <s v="chaitra 76"/>
    <x v="5"/>
  </r>
  <r>
    <x v="12"/>
    <x v="0"/>
    <n v="0.35360644393532237"/>
    <s v="chaitra 76"/>
    <x v="5"/>
  </r>
  <r>
    <x v="13"/>
    <x v="0"/>
    <n v="0"/>
    <s v="chaitra 76"/>
    <x v="5"/>
  </r>
  <r>
    <x v="14"/>
    <x v="0"/>
    <n v="0"/>
    <s v="chaitra 76"/>
    <x v="5"/>
  </r>
  <r>
    <x v="15"/>
    <x v="0"/>
    <n v="0.61329790508062332"/>
    <s v="chaitra 76"/>
    <x v="5"/>
  </r>
  <r>
    <x v="16"/>
    <x v="0"/>
    <n v="0"/>
    <s v="chaitra 76"/>
    <x v="5"/>
  </r>
  <r>
    <x v="17"/>
    <x v="0"/>
    <n v="0.21067900062398631"/>
    <s v="chaitra 76"/>
    <x v="5"/>
  </r>
  <r>
    <x v="18"/>
    <x v="0"/>
    <n v="0"/>
    <s v="chaitra 76"/>
    <x v="5"/>
  </r>
  <r>
    <x v="19"/>
    <x v="0"/>
    <n v="0"/>
    <s v="chaitra 76"/>
    <x v="5"/>
  </r>
  <r>
    <x v="20"/>
    <x v="0"/>
    <n v="0"/>
    <s v="chaitra 76"/>
    <x v="5"/>
  </r>
  <r>
    <x v="21"/>
    <x v="0"/>
    <n v="5.4192551918166874E-2"/>
    <s v="chaitra 76"/>
    <x v="5"/>
  </r>
  <r>
    <x v="22"/>
    <x v="0"/>
    <n v="0"/>
    <s v="chaitra 76"/>
    <x v="5"/>
  </r>
  <r>
    <x v="23"/>
    <x v="0"/>
    <n v="0"/>
    <s v="chaitra 76"/>
    <x v="5"/>
  </r>
  <r>
    <x v="24"/>
    <x v="0"/>
    <n v="0"/>
    <s v="chaitra 76"/>
    <x v="5"/>
  </r>
  <r>
    <x v="25"/>
    <x v="0"/>
    <n v="0"/>
    <s v="chaitra 76"/>
    <x v="5"/>
  </r>
  <r>
    <x v="26"/>
    <x v="0"/>
    <n v="0"/>
    <s v="chaitra 76"/>
    <x v="5"/>
  </r>
  <r>
    <x v="27"/>
    <x v="0"/>
    <n v="0"/>
    <s v="chaitra 76"/>
    <x v="5"/>
  </r>
  <r>
    <x v="0"/>
    <x v="1"/>
    <n v="0"/>
    <s v="chaitra 76"/>
    <x v="5"/>
  </r>
  <r>
    <x v="1"/>
    <x v="1"/>
    <n v="0"/>
    <s v="chaitra 76"/>
    <x v="5"/>
  </r>
  <r>
    <x v="2"/>
    <x v="1"/>
    <n v="0"/>
    <s v="chaitra 76"/>
    <x v="5"/>
  </r>
  <r>
    <x v="3"/>
    <x v="1"/>
    <n v="0.38129137896235338"/>
    <s v="chaitra 76"/>
    <x v="5"/>
  </r>
  <r>
    <x v="4"/>
    <x v="1"/>
    <n v="0.62758786815583467"/>
    <s v="chaitra 76"/>
    <x v="5"/>
  </r>
  <r>
    <x v="5"/>
    <x v="1"/>
    <n v="0.77838097795729988"/>
    <s v="chaitra 76"/>
    <x v="5"/>
  </r>
  <r>
    <x v="6"/>
    <x v="1"/>
    <n v="0.49167151914787705"/>
    <s v="chaitra 76"/>
    <x v="5"/>
  </r>
  <r>
    <x v="7"/>
    <x v="1"/>
    <n v="0.97198770354897013"/>
    <s v="chaitra 76"/>
    <x v="5"/>
  </r>
  <r>
    <x v="8"/>
    <x v="1"/>
    <n v="0.76501448180836229"/>
    <s v="chaitra 76"/>
    <x v="5"/>
  </r>
  <r>
    <x v="9"/>
    <x v="1"/>
    <n v="0.12859669380165581"/>
    <s v="chaitra 76"/>
    <x v="5"/>
  </r>
  <r>
    <x v="10"/>
    <x v="1"/>
    <n v="0.79595124110263804"/>
    <s v="chaitra 76"/>
    <x v="5"/>
  </r>
  <r>
    <x v="11"/>
    <x v="1"/>
    <n v="0.19307019627636787"/>
    <s v="chaitra 76"/>
    <x v="5"/>
  </r>
  <r>
    <x v="12"/>
    <x v="1"/>
    <n v="0"/>
    <s v="chaitra 76"/>
    <x v="5"/>
  </r>
  <r>
    <x v="13"/>
    <x v="1"/>
    <n v="0"/>
    <s v="chaitra 76"/>
    <x v="5"/>
  </r>
  <r>
    <x v="14"/>
    <x v="1"/>
    <n v="0"/>
    <s v="chaitra 76"/>
    <x v="5"/>
  </r>
  <r>
    <x v="15"/>
    <x v="1"/>
    <n v="0.89879051301058066"/>
    <s v="chaitra 76"/>
    <x v="5"/>
  </r>
  <r>
    <x v="16"/>
    <x v="1"/>
    <n v="0"/>
    <s v="chaitra 76"/>
    <x v="5"/>
  </r>
  <r>
    <x v="17"/>
    <x v="1"/>
    <n v="0.30476786648483667"/>
    <s v="chaitra 76"/>
    <x v="5"/>
  </r>
  <r>
    <x v="18"/>
    <x v="1"/>
    <n v="0"/>
    <s v="chaitra 76"/>
    <x v="5"/>
  </r>
  <r>
    <x v="19"/>
    <x v="1"/>
    <n v="0"/>
    <s v="chaitra 76"/>
    <x v="5"/>
  </r>
  <r>
    <x v="20"/>
    <x v="1"/>
    <n v="0"/>
    <s v="chaitra 76"/>
    <x v="5"/>
  </r>
  <r>
    <x v="21"/>
    <x v="1"/>
    <n v="0"/>
    <s v="chaitra 76"/>
    <x v="5"/>
  </r>
  <r>
    <x v="22"/>
    <x v="1"/>
    <n v="0"/>
    <s v="chaitra 76"/>
    <x v="5"/>
  </r>
  <r>
    <x v="23"/>
    <x v="1"/>
    <n v="0"/>
    <s v="chaitra 76"/>
    <x v="5"/>
  </r>
  <r>
    <x v="24"/>
    <x v="1"/>
    <n v="0"/>
    <s v="chaitra 76"/>
    <x v="5"/>
  </r>
  <r>
    <x v="25"/>
    <x v="1"/>
    <n v="0"/>
    <s v="chaitra 76"/>
    <x v="5"/>
  </r>
  <r>
    <x v="26"/>
    <x v="1"/>
    <n v="0"/>
    <s v="chaitra 76"/>
    <x v="5"/>
  </r>
  <r>
    <x v="27"/>
    <x v="1"/>
    <n v="0"/>
    <s v="chaitra 76"/>
    <x v="5"/>
  </r>
  <r>
    <x v="0"/>
    <x v="0"/>
    <n v="0"/>
    <s v="poush 76"/>
    <x v="6"/>
  </r>
  <r>
    <x v="1"/>
    <x v="0"/>
    <n v="0"/>
    <s v="poush 76"/>
    <x v="6"/>
  </r>
  <r>
    <x v="2"/>
    <x v="0"/>
    <n v="0"/>
    <s v="poush 76"/>
    <x v="6"/>
  </r>
  <r>
    <x v="3"/>
    <x v="0"/>
    <n v="3.400649963467707E-2"/>
    <s v="poush 76"/>
    <x v="6"/>
  </r>
  <r>
    <x v="4"/>
    <x v="0"/>
    <n v="0.13680224028356541"/>
    <s v="poush 76"/>
    <x v="6"/>
  </r>
  <r>
    <x v="5"/>
    <x v="0"/>
    <n v="6.2212301415485886E-2"/>
    <s v="poush 76"/>
    <x v="6"/>
  </r>
  <r>
    <x v="6"/>
    <x v="0"/>
    <n v="0"/>
    <s v="poush 76"/>
    <x v="6"/>
  </r>
  <r>
    <x v="7"/>
    <x v="0"/>
    <n v="0"/>
    <s v="poush 76"/>
    <x v="6"/>
  </r>
  <r>
    <x v="8"/>
    <x v="0"/>
    <n v="0.23241507786776922"/>
    <s v="poush 76"/>
    <x v="6"/>
  </r>
  <r>
    <x v="9"/>
    <x v="0"/>
    <n v="5.2367875487701027E-2"/>
    <s v="poush 76"/>
    <x v="6"/>
  </r>
  <r>
    <x v="10"/>
    <x v="0"/>
    <n v="0"/>
    <s v="poush 76"/>
    <x v="6"/>
  </r>
  <r>
    <x v="11"/>
    <x v="0"/>
    <n v="4.0932002031314904E-2"/>
    <s v="poush 76"/>
    <x v="6"/>
  </r>
  <r>
    <x v="12"/>
    <x v="0"/>
    <n v="7.5688361541651553E-3"/>
    <s v="poush 76"/>
    <x v="6"/>
  </r>
  <r>
    <x v="13"/>
    <x v="0"/>
    <n v="0"/>
    <s v="poush 76"/>
    <x v="6"/>
  </r>
  <r>
    <x v="14"/>
    <x v="0"/>
    <n v="0"/>
    <s v="poush 76"/>
    <x v="6"/>
  </r>
  <r>
    <x v="15"/>
    <x v="0"/>
    <n v="6.4018522168271294E-2"/>
    <s v="poush 76"/>
    <x v="6"/>
  </r>
  <r>
    <x v="16"/>
    <x v="0"/>
    <n v="0"/>
    <s v="poush 76"/>
    <x v="6"/>
  </r>
  <r>
    <x v="17"/>
    <x v="0"/>
    <n v="3.9767892250170134E-2"/>
    <s v="poush 76"/>
    <x v="6"/>
  </r>
  <r>
    <x v="18"/>
    <x v="0"/>
    <n v="0"/>
    <s v="poush 76"/>
    <x v="6"/>
  </r>
  <r>
    <x v="19"/>
    <x v="0"/>
    <n v="0"/>
    <s v="poush 76"/>
    <x v="6"/>
  </r>
  <r>
    <x v="20"/>
    <x v="0"/>
    <n v="0"/>
    <s v="poush 76"/>
    <x v="6"/>
  </r>
  <r>
    <x v="21"/>
    <x v="0"/>
    <n v="0"/>
    <s v="poush 76"/>
    <x v="6"/>
  </r>
  <r>
    <x v="22"/>
    <x v="0"/>
    <n v="0"/>
    <s v="poush 76"/>
    <x v="6"/>
  </r>
  <r>
    <x v="23"/>
    <x v="0"/>
    <n v="0.10079252872560128"/>
    <s v="poush 76"/>
    <x v="6"/>
  </r>
  <r>
    <x v="24"/>
    <x v="0"/>
    <n v="0"/>
    <s v="poush 76"/>
    <x v="6"/>
  </r>
  <r>
    <x v="25"/>
    <x v="0"/>
    <n v="0"/>
    <s v="poush 76"/>
    <x v="6"/>
  </r>
  <r>
    <x v="26"/>
    <x v="0"/>
    <n v="0"/>
    <s v="poush 76"/>
    <x v="6"/>
  </r>
  <r>
    <x v="27"/>
    <x v="0"/>
    <n v="0"/>
    <s v="poush 76"/>
    <x v="6"/>
  </r>
  <r>
    <x v="0"/>
    <x v="1"/>
    <n v="0"/>
    <s v="poush 76"/>
    <x v="6"/>
  </r>
  <r>
    <x v="1"/>
    <x v="1"/>
    <n v="0"/>
    <s v="poush 76"/>
    <x v="6"/>
  </r>
  <r>
    <x v="2"/>
    <x v="1"/>
    <n v="0"/>
    <s v="poush 76"/>
    <x v="6"/>
  </r>
  <r>
    <x v="3"/>
    <x v="1"/>
    <n v="0.11667046438470513"/>
    <s v="poush 76"/>
    <x v="6"/>
  </r>
  <r>
    <x v="4"/>
    <x v="1"/>
    <n v="0.20516999905559674"/>
    <s v="poush 76"/>
    <x v="6"/>
  </r>
  <r>
    <x v="5"/>
    <x v="1"/>
    <n v="0.17447604061175809"/>
    <s v="poush 76"/>
    <x v="6"/>
  </r>
  <r>
    <x v="6"/>
    <x v="1"/>
    <n v="0"/>
    <s v="poush 76"/>
    <x v="6"/>
  </r>
  <r>
    <x v="7"/>
    <x v="1"/>
    <n v="0"/>
    <s v="poush 76"/>
    <x v="6"/>
  </r>
  <r>
    <x v="8"/>
    <x v="1"/>
    <n v="0.33933650026515905"/>
    <s v="poush 76"/>
    <x v="6"/>
  </r>
  <r>
    <x v="9"/>
    <x v="1"/>
    <n v="0.28242228603916514"/>
    <s v="poush 76"/>
    <x v="6"/>
  </r>
  <r>
    <x v="10"/>
    <x v="1"/>
    <n v="0"/>
    <s v="poush 76"/>
    <x v="6"/>
  </r>
  <r>
    <x v="11"/>
    <x v="1"/>
    <n v="0.27985055713204016"/>
    <s v="poush 76"/>
    <x v="6"/>
  </r>
  <r>
    <x v="12"/>
    <x v="1"/>
    <n v="6.2771966731312856E-3"/>
    <s v="poush 76"/>
    <x v="6"/>
  </r>
  <r>
    <x v="13"/>
    <x v="1"/>
    <n v="0"/>
    <s v="poush 76"/>
    <x v="6"/>
  </r>
  <r>
    <x v="14"/>
    <x v="1"/>
    <n v="0"/>
    <s v="poush 76"/>
    <x v="6"/>
  </r>
  <r>
    <x v="15"/>
    <x v="1"/>
    <n v="3.2527184581830529E-2"/>
    <s v="poush 76"/>
    <x v="6"/>
  </r>
  <r>
    <x v="16"/>
    <x v="1"/>
    <n v="0"/>
    <s v="poush 76"/>
    <x v="6"/>
  </r>
  <r>
    <x v="17"/>
    <x v="1"/>
    <n v="4.5748650928464932E-2"/>
    <s v="poush 76"/>
    <x v="6"/>
  </r>
  <r>
    <x v="18"/>
    <x v="1"/>
    <n v="0"/>
    <s v="poush 76"/>
    <x v="6"/>
  </r>
  <r>
    <x v="19"/>
    <x v="1"/>
    <n v="0"/>
    <s v="poush 76"/>
    <x v="6"/>
  </r>
  <r>
    <x v="20"/>
    <x v="1"/>
    <n v="0"/>
    <s v="poush 76"/>
    <x v="6"/>
  </r>
  <r>
    <x v="21"/>
    <x v="1"/>
    <n v="1"/>
    <s v="poush 76"/>
    <x v="6"/>
  </r>
  <r>
    <x v="22"/>
    <x v="1"/>
    <n v="0"/>
    <s v="poush 76"/>
    <x v="6"/>
  </r>
  <r>
    <x v="23"/>
    <x v="1"/>
    <n v="0"/>
    <s v="poush 76"/>
    <x v="6"/>
  </r>
  <r>
    <x v="24"/>
    <x v="1"/>
    <n v="0"/>
    <s v="poush 76"/>
    <x v="6"/>
  </r>
  <r>
    <x v="25"/>
    <x v="1"/>
    <n v="0"/>
    <s v="poush 76"/>
    <x v="6"/>
  </r>
  <r>
    <x v="26"/>
    <x v="1"/>
    <n v="0"/>
    <s v="poush 76"/>
    <x v="6"/>
  </r>
  <r>
    <x v="27"/>
    <x v="1"/>
    <n v="0"/>
    <s v="poush 76"/>
    <x v="6"/>
  </r>
  <r>
    <x v="0"/>
    <x v="0"/>
    <n v="0"/>
    <s v="Ashoj 76"/>
    <x v="6"/>
  </r>
  <r>
    <x v="1"/>
    <x v="0"/>
    <n v="0"/>
    <s v="Ashoj 76"/>
    <x v="6"/>
  </r>
  <r>
    <x v="2"/>
    <x v="0"/>
    <n v="0"/>
    <s v="Ashoj 76"/>
    <x v="6"/>
  </r>
  <r>
    <x v="3"/>
    <x v="0"/>
    <n v="0.10318510147869309"/>
    <s v="Ashoj 76"/>
    <x v="6"/>
  </r>
  <r>
    <x v="4"/>
    <x v="0"/>
    <n v="0.10200789574830908"/>
    <s v="Ashoj 76"/>
    <x v="6"/>
  </r>
  <r>
    <x v="5"/>
    <x v="0"/>
    <n v="0.20184346817598631"/>
    <s v="Ashoj 76"/>
    <x v="6"/>
  </r>
  <r>
    <x v="6"/>
    <x v="0"/>
    <n v="0.14317946240956256"/>
    <s v="Ashoj 76"/>
    <x v="6"/>
  </r>
  <r>
    <x v="7"/>
    <x v="0"/>
    <n v="0"/>
    <s v="Ashoj 76"/>
    <x v="6"/>
  </r>
  <r>
    <x v="8"/>
    <x v="0"/>
    <n v="0.44105219018821551"/>
    <s v="Ashoj 76"/>
    <x v="6"/>
  </r>
  <r>
    <x v="9"/>
    <x v="0"/>
    <n v="8.4225613360312084E-3"/>
    <s v="Ashoj 76"/>
    <x v="6"/>
  </r>
  <r>
    <x v="10"/>
    <x v="0"/>
    <n v="0.17237456741440149"/>
    <s v="Ashoj 76"/>
    <x v="6"/>
  </r>
  <r>
    <x v="11"/>
    <x v="0"/>
    <n v="0.19674323263436283"/>
    <s v="Ashoj 76"/>
    <x v="6"/>
  </r>
  <r>
    <x v="12"/>
    <x v="0"/>
    <n v="0"/>
    <s v="Ashoj 76"/>
    <x v="6"/>
  </r>
  <r>
    <x v="13"/>
    <x v="0"/>
    <n v="0"/>
    <s v="Ashoj 76"/>
    <x v="6"/>
  </r>
  <r>
    <x v="14"/>
    <x v="0"/>
    <n v="0"/>
    <s v="Ashoj 76"/>
    <x v="6"/>
  </r>
  <r>
    <x v="15"/>
    <x v="0"/>
    <n v="0"/>
    <s v="Ashoj 76"/>
    <x v="6"/>
  </r>
  <r>
    <x v="16"/>
    <x v="0"/>
    <n v="0"/>
    <s v="Ashoj 76"/>
    <x v="6"/>
  </r>
  <r>
    <x v="17"/>
    <x v="0"/>
    <n v="0.15527119420527552"/>
    <s v="Ashoj 76"/>
    <x v="6"/>
  </r>
  <r>
    <x v="18"/>
    <x v="0"/>
    <n v="0"/>
    <s v="Ashoj 76"/>
    <x v="6"/>
  </r>
  <r>
    <x v="19"/>
    <x v="0"/>
    <n v="0"/>
    <s v="Ashoj 76"/>
    <x v="6"/>
  </r>
  <r>
    <x v="20"/>
    <x v="0"/>
    <n v="0"/>
    <s v="Ashoj 76"/>
    <x v="6"/>
  </r>
  <r>
    <x v="21"/>
    <x v="0"/>
    <n v="0"/>
    <s v="Ashoj 76"/>
    <x v="6"/>
  </r>
  <r>
    <x v="22"/>
    <x v="0"/>
    <n v="0"/>
    <s v="Ashoj 76"/>
    <x v="6"/>
  </r>
  <r>
    <x v="23"/>
    <x v="0"/>
    <n v="0"/>
    <s v="Ashoj 76"/>
    <x v="6"/>
  </r>
  <r>
    <x v="24"/>
    <x v="0"/>
    <n v="0"/>
    <s v="Ashoj 76"/>
    <x v="6"/>
  </r>
  <r>
    <x v="25"/>
    <x v="0"/>
    <n v="0"/>
    <s v="Ashoj 76"/>
    <x v="6"/>
  </r>
  <r>
    <x v="26"/>
    <x v="0"/>
    <n v="0"/>
    <s v="Ashoj 76"/>
    <x v="6"/>
  </r>
  <r>
    <x v="27"/>
    <x v="0"/>
    <n v="0"/>
    <s v="Ashoj 76"/>
    <x v="6"/>
  </r>
  <r>
    <x v="0"/>
    <x v="1"/>
    <n v="0"/>
    <s v="Ashoj 76"/>
    <x v="6"/>
  </r>
  <r>
    <x v="1"/>
    <x v="1"/>
    <n v="0"/>
    <s v="Ashoj 76"/>
    <x v="6"/>
  </r>
  <r>
    <x v="2"/>
    <x v="1"/>
    <n v="0"/>
    <s v="Ashoj 76"/>
    <x v="6"/>
  </r>
  <r>
    <x v="3"/>
    <x v="1"/>
    <n v="8.6867790610057449E-2"/>
    <s v="Ashoj 76"/>
    <x v="6"/>
  </r>
  <r>
    <x v="4"/>
    <x v="1"/>
    <n v="0.12158941699327329"/>
    <s v="Ashoj 76"/>
    <x v="6"/>
  </r>
  <r>
    <x v="5"/>
    <x v="1"/>
    <n v="0.43453210967394623"/>
    <s v="Ashoj 76"/>
    <x v="6"/>
  </r>
  <r>
    <x v="6"/>
    <x v="1"/>
    <n v="0.96497881521454287"/>
    <s v="Ashoj 76"/>
    <x v="6"/>
  </r>
  <r>
    <x v="7"/>
    <x v="1"/>
    <n v="0"/>
    <s v="Ashoj 76"/>
    <x v="6"/>
  </r>
  <r>
    <x v="8"/>
    <x v="1"/>
    <n v="0.57071945360860055"/>
    <s v="Ashoj 76"/>
    <x v="6"/>
  </r>
  <r>
    <x v="9"/>
    <x v="1"/>
    <n v="8.0443879803218806E-5"/>
    <s v="Ashoj 76"/>
    <x v="6"/>
  </r>
  <r>
    <x v="10"/>
    <x v="1"/>
    <n v="0.33628023982630956"/>
    <s v="Ashoj 76"/>
    <x v="6"/>
  </r>
  <r>
    <x v="11"/>
    <x v="1"/>
    <n v="0.5283551432546687"/>
    <s v="Ashoj 76"/>
    <x v="6"/>
  </r>
  <r>
    <x v="12"/>
    <x v="1"/>
    <n v="0"/>
    <s v="Ashoj 76"/>
    <x v="6"/>
  </r>
  <r>
    <x v="13"/>
    <x v="1"/>
    <n v="0"/>
    <s v="Ashoj 76"/>
    <x v="6"/>
  </r>
  <r>
    <x v="14"/>
    <x v="1"/>
    <n v="0"/>
    <s v="Ashoj 76"/>
    <x v="6"/>
  </r>
  <r>
    <x v="15"/>
    <x v="1"/>
    <n v="0"/>
    <s v="Ashoj 76"/>
    <x v="6"/>
  </r>
  <r>
    <x v="16"/>
    <x v="1"/>
    <n v="0"/>
    <s v="Ashoj 76"/>
    <x v="6"/>
  </r>
  <r>
    <x v="17"/>
    <x v="1"/>
    <n v="0.17400665754775721"/>
    <s v="Ashoj 76"/>
    <x v="6"/>
  </r>
  <r>
    <x v="18"/>
    <x v="1"/>
    <n v="0"/>
    <s v="Ashoj 76"/>
    <x v="6"/>
  </r>
  <r>
    <x v="19"/>
    <x v="1"/>
    <n v="0"/>
    <s v="Ashoj 76"/>
    <x v="6"/>
  </r>
  <r>
    <x v="20"/>
    <x v="1"/>
    <n v="0"/>
    <s v="Ashoj 76"/>
    <x v="6"/>
  </r>
  <r>
    <x v="21"/>
    <x v="1"/>
    <n v="0"/>
    <s v="Ashoj 76"/>
    <x v="6"/>
  </r>
  <r>
    <x v="22"/>
    <x v="1"/>
    <n v="0"/>
    <s v="Ashoj 76"/>
    <x v="6"/>
  </r>
  <r>
    <x v="23"/>
    <x v="1"/>
    <n v="0"/>
    <s v="Ashoj 76"/>
    <x v="6"/>
  </r>
  <r>
    <x v="24"/>
    <x v="1"/>
    <n v="0"/>
    <s v="Ashoj 76"/>
    <x v="6"/>
  </r>
  <r>
    <x v="25"/>
    <x v="1"/>
    <n v="0"/>
    <s v="Ashoj 76"/>
    <x v="6"/>
  </r>
  <r>
    <x v="26"/>
    <x v="1"/>
    <n v="0"/>
    <s v="Ashoj 76"/>
    <x v="6"/>
  </r>
  <r>
    <x v="27"/>
    <x v="1"/>
    <n v="0"/>
    <s v="Ashoj 76"/>
    <x v="6"/>
  </r>
  <r>
    <x v="0"/>
    <x v="0"/>
    <n v="0"/>
    <s v="Asadh 76"/>
    <x v="6"/>
  </r>
  <r>
    <x v="1"/>
    <x v="0"/>
    <n v="0"/>
    <s v="Asadh 76"/>
    <x v="6"/>
  </r>
  <r>
    <x v="2"/>
    <x v="0"/>
    <n v="0"/>
    <s v="Asadh 76"/>
    <x v="6"/>
  </r>
  <r>
    <x v="3"/>
    <x v="0"/>
    <n v="0"/>
    <s v="Asadh 76"/>
    <x v="6"/>
  </r>
  <r>
    <x v="4"/>
    <x v="0"/>
    <n v="0"/>
    <s v="Asadh 76"/>
    <x v="6"/>
  </r>
  <r>
    <x v="5"/>
    <x v="0"/>
    <n v="0"/>
    <s v="Asadh 76"/>
    <x v="6"/>
  </r>
  <r>
    <x v="6"/>
    <x v="0"/>
    <n v="0"/>
    <s v="Asadh 76"/>
    <x v="6"/>
  </r>
  <r>
    <x v="7"/>
    <x v="0"/>
    <n v="0"/>
    <s v="Asadh 76"/>
    <x v="6"/>
  </r>
  <r>
    <x v="8"/>
    <x v="0"/>
    <n v="0"/>
    <s v="Asadh 76"/>
    <x v="6"/>
  </r>
  <r>
    <x v="9"/>
    <x v="0"/>
    <n v="0"/>
    <s v="Asadh 76"/>
    <x v="6"/>
  </r>
  <r>
    <x v="10"/>
    <x v="0"/>
    <n v="0"/>
    <s v="Asadh 76"/>
    <x v="6"/>
  </r>
  <r>
    <x v="11"/>
    <x v="0"/>
    <n v="0"/>
    <s v="Asadh 76"/>
    <x v="6"/>
  </r>
  <r>
    <x v="12"/>
    <x v="0"/>
    <n v="0"/>
    <s v="Asadh 76"/>
    <x v="6"/>
  </r>
  <r>
    <x v="13"/>
    <x v="0"/>
    <n v="0"/>
    <s v="Asadh 76"/>
    <x v="6"/>
  </r>
  <r>
    <x v="14"/>
    <x v="0"/>
    <n v="0"/>
    <s v="Asadh 76"/>
    <x v="6"/>
  </r>
  <r>
    <x v="15"/>
    <x v="0"/>
    <n v="0"/>
    <s v="Asadh 76"/>
    <x v="6"/>
  </r>
  <r>
    <x v="16"/>
    <x v="0"/>
    <n v="0"/>
    <s v="Asadh 76"/>
    <x v="6"/>
  </r>
  <r>
    <x v="17"/>
    <x v="0"/>
    <n v="0"/>
    <s v="Asadh 76"/>
    <x v="6"/>
  </r>
  <r>
    <x v="18"/>
    <x v="0"/>
    <n v="0"/>
    <s v="Asadh 76"/>
    <x v="6"/>
  </r>
  <r>
    <x v="19"/>
    <x v="0"/>
    <n v="0"/>
    <s v="Asadh 76"/>
    <x v="6"/>
  </r>
  <r>
    <x v="20"/>
    <x v="0"/>
    <n v="0"/>
    <s v="Asadh 76"/>
    <x v="6"/>
  </r>
  <r>
    <x v="21"/>
    <x v="0"/>
    <n v="0"/>
    <s v="Asadh 76"/>
    <x v="6"/>
  </r>
  <r>
    <x v="22"/>
    <x v="0"/>
    <n v="0"/>
    <s v="Asadh 76"/>
    <x v="6"/>
  </r>
  <r>
    <x v="23"/>
    <x v="0"/>
    <n v="0"/>
    <s v="Asadh 76"/>
    <x v="6"/>
  </r>
  <r>
    <x v="24"/>
    <x v="0"/>
    <n v="0"/>
    <s v="Asadh 76"/>
    <x v="6"/>
  </r>
  <r>
    <x v="25"/>
    <x v="0"/>
    <n v="0"/>
    <s v="Asadh 76"/>
    <x v="6"/>
  </r>
  <r>
    <x v="26"/>
    <x v="0"/>
    <n v="0"/>
    <s v="Asadh 76"/>
    <x v="6"/>
  </r>
  <r>
    <x v="27"/>
    <x v="0"/>
    <n v="0"/>
    <s v="Asadh 76"/>
    <x v="6"/>
  </r>
  <r>
    <x v="0"/>
    <x v="1"/>
    <n v="0"/>
    <s v="Asadh 76"/>
    <x v="6"/>
  </r>
  <r>
    <x v="1"/>
    <x v="1"/>
    <n v="0"/>
    <s v="Asadh 76"/>
    <x v="6"/>
  </r>
  <r>
    <x v="2"/>
    <x v="1"/>
    <n v="0"/>
    <s v="Asadh 76"/>
    <x v="6"/>
  </r>
  <r>
    <x v="3"/>
    <x v="1"/>
    <n v="0"/>
    <s v="Asadh 76"/>
    <x v="6"/>
  </r>
  <r>
    <x v="4"/>
    <x v="1"/>
    <n v="0"/>
    <s v="Asadh 76"/>
    <x v="6"/>
  </r>
  <r>
    <x v="5"/>
    <x v="1"/>
    <n v="0"/>
    <s v="Asadh 76"/>
    <x v="6"/>
  </r>
  <r>
    <x v="6"/>
    <x v="1"/>
    <n v="0"/>
    <s v="Asadh 76"/>
    <x v="6"/>
  </r>
  <r>
    <x v="7"/>
    <x v="1"/>
    <n v="0"/>
    <s v="Asadh 76"/>
    <x v="6"/>
  </r>
  <r>
    <x v="8"/>
    <x v="1"/>
    <n v="0"/>
    <s v="Asadh 76"/>
    <x v="6"/>
  </r>
  <r>
    <x v="9"/>
    <x v="1"/>
    <n v="0"/>
    <s v="Asadh 76"/>
    <x v="6"/>
  </r>
  <r>
    <x v="10"/>
    <x v="1"/>
    <n v="0"/>
    <s v="Asadh 76"/>
    <x v="6"/>
  </r>
  <r>
    <x v="11"/>
    <x v="1"/>
    <n v="0"/>
    <s v="Asadh 76"/>
    <x v="6"/>
  </r>
  <r>
    <x v="12"/>
    <x v="1"/>
    <n v="0"/>
    <s v="Asadh 76"/>
    <x v="6"/>
  </r>
  <r>
    <x v="13"/>
    <x v="1"/>
    <n v="0"/>
    <s v="Asadh 76"/>
    <x v="6"/>
  </r>
  <r>
    <x v="14"/>
    <x v="1"/>
    <n v="0"/>
    <s v="Asadh 76"/>
    <x v="6"/>
  </r>
  <r>
    <x v="15"/>
    <x v="1"/>
    <n v="0"/>
    <s v="Asadh 76"/>
    <x v="6"/>
  </r>
  <r>
    <x v="16"/>
    <x v="1"/>
    <n v="0"/>
    <s v="Asadh 76"/>
    <x v="6"/>
  </r>
  <r>
    <x v="17"/>
    <x v="1"/>
    <n v="0"/>
    <s v="Asadh 76"/>
    <x v="6"/>
  </r>
  <r>
    <x v="18"/>
    <x v="1"/>
    <n v="0"/>
    <s v="Asadh 76"/>
    <x v="6"/>
  </r>
  <r>
    <x v="19"/>
    <x v="1"/>
    <n v="0"/>
    <s v="Asadh 76"/>
    <x v="6"/>
  </r>
  <r>
    <x v="20"/>
    <x v="1"/>
    <n v="0"/>
    <s v="Asadh 76"/>
    <x v="6"/>
  </r>
  <r>
    <x v="21"/>
    <x v="1"/>
    <n v="0"/>
    <s v="Asadh 76"/>
    <x v="6"/>
  </r>
  <r>
    <x v="22"/>
    <x v="1"/>
    <n v="0"/>
    <s v="Asadh 76"/>
    <x v="6"/>
  </r>
  <r>
    <x v="23"/>
    <x v="1"/>
    <n v="0"/>
    <s v="Asadh 76"/>
    <x v="6"/>
  </r>
  <r>
    <x v="24"/>
    <x v="1"/>
    <n v="0"/>
    <s v="Asadh 76"/>
    <x v="6"/>
  </r>
  <r>
    <x v="25"/>
    <x v="1"/>
    <n v="0"/>
    <s v="Asadh 76"/>
    <x v="6"/>
  </r>
  <r>
    <x v="26"/>
    <x v="1"/>
    <n v="0"/>
    <s v="Asadh 76"/>
    <x v="6"/>
  </r>
  <r>
    <x v="27"/>
    <x v="1"/>
    <n v="0"/>
    <s v="Asadh 76"/>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2">
  <r>
    <x v="0"/>
    <x v="0"/>
    <x v="0"/>
    <n v="0"/>
    <x v="0"/>
    <x v="0"/>
    <x v="0"/>
    <x v="0"/>
    <x v="0"/>
  </r>
  <r>
    <x v="1"/>
    <x v="0"/>
    <x v="0"/>
    <n v="0"/>
    <x v="1"/>
    <x v="1"/>
    <x v="1"/>
    <x v="1"/>
    <x v="1"/>
  </r>
  <r>
    <x v="2"/>
    <x v="0"/>
    <x v="0"/>
    <n v="0"/>
    <x v="2"/>
    <x v="2"/>
    <x v="2"/>
    <x v="2"/>
    <x v="2"/>
  </r>
  <r>
    <x v="3"/>
    <x v="0"/>
    <x v="0"/>
    <n v="0"/>
    <x v="3"/>
    <x v="3"/>
    <x v="3"/>
    <x v="3"/>
    <x v="3"/>
  </r>
  <r>
    <x v="4"/>
    <x v="0"/>
    <x v="0"/>
    <n v="2.1133731634352424E-2"/>
    <x v="4"/>
    <x v="4"/>
    <x v="4"/>
    <x v="4"/>
    <x v="4"/>
  </r>
  <r>
    <x v="5"/>
    <x v="0"/>
    <x v="0"/>
    <n v="0.14472344171274884"/>
    <x v="5"/>
    <x v="5"/>
    <x v="5"/>
    <x v="5"/>
    <x v="5"/>
  </r>
  <r>
    <x v="6"/>
    <x v="0"/>
    <x v="0"/>
    <n v="1.2675887527856542E-2"/>
    <x v="6"/>
    <x v="6"/>
    <x v="6"/>
    <x v="6"/>
    <x v="6"/>
  </r>
  <r>
    <x v="0"/>
    <x v="1"/>
    <x v="0"/>
    <n v="7.9225078221892578E-2"/>
    <x v="0"/>
    <x v="0"/>
    <x v="0"/>
    <x v="0"/>
    <x v="0"/>
  </r>
  <r>
    <x v="1"/>
    <x v="1"/>
    <x v="0"/>
    <n v="0.15993620991241203"/>
    <x v="1"/>
    <x v="1"/>
    <x v="1"/>
    <x v="1"/>
    <x v="1"/>
  </r>
  <r>
    <x v="2"/>
    <x v="1"/>
    <x v="0"/>
    <n v="9.5592595322526216E-2"/>
    <x v="2"/>
    <x v="2"/>
    <x v="2"/>
    <x v="2"/>
    <x v="2"/>
  </r>
  <r>
    <x v="3"/>
    <x v="1"/>
    <x v="0"/>
    <n v="0.10466617365919911"/>
    <x v="3"/>
    <x v="3"/>
    <x v="3"/>
    <x v="3"/>
    <x v="3"/>
  </r>
  <r>
    <x v="4"/>
    <x v="1"/>
    <x v="0"/>
    <n v="0.28768767215176849"/>
    <x v="4"/>
    <x v="4"/>
    <x v="4"/>
    <x v="4"/>
    <x v="4"/>
  </r>
  <r>
    <x v="5"/>
    <x v="1"/>
    <x v="0"/>
    <n v="0.22294726439554771"/>
    <x v="5"/>
    <x v="5"/>
    <x v="5"/>
    <x v="5"/>
    <x v="5"/>
  </r>
  <r>
    <x v="6"/>
    <x v="1"/>
    <x v="0"/>
    <n v="8.3882953150711342E-2"/>
    <x v="6"/>
    <x v="6"/>
    <x v="6"/>
    <x v="6"/>
    <x v="6"/>
  </r>
  <r>
    <x v="0"/>
    <x v="2"/>
    <x v="0"/>
    <n v="2.1339507389423765E-2"/>
    <x v="0"/>
    <x v="0"/>
    <x v="0"/>
    <x v="0"/>
    <x v="0"/>
  </r>
  <r>
    <x v="1"/>
    <x v="2"/>
    <x v="0"/>
    <n v="0.45842506055651472"/>
    <x v="1"/>
    <x v="1"/>
    <x v="1"/>
    <x v="1"/>
    <x v="1"/>
  </r>
  <r>
    <x v="2"/>
    <x v="2"/>
    <x v="0"/>
    <n v="0.15323737730266845"/>
    <x v="2"/>
    <x v="2"/>
    <x v="2"/>
    <x v="2"/>
    <x v="2"/>
  </r>
  <r>
    <x v="3"/>
    <x v="2"/>
    <x v="0"/>
    <n v="0.1735543428739382"/>
    <x v="3"/>
    <x v="3"/>
    <x v="3"/>
    <x v="3"/>
    <x v="3"/>
  </r>
  <r>
    <x v="4"/>
    <x v="2"/>
    <x v="0"/>
    <n v="0.30109829177467595"/>
    <x v="4"/>
    <x v="4"/>
    <x v="4"/>
    <x v="4"/>
    <x v="4"/>
  </r>
  <r>
    <x v="5"/>
    <x v="2"/>
    <x v="0"/>
    <n v="0.37866741266462878"/>
    <x v="5"/>
    <x v="5"/>
    <x v="5"/>
    <x v="5"/>
    <x v="5"/>
  </r>
  <r>
    <x v="6"/>
    <x v="2"/>
    <x v="0"/>
    <n v="0.19528280506701479"/>
    <x v="6"/>
    <x v="6"/>
    <x v="6"/>
    <x v="6"/>
    <x v="6"/>
  </r>
  <r>
    <x v="0"/>
    <x v="3"/>
    <x v="0"/>
    <n v="0"/>
    <x v="0"/>
    <x v="0"/>
    <x v="0"/>
    <x v="0"/>
    <x v="0"/>
  </r>
  <r>
    <x v="1"/>
    <x v="3"/>
    <x v="0"/>
    <n v="0"/>
    <x v="1"/>
    <x v="1"/>
    <x v="1"/>
    <x v="1"/>
    <x v="1"/>
  </r>
  <r>
    <x v="2"/>
    <x v="3"/>
    <x v="0"/>
    <n v="0"/>
    <x v="2"/>
    <x v="2"/>
    <x v="2"/>
    <x v="2"/>
    <x v="2"/>
  </r>
  <r>
    <x v="3"/>
    <x v="3"/>
    <x v="0"/>
    <n v="0"/>
    <x v="3"/>
    <x v="3"/>
    <x v="3"/>
    <x v="3"/>
    <x v="3"/>
  </r>
  <r>
    <x v="4"/>
    <x v="3"/>
    <x v="0"/>
    <n v="0"/>
    <x v="4"/>
    <x v="4"/>
    <x v="4"/>
    <x v="4"/>
    <x v="4"/>
  </r>
  <r>
    <x v="5"/>
    <x v="3"/>
    <x v="0"/>
    <n v="0"/>
    <x v="5"/>
    <x v="5"/>
    <x v="5"/>
    <x v="5"/>
    <x v="5"/>
  </r>
  <r>
    <x v="6"/>
    <x v="3"/>
    <x v="0"/>
    <n v="0"/>
    <x v="6"/>
    <x v="6"/>
    <x v="6"/>
    <x v="6"/>
    <x v="6"/>
  </r>
  <r>
    <x v="0"/>
    <x v="4"/>
    <x v="0"/>
    <n v="2.0263478941244081E-2"/>
    <x v="0"/>
    <x v="0"/>
    <x v="0"/>
    <x v="0"/>
    <x v="0"/>
  </r>
  <r>
    <x v="1"/>
    <x v="4"/>
    <x v="0"/>
    <n v="0.14907082860570955"/>
    <x v="1"/>
    <x v="1"/>
    <x v="1"/>
    <x v="1"/>
    <x v="1"/>
  </r>
  <r>
    <x v="2"/>
    <x v="4"/>
    <x v="0"/>
    <n v="2.7663627090172452E-2"/>
    <x v="2"/>
    <x v="2"/>
    <x v="2"/>
    <x v="2"/>
    <x v="2"/>
  </r>
  <r>
    <x v="3"/>
    <x v="4"/>
    <x v="0"/>
    <n v="5.8512520595660521E-3"/>
    <x v="3"/>
    <x v="3"/>
    <x v="3"/>
    <x v="3"/>
    <x v="3"/>
  </r>
  <r>
    <x v="4"/>
    <x v="4"/>
    <x v="0"/>
    <n v="6.6635800989901003E-2"/>
    <x v="4"/>
    <x v="4"/>
    <x v="4"/>
    <x v="4"/>
    <x v="4"/>
  </r>
  <r>
    <x v="5"/>
    <x v="4"/>
    <x v="0"/>
    <n v="7.0712497491678579E-3"/>
    <x v="5"/>
    <x v="5"/>
    <x v="5"/>
    <x v="5"/>
    <x v="5"/>
  </r>
  <r>
    <x v="6"/>
    <x v="4"/>
    <x v="0"/>
    <n v="2.8464920153483124E-3"/>
    <x v="6"/>
    <x v="6"/>
    <x v="6"/>
    <x v="6"/>
    <x v="6"/>
  </r>
  <r>
    <x v="0"/>
    <x v="5"/>
    <x v="0"/>
    <n v="3.3597509575200427E-2"/>
    <x v="0"/>
    <x v="0"/>
    <x v="0"/>
    <x v="0"/>
    <x v="0"/>
  </r>
  <r>
    <x v="1"/>
    <x v="5"/>
    <x v="0"/>
    <n v="0"/>
    <x v="1"/>
    <x v="1"/>
    <x v="1"/>
    <x v="1"/>
    <x v="1"/>
  </r>
  <r>
    <x v="2"/>
    <x v="5"/>
    <x v="0"/>
    <n v="0"/>
    <x v="2"/>
    <x v="2"/>
    <x v="2"/>
    <x v="2"/>
    <x v="2"/>
  </r>
  <r>
    <x v="3"/>
    <x v="5"/>
    <x v="0"/>
    <n v="0"/>
    <x v="3"/>
    <x v="3"/>
    <x v="3"/>
    <x v="3"/>
    <x v="3"/>
  </r>
  <r>
    <x v="4"/>
    <x v="5"/>
    <x v="0"/>
    <n v="0"/>
    <x v="4"/>
    <x v="4"/>
    <x v="4"/>
    <x v="4"/>
    <x v="4"/>
  </r>
  <r>
    <x v="5"/>
    <x v="5"/>
    <x v="0"/>
    <n v="0"/>
    <x v="5"/>
    <x v="5"/>
    <x v="5"/>
    <x v="5"/>
    <x v="5"/>
  </r>
  <r>
    <x v="6"/>
    <x v="5"/>
    <x v="0"/>
    <n v="0"/>
    <x v="6"/>
    <x v="6"/>
    <x v="6"/>
    <x v="6"/>
    <x v="6"/>
  </r>
  <r>
    <x v="0"/>
    <x v="6"/>
    <x v="0"/>
    <n v="5.7458189138133831E-2"/>
    <x v="0"/>
    <x v="0"/>
    <x v="0"/>
    <x v="0"/>
    <x v="0"/>
  </r>
  <r>
    <x v="1"/>
    <x v="6"/>
    <x v="0"/>
    <n v="0.29137561987876953"/>
    <x v="1"/>
    <x v="1"/>
    <x v="1"/>
    <x v="1"/>
    <x v="1"/>
  </r>
  <r>
    <x v="2"/>
    <x v="6"/>
    <x v="0"/>
    <n v="0.17205597797903788"/>
    <x v="2"/>
    <x v="2"/>
    <x v="2"/>
    <x v="2"/>
    <x v="2"/>
  </r>
  <r>
    <x v="3"/>
    <x v="6"/>
    <x v="0"/>
    <n v="4.12954314668907E-2"/>
    <x v="3"/>
    <x v="3"/>
    <x v="3"/>
    <x v="3"/>
    <x v="3"/>
  </r>
  <r>
    <x v="4"/>
    <x v="6"/>
    <x v="0"/>
    <n v="2.6765036035065533E-2"/>
    <x v="4"/>
    <x v="4"/>
    <x v="4"/>
    <x v="4"/>
    <x v="4"/>
  </r>
  <r>
    <x v="5"/>
    <x v="6"/>
    <x v="0"/>
    <n v="0.11667191856915597"/>
    <x v="5"/>
    <x v="5"/>
    <x v="5"/>
    <x v="5"/>
    <x v="5"/>
  </r>
  <r>
    <x v="6"/>
    <x v="6"/>
    <x v="0"/>
    <n v="0"/>
    <x v="6"/>
    <x v="6"/>
    <x v="6"/>
    <x v="6"/>
    <x v="6"/>
  </r>
  <r>
    <x v="0"/>
    <x v="7"/>
    <x v="0"/>
    <n v="0"/>
    <x v="0"/>
    <x v="0"/>
    <x v="0"/>
    <x v="0"/>
    <x v="0"/>
  </r>
  <r>
    <x v="1"/>
    <x v="7"/>
    <x v="0"/>
    <n v="0"/>
    <x v="1"/>
    <x v="1"/>
    <x v="1"/>
    <x v="1"/>
    <x v="1"/>
  </r>
  <r>
    <x v="2"/>
    <x v="7"/>
    <x v="0"/>
    <n v="0"/>
    <x v="2"/>
    <x v="2"/>
    <x v="2"/>
    <x v="2"/>
    <x v="2"/>
  </r>
  <r>
    <x v="3"/>
    <x v="7"/>
    <x v="0"/>
    <n v="0"/>
    <x v="3"/>
    <x v="3"/>
    <x v="3"/>
    <x v="3"/>
    <x v="3"/>
  </r>
  <r>
    <x v="4"/>
    <x v="7"/>
    <x v="0"/>
    <n v="0"/>
    <x v="4"/>
    <x v="4"/>
    <x v="4"/>
    <x v="4"/>
    <x v="4"/>
  </r>
  <r>
    <x v="5"/>
    <x v="7"/>
    <x v="0"/>
    <n v="0"/>
    <x v="5"/>
    <x v="5"/>
    <x v="5"/>
    <x v="5"/>
    <x v="5"/>
  </r>
  <r>
    <x v="6"/>
    <x v="7"/>
    <x v="0"/>
    <n v="0"/>
    <x v="6"/>
    <x v="6"/>
    <x v="6"/>
    <x v="6"/>
    <x v="6"/>
  </r>
  <r>
    <x v="0"/>
    <x v="8"/>
    <x v="0"/>
    <n v="0.22448908935199494"/>
    <x v="0"/>
    <x v="0"/>
    <x v="0"/>
    <x v="0"/>
    <x v="0"/>
  </r>
  <r>
    <x v="1"/>
    <x v="8"/>
    <x v="0"/>
    <n v="0.47170918417797886"/>
    <x v="1"/>
    <x v="1"/>
    <x v="1"/>
    <x v="1"/>
    <x v="1"/>
  </r>
  <r>
    <x v="2"/>
    <x v="8"/>
    <x v="0"/>
    <n v="0.32627245128621429"/>
    <x v="2"/>
    <x v="2"/>
    <x v="2"/>
    <x v="2"/>
    <x v="2"/>
  </r>
  <r>
    <x v="3"/>
    <x v="8"/>
    <x v="0"/>
    <n v="0.27753161152393002"/>
    <x v="3"/>
    <x v="3"/>
    <x v="3"/>
    <x v="3"/>
    <x v="3"/>
  </r>
  <r>
    <x v="4"/>
    <x v="8"/>
    <x v="0"/>
    <n v="0.42676222143559295"/>
    <x v="4"/>
    <x v="4"/>
    <x v="4"/>
    <x v="4"/>
    <x v="4"/>
  </r>
  <r>
    <x v="5"/>
    <x v="8"/>
    <x v="0"/>
    <n v="0.11785169085988705"/>
    <x v="5"/>
    <x v="5"/>
    <x v="5"/>
    <x v="5"/>
    <x v="5"/>
  </r>
  <r>
    <x v="6"/>
    <x v="8"/>
    <x v="0"/>
    <n v="4.6706172782707431E-2"/>
    <x v="6"/>
    <x v="6"/>
    <x v="6"/>
    <x v="6"/>
    <x v="6"/>
  </r>
  <r>
    <x v="0"/>
    <x v="9"/>
    <x v="0"/>
    <n v="8.8018589863824062E-2"/>
    <x v="0"/>
    <x v="0"/>
    <x v="0"/>
    <x v="0"/>
    <x v="0"/>
  </r>
  <r>
    <x v="1"/>
    <x v="9"/>
    <x v="0"/>
    <n v="0.26385258369805747"/>
    <x v="1"/>
    <x v="1"/>
    <x v="1"/>
    <x v="1"/>
    <x v="1"/>
  </r>
  <r>
    <x v="2"/>
    <x v="9"/>
    <x v="0"/>
    <n v="0.1330176158216978"/>
    <x v="2"/>
    <x v="2"/>
    <x v="2"/>
    <x v="2"/>
    <x v="2"/>
  </r>
  <r>
    <x v="3"/>
    <x v="9"/>
    <x v="0"/>
    <n v="9.9870110783791294E-2"/>
    <x v="3"/>
    <x v="3"/>
    <x v="3"/>
    <x v="3"/>
    <x v="3"/>
  </r>
  <r>
    <x v="4"/>
    <x v="9"/>
    <x v="0"/>
    <n v="0.21854454902791648"/>
    <x v="4"/>
    <x v="4"/>
    <x v="4"/>
    <x v="4"/>
    <x v="4"/>
  </r>
  <r>
    <x v="5"/>
    <x v="9"/>
    <x v="0"/>
    <n v="0.15998676350772478"/>
    <x v="5"/>
    <x v="5"/>
    <x v="5"/>
    <x v="5"/>
    <x v="5"/>
  </r>
  <r>
    <x v="6"/>
    <x v="9"/>
    <x v="0"/>
    <n v="0.19430909865599366"/>
    <x v="6"/>
    <x v="6"/>
    <x v="6"/>
    <x v="6"/>
    <x v="6"/>
  </r>
  <r>
    <x v="0"/>
    <x v="10"/>
    <x v="0"/>
    <n v="0"/>
    <x v="0"/>
    <x v="0"/>
    <x v="0"/>
    <x v="0"/>
    <x v="0"/>
  </r>
  <r>
    <x v="1"/>
    <x v="10"/>
    <x v="0"/>
    <n v="0"/>
    <x v="1"/>
    <x v="1"/>
    <x v="1"/>
    <x v="1"/>
    <x v="1"/>
  </r>
  <r>
    <x v="2"/>
    <x v="10"/>
    <x v="0"/>
    <n v="0"/>
    <x v="2"/>
    <x v="2"/>
    <x v="2"/>
    <x v="2"/>
    <x v="2"/>
  </r>
  <r>
    <x v="3"/>
    <x v="10"/>
    <x v="0"/>
    <n v="0"/>
    <x v="3"/>
    <x v="3"/>
    <x v="3"/>
    <x v="3"/>
    <x v="3"/>
  </r>
  <r>
    <x v="4"/>
    <x v="10"/>
    <x v="0"/>
    <n v="0"/>
    <x v="4"/>
    <x v="4"/>
    <x v="4"/>
    <x v="4"/>
    <x v="4"/>
  </r>
  <r>
    <x v="5"/>
    <x v="10"/>
    <x v="0"/>
    <n v="0"/>
    <x v="5"/>
    <x v="5"/>
    <x v="5"/>
    <x v="5"/>
    <x v="5"/>
  </r>
  <r>
    <x v="6"/>
    <x v="10"/>
    <x v="0"/>
    <n v="0"/>
    <x v="6"/>
    <x v="6"/>
    <x v="6"/>
    <x v="6"/>
    <x v="6"/>
  </r>
  <r>
    <x v="0"/>
    <x v="11"/>
    <x v="0"/>
    <n v="0"/>
    <x v="0"/>
    <x v="0"/>
    <x v="0"/>
    <x v="0"/>
    <x v="0"/>
  </r>
  <r>
    <x v="1"/>
    <x v="11"/>
    <x v="0"/>
    <n v="0"/>
    <x v="1"/>
    <x v="1"/>
    <x v="1"/>
    <x v="1"/>
    <x v="1"/>
  </r>
  <r>
    <x v="2"/>
    <x v="11"/>
    <x v="0"/>
    <n v="0"/>
    <x v="2"/>
    <x v="2"/>
    <x v="2"/>
    <x v="2"/>
    <x v="2"/>
  </r>
  <r>
    <x v="3"/>
    <x v="11"/>
    <x v="0"/>
    <n v="0"/>
    <x v="3"/>
    <x v="3"/>
    <x v="3"/>
    <x v="3"/>
    <x v="3"/>
  </r>
  <r>
    <x v="4"/>
    <x v="11"/>
    <x v="0"/>
    <n v="0"/>
    <x v="4"/>
    <x v="4"/>
    <x v="4"/>
    <x v="4"/>
    <x v="4"/>
  </r>
  <r>
    <x v="5"/>
    <x v="11"/>
    <x v="0"/>
    <n v="0"/>
    <x v="5"/>
    <x v="5"/>
    <x v="5"/>
    <x v="5"/>
    <x v="5"/>
  </r>
  <r>
    <x v="6"/>
    <x v="11"/>
    <x v="0"/>
    <n v="0"/>
    <x v="6"/>
    <x v="6"/>
    <x v="6"/>
    <x v="6"/>
    <x v="6"/>
  </r>
  <r>
    <x v="0"/>
    <x v="12"/>
    <x v="0"/>
    <n v="0"/>
    <x v="0"/>
    <x v="0"/>
    <x v="0"/>
    <x v="0"/>
    <x v="0"/>
  </r>
  <r>
    <x v="1"/>
    <x v="12"/>
    <x v="0"/>
    <n v="0.10411803562201404"/>
    <x v="1"/>
    <x v="1"/>
    <x v="1"/>
    <x v="1"/>
    <x v="1"/>
  </r>
  <r>
    <x v="2"/>
    <x v="12"/>
    <x v="0"/>
    <n v="0"/>
    <x v="2"/>
    <x v="2"/>
    <x v="2"/>
    <x v="2"/>
    <x v="2"/>
  </r>
  <r>
    <x v="3"/>
    <x v="12"/>
    <x v="0"/>
    <n v="0"/>
    <x v="3"/>
    <x v="3"/>
    <x v="3"/>
    <x v="3"/>
    <x v="3"/>
  </r>
  <r>
    <x v="4"/>
    <x v="12"/>
    <x v="0"/>
    <n v="0"/>
    <x v="4"/>
    <x v="4"/>
    <x v="4"/>
    <x v="4"/>
    <x v="4"/>
  </r>
  <r>
    <x v="5"/>
    <x v="12"/>
    <x v="0"/>
    <n v="0"/>
    <x v="5"/>
    <x v="5"/>
    <x v="5"/>
    <x v="5"/>
    <x v="5"/>
  </r>
  <r>
    <x v="6"/>
    <x v="12"/>
    <x v="0"/>
    <n v="0"/>
    <x v="6"/>
    <x v="6"/>
    <x v="6"/>
    <x v="6"/>
    <x v="6"/>
  </r>
  <r>
    <x v="0"/>
    <x v="13"/>
    <x v="0"/>
    <n v="0"/>
    <x v="0"/>
    <x v="0"/>
    <x v="0"/>
    <x v="0"/>
    <x v="0"/>
  </r>
  <r>
    <x v="1"/>
    <x v="13"/>
    <x v="0"/>
    <n v="0"/>
    <x v="1"/>
    <x v="1"/>
    <x v="1"/>
    <x v="1"/>
    <x v="1"/>
  </r>
  <r>
    <x v="2"/>
    <x v="13"/>
    <x v="0"/>
    <n v="0"/>
    <x v="2"/>
    <x v="2"/>
    <x v="2"/>
    <x v="2"/>
    <x v="2"/>
  </r>
  <r>
    <x v="3"/>
    <x v="13"/>
    <x v="0"/>
    <n v="3.3166940206409284E-2"/>
    <x v="3"/>
    <x v="3"/>
    <x v="3"/>
    <x v="3"/>
    <x v="3"/>
  </r>
  <r>
    <x v="4"/>
    <x v="13"/>
    <x v="0"/>
    <n v="0.18811576190334744"/>
    <x v="4"/>
    <x v="4"/>
    <x v="4"/>
    <x v="4"/>
    <x v="4"/>
  </r>
  <r>
    <x v="5"/>
    <x v="13"/>
    <x v="0"/>
    <n v="0.17546000581415266"/>
    <x v="5"/>
    <x v="5"/>
    <x v="5"/>
    <x v="5"/>
    <x v="5"/>
  </r>
  <r>
    <x v="6"/>
    <x v="13"/>
    <x v="0"/>
    <n v="2.7180805999842732E-2"/>
    <x v="6"/>
    <x v="6"/>
    <x v="6"/>
    <x v="6"/>
    <x v="6"/>
  </r>
  <r>
    <x v="0"/>
    <x v="14"/>
    <x v="0"/>
    <n v="0"/>
    <x v="0"/>
    <x v="0"/>
    <x v="0"/>
    <x v="0"/>
    <x v="0"/>
  </r>
  <r>
    <x v="1"/>
    <x v="14"/>
    <x v="0"/>
    <n v="0"/>
    <x v="1"/>
    <x v="1"/>
    <x v="1"/>
    <x v="1"/>
    <x v="1"/>
  </r>
  <r>
    <x v="2"/>
    <x v="14"/>
    <x v="0"/>
    <n v="0"/>
    <x v="2"/>
    <x v="2"/>
    <x v="2"/>
    <x v="2"/>
    <x v="2"/>
  </r>
  <r>
    <x v="3"/>
    <x v="14"/>
    <x v="0"/>
    <n v="3.482095781542861E-3"/>
    <x v="3"/>
    <x v="3"/>
    <x v="3"/>
    <x v="3"/>
    <x v="3"/>
  </r>
  <r>
    <x v="4"/>
    <x v="14"/>
    <x v="0"/>
    <n v="0.12091994364682179"/>
    <x v="4"/>
    <x v="4"/>
    <x v="4"/>
    <x v="4"/>
    <x v="4"/>
  </r>
  <r>
    <x v="5"/>
    <x v="14"/>
    <x v="0"/>
    <n v="0.23836661218759905"/>
    <x v="5"/>
    <x v="5"/>
    <x v="5"/>
    <x v="5"/>
    <x v="5"/>
  </r>
  <r>
    <x v="6"/>
    <x v="14"/>
    <x v="0"/>
    <n v="0"/>
    <x v="6"/>
    <x v="6"/>
    <x v="6"/>
    <x v="6"/>
    <x v="6"/>
  </r>
  <r>
    <x v="0"/>
    <x v="15"/>
    <x v="0"/>
    <n v="0"/>
    <x v="0"/>
    <x v="0"/>
    <x v="0"/>
    <x v="0"/>
    <x v="0"/>
  </r>
  <r>
    <x v="1"/>
    <x v="15"/>
    <x v="0"/>
    <n v="0"/>
    <x v="1"/>
    <x v="1"/>
    <x v="1"/>
    <x v="1"/>
    <x v="1"/>
  </r>
  <r>
    <x v="2"/>
    <x v="15"/>
    <x v="0"/>
    <n v="4.940094266887198E-3"/>
    <x v="2"/>
    <x v="2"/>
    <x v="2"/>
    <x v="2"/>
    <x v="2"/>
  </r>
  <r>
    <x v="3"/>
    <x v="15"/>
    <x v="0"/>
    <n v="6.7568953424299825E-3"/>
    <x v="3"/>
    <x v="3"/>
    <x v="3"/>
    <x v="3"/>
    <x v="3"/>
  </r>
  <r>
    <x v="4"/>
    <x v="15"/>
    <x v="0"/>
    <n v="0.16665472768086309"/>
    <x v="4"/>
    <x v="4"/>
    <x v="4"/>
    <x v="4"/>
    <x v="4"/>
  </r>
  <r>
    <x v="5"/>
    <x v="15"/>
    <x v="0"/>
    <n v="0.28641942115702823"/>
    <x v="5"/>
    <x v="5"/>
    <x v="5"/>
    <x v="5"/>
    <x v="5"/>
  </r>
  <r>
    <x v="6"/>
    <x v="15"/>
    <x v="0"/>
    <n v="0.12892252146601907"/>
    <x v="6"/>
    <x v="6"/>
    <x v="6"/>
    <x v="6"/>
    <x v="6"/>
  </r>
  <r>
    <x v="0"/>
    <x v="16"/>
    <x v="0"/>
    <n v="0"/>
    <x v="0"/>
    <x v="0"/>
    <x v="0"/>
    <x v="0"/>
    <x v="0"/>
  </r>
  <r>
    <x v="1"/>
    <x v="16"/>
    <x v="0"/>
    <n v="0"/>
    <x v="1"/>
    <x v="1"/>
    <x v="1"/>
    <x v="1"/>
    <x v="1"/>
  </r>
  <r>
    <x v="2"/>
    <x v="16"/>
    <x v="0"/>
    <n v="0"/>
    <x v="2"/>
    <x v="2"/>
    <x v="2"/>
    <x v="2"/>
    <x v="2"/>
  </r>
  <r>
    <x v="3"/>
    <x v="16"/>
    <x v="0"/>
    <n v="0"/>
    <x v="3"/>
    <x v="3"/>
    <x v="3"/>
    <x v="3"/>
    <x v="3"/>
  </r>
  <r>
    <x v="4"/>
    <x v="16"/>
    <x v="0"/>
    <n v="0"/>
    <x v="4"/>
    <x v="4"/>
    <x v="4"/>
    <x v="4"/>
    <x v="4"/>
  </r>
  <r>
    <x v="5"/>
    <x v="16"/>
    <x v="0"/>
    <n v="0"/>
    <x v="5"/>
    <x v="5"/>
    <x v="5"/>
    <x v="5"/>
    <x v="5"/>
  </r>
  <r>
    <x v="6"/>
    <x v="16"/>
    <x v="0"/>
    <n v="0"/>
    <x v="6"/>
    <x v="6"/>
    <x v="6"/>
    <x v="6"/>
    <x v="6"/>
  </r>
  <r>
    <x v="0"/>
    <x v="17"/>
    <x v="0"/>
    <n v="0"/>
    <x v="0"/>
    <x v="0"/>
    <x v="0"/>
    <x v="0"/>
    <x v="0"/>
  </r>
  <r>
    <x v="1"/>
    <x v="17"/>
    <x v="0"/>
    <n v="0"/>
    <x v="1"/>
    <x v="1"/>
    <x v="1"/>
    <x v="1"/>
    <x v="1"/>
  </r>
  <r>
    <x v="2"/>
    <x v="17"/>
    <x v="0"/>
    <n v="0"/>
    <x v="2"/>
    <x v="2"/>
    <x v="2"/>
    <x v="2"/>
    <x v="2"/>
  </r>
  <r>
    <x v="3"/>
    <x v="17"/>
    <x v="0"/>
    <n v="0"/>
    <x v="3"/>
    <x v="3"/>
    <x v="3"/>
    <x v="3"/>
    <x v="3"/>
  </r>
  <r>
    <x v="4"/>
    <x v="17"/>
    <x v="0"/>
    <n v="0"/>
    <x v="4"/>
    <x v="4"/>
    <x v="4"/>
    <x v="4"/>
    <x v="4"/>
  </r>
  <r>
    <x v="5"/>
    <x v="17"/>
    <x v="0"/>
    <n v="0"/>
    <x v="5"/>
    <x v="5"/>
    <x v="5"/>
    <x v="5"/>
    <x v="5"/>
  </r>
  <r>
    <x v="6"/>
    <x v="17"/>
    <x v="0"/>
    <n v="0"/>
    <x v="6"/>
    <x v="6"/>
    <x v="6"/>
    <x v="6"/>
    <x v="6"/>
  </r>
  <r>
    <x v="0"/>
    <x v="18"/>
    <x v="0"/>
    <n v="6.501302881848188E-2"/>
    <x v="0"/>
    <x v="0"/>
    <x v="0"/>
    <x v="0"/>
    <x v="0"/>
  </r>
  <r>
    <x v="1"/>
    <x v="18"/>
    <x v="0"/>
    <n v="0.15035602477906523"/>
    <x v="1"/>
    <x v="1"/>
    <x v="1"/>
    <x v="1"/>
    <x v="1"/>
  </r>
  <r>
    <x v="2"/>
    <x v="18"/>
    <x v="0"/>
    <n v="7.8771121675305242E-2"/>
    <x v="2"/>
    <x v="2"/>
    <x v="2"/>
    <x v="2"/>
    <x v="2"/>
  </r>
  <r>
    <x v="3"/>
    <x v="18"/>
    <x v="0"/>
    <n v="8.4517565553394902E-2"/>
    <x v="3"/>
    <x v="3"/>
    <x v="3"/>
    <x v="3"/>
    <x v="3"/>
  </r>
  <r>
    <x v="4"/>
    <x v="18"/>
    <x v="0"/>
    <n v="0.18214208240061883"/>
    <x v="4"/>
    <x v="4"/>
    <x v="4"/>
    <x v="4"/>
    <x v="4"/>
  </r>
  <r>
    <x v="5"/>
    <x v="18"/>
    <x v="0"/>
    <n v="0.21333142207339639"/>
    <x v="5"/>
    <x v="5"/>
    <x v="5"/>
    <x v="5"/>
    <x v="5"/>
  </r>
  <r>
    <x v="6"/>
    <x v="18"/>
    <x v="0"/>
    <n v="7.5862093206630316E-2"/>
    <x v="6"/>
    <x v="6"/>
    <x v="6"/>
    <x v="6"/>
    <x v="6"/>
  </r>
  <r>
    <x v="0"/>
    <x v="19"/>
    <x v="0"/>
    <n v="0"/>
    <x v="0"/>
    <x v="0"/>
    <x v="0"/>
    <x v="0"/>
    <x v="0"/>
  </r>
  <r>
    <x v="1"/>
    <x v="19"/>
    <x v="0"/>
    <n v="0"/>
    <x v="1"/>
    <x v="1"/>
    <x v="1"/>
    <x v="1"/>
    <x v="1"/>
  </r>
  <r>
    <x v="2"/>
    <x v="19"/>
    <x v="0"/>
    <n v="0.21288416831326806"/>
    <x v="2"/>
    <x v="2"/>
    <x v="2"/>
    <x v="2"/>
    <x v="2"/>
  </r>
  <r>
    <x v="3"/>
    <x v="19"/>
    <x v="0"/>
    <n v="0"/>
    <x v="3"/>
    <x v="3"/>
    <x v="3"/>
    <x v="3"/>
    <x v="3"/>
  </r>
  <r>
    <x v="4"/>
    <x v="19"/>
    <x v="0"/>
    <n v="0"/>
    <x v="4"/>
    <x v="4"/>
    <x v="4"/>
    <x v="4"/>
    <x v="4"/>
  </r>
  <r>
    <x v="5"/>
    <x v="19"/>
    <x v="0"/>
    <n v="4.7992074098114075E-2"/>
    <x v="5"/>
    <x v="5"/>
    <x v="5"/>
    <x v="5"/>
    <x v="5"/>
  </r>
  <r>
    <x v="6"/>
    <x v="19"/>
    <x v="0"/>
    <n v="0"/>
    <x v="6"/>
    <x v="6"/>
    <x v="6"/>
    <x v="6"/>
    <x v="6"/>
  </r>
  <r>
    <x v="0"/>
    <x v="20"/>
    <x v="0"/>
    <n v="2.5229453847217184E-3"/>
    <x v="0"/>
    <x v="0"/>
    <x v="0"/>
    <x v="0"/>
    <x v="0"/>
  </r>
  <r>
    <x v="1"/>
    <x v="20"/>
    <x v="0"/>
    <n v="0.38177851859925466"/>
    <x v="1"/>
    <x v="1"/>
    <x v="1"/>
    <x v="1"/>
    <x v="1"/>
  </r>
  <r>
    <x v="2"/>
    <x v="20"/>
    <x v="0"/>
    <n v="8.5463772606477112E-2"/>
    <x v="2"/>
    <x v="2"/>
    <x v="2"/>
    <x v="2"/>
    <x v="2"/>
  </r>
  <r>
    <x v="3"/>
    <x v="20"/>
    <x v="0"/>
    <n v="0.12614006095010993"/>
    <x v="3"/>
    <x v="3"/>
    <x v="3"/>
    <x v="3"/>
    <x v="3"/>
  </r>
  <r>
    <x v="4"/>
    <x v="20"/>
    <x v="0"/>
    <n v="0.16595050053348323"/>
    <x v="4"/>
    <x v="4"/>
    <x v="4"/>
    <x v="4"/>
    <x v="4"/>
  </r>
  <r>
    <x v="5"/>
    <x v="20"/>
    <x v="0"/>
    <n v="0.18159878608515967"/>
    <x v="5"/>
    <x v="5"/>
    <x v="5"/>
    <x v="5"/>
    <x v="5"/>
  </r>
  <r>
    <x v="6"/>
    <x v="20"/>
    <x v="0"/>
    <n v="0.169393802772486"/>
    <x v="6"/>
    <x v="6"/>
    <x v="6"/>
    <x v="6"/>
    <x v="6"/>
  </r>
  <r>
    <x v="0"/>
    <x v="21"/>
    <x v="0"/>
    <n v="4.7726487469854188E-2"/>
    <x v="0"/>
    <x v="0"/>
    <x v="0"/>
    <x v="0"/>
    <x v="0"/>
  </r>
  <r>
    <x v="1"/>
    <x v="21"/>
    <x v="0"/>
    <n v="0.18445744147970461"/>
    <x v="1"/>
    <x v="1"/>
    <x v="1"/>
    <x v="1"/>
    <x v="1"/>
  </r>
  <r>
    <x v="2"/>
    <x v="21"/>
    <x v="0"/>
    <n v="7.9421673832522605E-2"/>
    <x v="2"/>
    <x v="2"/>
    <x v="2"/>
    <x v="2"/>
    <x v="2"/>
  </r>
  <r>
    <x v="3"/>
    <x v="21"/>
    <x v="0"/>
    <n v="9.5045244395595196E-2"/>
    <x v="3"/>
    <x v="3"/>
    <x v="3"/>
    <x v="3"/>
    <x v="3"/>
  </r>
  <r>
    <x v="4"/>
    <x v="21"/>
    <x v="0"/>
    <n v="1.5713780834102603E-2"/>
    <x v="4"/>
    <x v="4"/>
    <x v="4"/>
    <x v="4"/>
    <x v="4"/>
  </r>
  <r>
    <x v="5"/>
    <x v="21"/>
    <x v="0"/>
    <n v="0.1447918006285783"/>
    <x v="5"/>
    <x v="5"/>
    <x v="5"/>
    <x v="5"/>
    <x v="5"/>
  </r>
  <r>
    <x v="6"/>
    <x v="21"/>
    <x v="0"/>
    <n v="0"/>
    <x v="6"/>
    <x v="6"/>
    <x v="6"/>
    <x v="6"/>
    <x v="6"/>
  </r>
  <r>
    <x v="0"/>
    <x v="22"/>
    <x v="0"/>
    <n v="0"/>
    <x v="0"/>
    <x v="0"/>
    <x v="0"/>
    <x v="0"/>
    <x v="0"/>
  </r>
  <r>
    <x v="1"/>
    <x v="22"/>
    <x v="0"/>
    <n v="0.20763445232321687"/>
    <x v="1"/>
    <x v="1"/>
    <x v="1"/>
    <x v="1"/>
    <x v="1"/>
  </r>
  <r>
    <x v="2"/>
    <x v="22"/>
    <x v="0"/>
    <n v="0"/>
    <x v="2"/>
    <x v="2"/>
    <x v="2"/>
    <x v="2"/>
    <x v="2"/>
  </r>
  <r>
    <x v="3"/>
    <x v="22"/>
    <x v="0"/>
    <n v="0"/>
    <x v="3"/>
    <x v="3"/>
    <x v="3"/>
    <x v="3"/>
    <x v="3"/>
  </r>
  <r>
    <x v="4"/>
    <x v="22"/>
    <x v="0"/>
    <n v="0.25"/>
    <x v="4"/>
    <x v="4"/>
    <x v="4"/>
    <x v="4"/>
    <x v="4"/>
  </r>
  <r>
    <x v="5"/>
    <x v="22"/>
    <x v="0"/>
    <n v="0"/>
    <x v="5"/>
    <x v="5"/>
    <x v="5"/>
    <x v="5"/>
    <x v="5"/>
  </r>
  <r>
    <x v="6"/>
    <x v="22"/>
    <x v="0"/>
    <n v="0"/>
    <x v="6"/>
    <x v="6"/>
    <x v="6"/>
    <x v="6"/>
    <x v="6"/>
  </r>
  <r>
    <x v="0"/>
    <x v="23"/>
    <x v="0"/>
    <n v="0"/>
    <x v="0"/>
    <x v="0"/>
    <x v="0"/>
    <x v="0"/>
    <x v="0"/>
  </r>
  <r>
    <x v="1"/>
    <x v="23"/>
    <x v="0"/>
    <n v="4.8438389025198522E-2"/>
    <x v="1"/>
    <x v="1"/>
    <x v="1"/>
    <x v="1"/>
    <x v="1"/>
  </r>
  <r>
    <x v="2"/>
    <x v="23"/>
    <x v="0"/>
    <n v="1.018245883933812E-2"/>
    <x v="2"/>
    <x v="2"/>
    <x v="2"/>
    <x v="2"/>
    <x v="2"/>
  </r>
  <r>
    <x v="3"/>
    <x v="23"/>
    <x v="0"/>
    <n v="0"/>
    <x v="3"/>
    <x v="3"/>
    <x v="3"/>
    <x v="3"/>
    <x v="3"/>
  </r>
  <r>
    <x v="4"/>
    <x v="23"/>
    <x v="0"/>
    <n v="0"/>
    <x v="4"/>
    <x v="4"/>
    <x v="4"/>
    <x v="4"/>
    <x v="4"/>
  </r>
  <r>
    <x v="5"/>
    <x v="23"/>
    <x v="0"/>
    <n v="0"/>
    <x v="5"/>
    <x v="5"/>
    <x v="5"/>
    <x v="5"/>
    <x v="5"/>
  </r>
  <r>
    <x v="6"/>
    <x v="23"/>
    <x v="0"/>
    <n v="0"/>
    <x v="6"/>
    <x v="6"/>
    <x v="6"/>
    <x v="6"/>
    <x v="6"/>
  </r>
  <r>
    <x v="0"/>
    <x v="24"/>
    <x v="0"/>
    <n v="4.5730533704456712E-2"/>
    <x v="0"/>
    <x v="0"/>
    <x v="0"/>
    <x v="0"/>
    <x v="0"/>
  </r>
  <r>
    <x v="1"/>
    <x v="24"/>
    <x v="0"/>
    <n v="0.29342167390737123"/>
    <x v="1"/>
    <x v="1"/>
    <x v="1"/>
    <x v="1"/>
    <x v="1"/>
  </r>
  <r>
    <x v="2"/>
    <x v="24"/>
    <x v="0"/>
    <n v="6.334649699035988E-2"/>
    <x v="2"/>
    <x v="2"/>
    <x v="2"/>
    <x v="2"/>
    <x v="2"/>
  </r>
  <r>
    <x v="3"/>
    <x v="24"/>
    <x v="0"/>
    <n v="7.4494798526898581E-2"/>
    <x v="3"/>
    <x v="3"/>
    <x v="3"/>
    <x v="3"/>
    <x v="3"/>
  </r>
  <r>
    <x v="4"/>
    <x v="24"/>
    <x v="0"/>
    <n v="0.1453594207936629"/>
    <x v="4"/>
    <x v="4"/>
    <x v="4"/>
    <x v="4"/>
    <x v="4"/>
  </r>
  <r>
    <x v="5"/>
    <x v="24"/>
    <x v="0"/>
    <n v="0.21554175698553413"/>
    <x v="5"/>
    <x v="5"/>
    <x v="5"/>
    <x v="5"/>
    <x v="5"/>
  </r>
  <r>
    <x v="6"/>
    <x v="24"/>
    <x v="0"/>
    <n v="9.1355400283232524E-2"/>
    <x v="6"/>
    <x v="6"/>
    <x v="6"/>
    <x v="6"/>
    <x v="6"/>
  </r>
  <r>
    <x v="0"/>
    <x v="25"/>
    <x v="0"/>
    <n v="0"/>
    <x v="0"/>
    <x v="0"/>
    <x v="0"/>
    <x v="0"/>
    <x v="0"/>
  </r>
  <r>
    <x v="1"/>
    <x v="25"/>
    <x v="0"/>
    <n v="0"/>
    <x v="1"/>
    <x v="1"/>
    <x v="1"/>
    <x v="1"/>
    <x v="1"/>
  </r>
  <r>
    <x v="2"/>
    <x v="25"/>
    <x v="0"/>
    <n v="0"/>
    <x v="2"/>
    <x v="2"/>
    <x v="2"/>
    <x v="2"/>
    <x v="2"/>
  </r>
  <r>
    <x v="3"/>
    <x v="25"/>
    <x v="0"/>
    <n v="0"/>
    <x v="3"/>
    <x v="3"/>
    <x v="3"/>
    <x v="3"/>
    <x v="3"/>
  </r>
  <r>
    <x v="4"/>
    <x v="25"/>
    <x v="0"/>
    <n v="0.19648040820052978"/>
    <x v="4"/>
    <x v="4"/>
    <x v="4"/>
    <x v="4"/>
    <x v="4"/>
  </r>
  <r>
    <x v="5"/>
    <x v="25"/>
    <x v="0"/>
    <n v="0.17462043285804227"/>
    <x v="5"/>
    <x v="5"/>
    <x v="5"/>
    <x v="5"/>
    <x v="5"/>
  </r>
  <r>
    <x v="6"/>
    <x v="25"/>
    <x v="0"/>
    <n v="0.10875601451192747"/>
    <x v="6"/>
    <x v="6"/>
    <x v="6"/>
    <x v="6"/>
    <x v="6"/>
  </r>
  <r>
    <x v="0"/>
    <x v="26"/>
    <x v="0"/>
    <n v="0"/>
    <x v="0"/>
    <x v="0"/>
    <x v="0"/>
    <x v="0"/>
    <x v="0"/>
  </r>
  <r>
    <x v="1"/>
    <x v="26"/>
    <x v="0"/>
    <n v="0"/>
    <x v="1"/>
    <x v="1"/>
    <x v="1"/>
    <x v="1"/>
    <x v="1"/>
  </r>
  <r>
    <x v="2"/>
    <x v="26"/>
    <x v="0"/>
    <n v="0.25307629827160494"/>
    <x v="2"/>
    <x v="2"/>
    <x v="2"/>
    <x v="2"/>
    <x v="2"/>
  </r>
  <r>
    <x v="3"/>
    <x v="26"/>
    <x v="0"/>
    <n v="0"/>
    <x v="3"/>
    <x v="3"/>
    <x v="3"/>
    <x v="3"/>
    <x v="3"/>
  </r>
  <r>
    <x v="4"/>
    <x v="26"/>
    <x v="0"/>
    <n v="0"/>
    <x v="4"/>
    <x v="4"/>
    <x v="4"/>
    <x v="4"/>
    <x v="4"/>
  </r>
  <r>
    <x v="5"/>
    <x v="26"/>
    <x v="0"/>
    <n v="0"/>
    <x v="5"/>
    <x v="5"/>
    <x v="5"/>
    <x v="5"/>
    <x v="5"/>
  </r>
  <r>
    <x v="6"/>
    <x v="26"/>
    <x v="0"/>
    <n v="0"/>
    <x v="6"/>
    <x v="6"/>
    <x v="6"/>
    <x v="6"/>
    <x v="6"/>
  </r>
  <r>
    <x v="0"/>
    <x v="27"/>
    <x v="0"/>
    <n v="7.9603378677291503E-2"/>
    <x v="0"/>
    <x v="0"/>
    <x v="0"/>
    <x v="0"/>
    <x v="0"/>
  </r>
  <r>
    <x v="1"/>
    <x v="27"/>
    <x v="0"/>
    <n v="0.2602857868811711"/>
    <x v="1"/>
    <x v="1"/>
    <x v="1"/>
    <x v="1"/>
    <x v="1"/>
  </r>
  <r>
    <x v="2"/>
    <x v="27"/>
    <x v="0"/>
    <n v="5.7133553382521504E-2"/>
    <x v="2"/>
    <x v="2"/>
    <x v="2"/>
    <x v="2"/>
    <x v="2"/>
  </r>
  <r>
    <x v="3"/>
    <x v="27"/>
    <x v="0"/>
    <n v="0.19021787219091568"/>
    <x v="3"/>
    <x v="3"/>
    <x v="3"/>
    <x v="3"/>
    <x v="3"/>
  </r>
  <r>
    <x v="4"/>
    <x v="27"/>
    <x v="0"/>
    <n v="0.33766828298922064"/>
    <x v="4"/>
    <x v="4"/>
    <x v="4"/>
    <x v="4"/>
    <x v="4"/>
  </r>
  <r>
    <x v="5"/>
    <x v="27"/>
    <x v="0"/>
    <n v="0.36738895115887349"/>
    <x v="5"/>
    <x v="5"/>
    <x v="5"/>
    <x v="5"/>
    <x v="5"/>
  </r>
  <r>
    <x v="6"/>
    <x v="27"/>
    <x v="0"/>
    <n v="0.12010395924220262"/>
    <x v="6"/>
    <x v="6"/>
    <x v="6"/>
    <x v="6"/>
    <x v="6"/>
  </r>
  <r>
    <x v="0"/>
    <x v="0"/>
    <x v="1"/>
    <n v="0"/>
    <x v="0"/>
    <x v="0"/>
    <x v="0"/>
    <x v="0"/>
    <x v="0"/>
  </r>
  <r>
    <x v="1"/>
    <x v="0"/>
    <x v="1"/>
    <n v="0"/>
    <x v="1"/>
    <x v="1"/>
    <x v="1"/>
    <x v="1"/>
    <x v="1"/>
  </r>
  <r>
    <x v="2"/>
    <x v="0"/>
    <x v="1"/>
    <n v="0"/>
    <x v="2"/>
    <x v="2"/>
    <x v="2"/>
    <x v="2"/>
    <x v="2"/>
  </r>
  <r>
    <x v="3"/>
    <x v="0"/>
    <x v="1"/>
    <n v="0"/>
    <x v="3"/>
    <x v="3"/>
    <x v="3"/>
    <x v="3"/>
    <x v="3"/>
  </r>
  <r>
    <x v="4"/>
    <x v="0"/>
    <x v="1"/>
    <n v="0"/>
    <x v="4"/>
    <x v="4"/>
    <x v="4"/>
    <x v="4"/>
    <x v="4"/>
  </r>
  <r>
    <x v="5"/>
    <x v="0"/>
    <x v="1"/>
    <n v="0.32727543895632449"/>
    <x v="5"/>
    <x v="5"/>
    <x v="5"/>
    <x v="5"/>
    <x v="5"/>
  </r>
  <r>
    <x v="6"/>
    <x v="0"/>
    <x v="1"/>
    <n v="4.1531125708018715E-2"/>
    <x v="6"/>
    <x v="6"/>
    <x v="6"/>
    <x v="6"/>
    <x v="6"/>
  </r>
  <r>
    <x v="0"/>
    <x v="1"/>
    <x v="1"/>
    <n v="0.26940190012890297"/>
    <x v="0"/>
    <x v="0"/>
    <x v="0"/>
    <x v="0"/>
    <x v="0"/>
  </r>
  <r>
    <x v="1"/>
    <x v="1"/>
    <x v="1"/>
    <n v="0.1882914301471687"/>
    <x v="1"/>
    <x v="1"/>
    <x v="1"/>
    <x v="1"/>
    <x v="1"/>
  </r>
  <r>
    <x v="2"/>
    <x v="1"/>
    <x v="1"/>
    <n v="0.18043206454135891"/>
    <x v="2"/>
    <x v="2"/>
    <x v="2"/>
    <x v="2"/>
    <x v="2"/>
  </r>
  <r>
    <x v="3"/>
    <x v="1"/>
    <x v="1"/>
    <n v="0.13305954972911577"/>
    <x v="3"/>
    <x v="3"/>
    <x v="3"/>
    <x v="3"/>
    <x v="3"/>
  </r>
  <r>
    <x v="4"/>
    <x v="1"/>
    <x v="1"/>
    <n v="0.53428463904879919"/>
    <x v="4"/>
    <x v="4"/>
    <x v="4"/>
    <x v="4"/>
    <x v="4"/>
  </r>
  <r>
    <x v="5"/>
    <x v="1"/>
    <x v="1"/>
    <n v="0.51725698720396895"/>
    <x v="5"/>
    <x v="5"/>
    <x v="5"/>
    <x v="5"/>
    <x v="5"/>
  </r>
  <r>
    <x v="6"/>
    <x v="1"/>
    <x v="1"/>
    <n v="0.2926079436429429"/>
    <x v="6"/>
    <x v="6"/>
    <x v="6"/>
    <x v="6"/>
    <x v="6"/>
  </r>
  <r>
    <x v="0"/>
    <x v="2"/>
    <x v="1"/>
    <n v="1.0842394860610177E-2"/>
    <x v="0"/>
    <x v="0"/>
    <x v="0"/>
    <x v="0"/>
    <x v="0"/>
  </r>
  <r>
    <x v="1"/>
    <x v="2"/>
    <x v="1"/>
    <n v="0.57768309702662424"/>
    <x v="1"/>
    <x v="1"/>
    <x v="1"/>
    <x v="1"/>
    <x v="1"/>
  </r>
  <r>
    <x v="2"/>
    <x v="2"/>
    <x v="1"/>
    <n v="0.20807450377980333"/>
    <x v="2"/>
    <x v="2"/>
    <x v="2"/>
    <x v="2"/>
    <x v="2"/>
  </r>
  <r>
    <x v="3"/>
    <x v="2"/>
    <x v="1"/>
    <n v="0.29741415860060483"/>
    <x v="3"/>
    <x v="3"/>
    <x v="3"/>
    <x v="3"/>
    <x v="3"/>
  </r>
  <r>
    <x v="4"/>
    <x v="2"/>
    <x v="1"/>
    <n v="0.57965802171452852"/>
    <x v="4"/>
    <x v="4"/>
    <x v="4"/>
    <x v="4"/>
    <x v="4"/>
  </r>
  <r>
    <x v="5"/>
    <x v="2"/>
    <x v="1"/>
    <n v="0.53932888180238459"/>
    <x v="5"/>
    <x v="5"/>
    <x v="5"/>
    <x v="5"/>
    <x v="5"/>
  </r>
  <r>
    <x v="6"/>
    <x v="2"/>
    <x v="1"/>
    <n v="0.50149529230205137"/>
    <x v="6"/>
    <x v="6"/>
    <x v="6"/>
    <x v="6"/>
    <x v="6"/>
  </r>
  <r>
    <x v="0"/>
    <x v="3"/>
    <x v="1"/>
    <n v="0"/>
    <x v="0"/>
    <x v="0"/>
    <x v="0"/>
    <x v="0"/>
    <x v="0"/>
  </r>
  <r>
    <x v="1"/>
    <x v="3"/>
    <x v="1"/>
    <n v="0"/>
    <x v="1"/>
    <x v="1"/>
    <x v="1"/>
    <x v="1"/>
    <x v="1"/>
  </r>
  <r>
    <x v="2"/>
    <x v="3"/>
    <x v="1"/>
    <n v="0"/>
    <x v="2"/>
    <x v="2"/>
    <x v="2"/>
    <x v="2"/>
    <x v="2"/>
  </r>
  <r>
    <x v="3"/>
    <x v="3"/>
    <x v="1"/>
    <n v="0"/>
    <x v="3"/>
    <x v="3"/>
    <x v="3"/>
    <x v="3"/>
    <x v="3"/>
  </r>
  <r>
    <x v="4"/>
    <x v="3"/>
    <x v="1"/>
    <n v="0"/>
    <x v="4"/>
    <x v="4"/>
    <x v="4"/>
    <x v="4"/>
    <x v="4"/>
  </r>
  <r>
    <x v="5"/>
    <x v="3"/>
    <x v="1"/>
    <n v="0"/>
    <x v="5"/>
    <x v="5"/>
    <x v="5"/>
    <x v="5"/>
    <x v="5"/>
  </r>
  <r>
    <x v="6"/>
    <x v="3"/>
    <x v="1"/>
    <n v="0"/>
    <x v="6"/>
    <x v="6"/>
    <x v="6"/>
    <x v="6"/>
    <x v="6"/>
  </r>
  <r>
    <x v="0"/>
    <x v="4"/>
    <x v="1"/>
    <n v="9.4167576639656123E-2"/>
    <x v="0"/>
    <x v="0"/>
    <x v="0"/>
    <x v="0"/>
    <x v="0"/>
  </r>
  <r>
    <x v="1"/>
    <x v="4"/>
    <x v="1"/>
    <n v="0.22405303661824258"/>
    <x v="1"/>
    <x v="1"/>
    <x v="1"/>
    <x v="1"/>
    <x v="1"/>
  </r>
  <r>
    <x v="2"/>
    <x v="4"/>
    <x v="1"/>
    <n v="0.22743088548496421"/>
    <x v="2"/>
    <x v="2"/>
    <x v="2"/>
    <x v="2"/>
    <x v="2"/>
  </r>
  <r>
    <x v="3"/>
    <x v="4"/>
    <x v="1"/>
    <n v="6.3388519435218268E-2"/>
    <x v="3"/>
    <x v="3"/>
    <x v="3"/>
    <x v="3"/>
    <x v="3"/>
  </r>
  <r>
    <x v="4"/>
    <x v="4"/>
    <x v="1"/>
    <n v="0.30935200882054575"/>
    <x v="4"/>
    <x v="4"/>
    <x v="4"/>
    <x v="4"/>
    <x v="4"/>
  </r>
  <r>
    <x v="5"/>
    <x v="4"/>
    <x v="1"/>
    <n v="0.34935630179358096"/>
    <x v="5"/>
    <x v="5"/>
    <x v="5"/>
    <x v="5"/>
    <x v="5"/>
  </r>
  <r>
    <x v="6"/>
    <x v="4"/>
    <x v="1"/>
    <n v="0.14453319613355389"/>
    <x v="6"/>
    <x v="6"/>
    <x v="6"/>
    <x v="6"/>
    <x v="6"/>
  </r>
  <r>
    <x v="0"/>
    <x v="5"/>
    <x v="1"/>
    <n v="0"/>
    <x v="0"/>
    <x v="0"/>
    <x v="0"/>
    <x v="0"/>
    <x v="0"/>
  </r>
  <r>
    <x v="1"/>
    <x v="5"/>
    <x v="1"/>
    <n v="0"/>
    <x v="1"/>
    <x v="1"/>
    <x v="1"/>
    <x v="1"/>
    <x v="1"/>
  </r>
  <r>
    <x v="2"/>
    <x v="5"/>
    <x v="1"/>
    <n v="0"/>
    <x v="2"/>
    <x v="2"/>
    <x v="2"/>
    <x v="2"/>
    <x v="2"/>
  </r>
  <r>
    <x v="3"/>
    <x v="5"/>
    <x v="1"/>
    <n v="0"/>
    <x v="3"/>
    <x v="3"/>
    <x v="3"/>
    <x v="3"/>
    <x v="3"/>
  </r>
  <r>
    <x v="4"/>
    <x v="5"/>
    <x v="1"/>
    <n v="0"/>
    <x v="4"/>
    <x v="4"/>
    <x v="4"/>
    <x v="4"/>
    <x v="4"/>
  </r>
  <r>
    <x v="5"/>
    <x v="5"/>
    <x v="1"/>
    <n v="0"/>
    <x v="5"/>
    <x v="5"/>
    <x v="5"/>
    <x v="5"/>
    <x v="5"/>
  </r>
  <r>
    <x v="6"/>
    <x v="5"/>
    <x v="1"/>
    <n v="0"/>
    <x v="6"/>
    <x v="6"/>
    <x v="6"/>
    <x v="6"/>
    <x v="6"/>
  </r>
  <r>
    <x v="0"/>
    <x v="6"/>
    <x v="1"/>
    <n v="0.11209341327543652"/>
    <x v="0"/>
    <x v="0"/>
    <x v="0"/>
    <x v="0"/>
    <x v="0"/>
  </r>
  <r>
    <x v="1"/>
    <x v="6"/>
    <x v="1"/>
    <n v="0.34475279132864672"/>
    <x v="1"/>
    <x v="1"/>
    <x v="1"/>
    <x v="1"/>
    <x v="1"/>
  </r>
  <r>
    <x v="2"/>
    <x v="6"/>
    <x v="1"/>
    <n v="0.26563434445094042"/>
    <x v="2"/>
    <x v="2"/>
    <x v="2"/>
    <x v="2"/>
    <x v="2"/>
  </r>
  <r>
    <x v="3"/>
    <x v="6"/>
    <x v="1"/>
    <n v="5.7194544444601599E-2"/>
    <x v="3"/>
    <x v="3"/>
    <x v="3"/>
    <x v="3"/>
    <x v="3"/>
  </r>
  <r>
    <x v="4"/>
    <x v="6"/>
    <x v="1"/>
    <n v="0.30389087503971646"/>
    <x v="4"/>
    <x v="4"/>
    <x v="4"/>
    <x v="4"/>
    <x v="4"/>
  </r>
  <r>
    <x v="5"/>
    <x v="6"/>
    <x v="1"/>
    <n v="0"/>
    <x v="5"/>
    <x v="5"/>
    <x v="5"/>
    <x v="5"/>
    <x v="5"/>
  </r>
  <r>
    <x v="6"/>
    <x v="6"/>
    <x v="1"/>
    <n v="0"/>
    <x v="6"/>
    <x v="6"/>
    <x v="6"/>
    <x v="6"/>
    <x v="6"/>
  </r>
  <r>
    <x v="0"/>
    <x v="7"/>
    <x v="1"/>
    <n v="0"/>
    <x v="0"/>
    <x v="0"/>
    <x v="0"/>
    <x v="0"/>
    <x v="0"/>
  </r>
  <r>
    <x v="1"/>
    <x v="7"/>
    <x v="1"/>
    <n v="0"/>
    <x v="1"/>
    <x v="1"/>
    <x v="1"/>
    <x v="1"/>
    <x v="1"/>
  </r>
  <r>
    <x v="2"/>
    <x v="7"/>
    <x v="1"/>
    <n v="0"/>
    <x v="2"/>
    <x v="2"/>
    <x v="2"/>
    <x v="2"/>
    <x v="2"/>
  </r>
  <r>
    <x v="3"/>
    <x v="7"/>
    <x v="1"/>
    <n v="0"/>
    <x v="3"/>
    <x v="3"/>
    <x v="3"/>
    <x v="3"/>
    <x v="3"/>
  </r>
  <r>
    <x v="4"/>
    <x v="7"/>
    <x v="1"/>
    <n v="0"/>
    <x v="4"/>
    <x v="4"/>
    <x v="4"/>
    <x v="4"/>
    <x v="4"/>
  </r>
  <r>
    <x v="5"/>
    <x v="7"/>
    <x v="1"/>
    <n v="0"/>
    <x v="5"/>
    <x v="5"/>
    <x v="5"/>
    <x v="5"/>
    <x v="5"/>
  </r>
  <r>
    <x v="6"/>
    <x v="7"/>
    <x v="1"/>
    <n v="0"/>
    <x v="6"/>
    <x v="6"/>
    <x v="6"/>
    <x v="6"/>
    <x v="6"/>
  </r>
  <r>
    <x v="0"/>
    <x v="8"/>
    <x v="1"/>
    <n v="0.30335198462458651"/>
    <x v="0"/>
    <x v="0"/>
    <x v="0"/>
    <x v="0"/>
    <x v="0"/>
  </r>
  <r>
    <x v="1"/>
    <x v="8"/>
    <x v="1"/>
    <n v="0.56436265905655247"/>
    <x v="1"/>
    <x v="1"/>
    <x v="1"/>
    <x v="1"/>
    <x v="1"/>
  </r>
  <r>
    <x v="2"/>
    <x v="8"/>
    <x v="1"/>
    <n v="0.49031437818168894"/>
    <x v="2"/>
    <x v="2"/>
    <x v="2"/>
    <x v="2"/>
    <x v="2"/>
  </r>
  <r>
    <x v="3"/>
    <x v="8"/>
    <x v="1"/>
    <n v="0.48235556119817768"/>
    <x v="3"/>
    <x v="3"/>
    <x v="3"/>
    <x v="3"/>
    <x v="3"/>
  </r>
  <r>
    <x v="4"/>
    <x v="8"/>
    <x v="1"/>
    <n v="0.61232954289689356"/>
    <x v="4"/>
    <x v="4"/>
    <x v="4"/>
    <x v="4"/>
    <x v="4"/>
  </r>
  <r>
    <x v="5"/>
    <x v="8"/>
    <x v="1"/>
    <n v="0.41337184122987997"/>
    <x v="5"/>
    <x v="5"/>
    <x v="5"/>
    <x v="5"/>
    <x v="5"/>
  </r>
  <r>
    <x v="6"/>
    <x v="8"/>
    <x v="1"/>
    <n v="0.53049772939435369"/>
    <x v="6"/>
    <x v="6"/>
    <x v="6"/>
    <x v="6"/>
    <x v="6"/>
  </r>
  <r>
    <x v="0"/>
    <x v="9"/>
    <x v="1"/>
    <n v="0.20300271676190143"/>
    <x v="0"/>
    <x v="0"/>
    <x v="0"/>
    <x v="0"/>
    <x v="0"/>
  </r>
  <r>
    <x v="1"/>
    <x v="9"/>
    <x v="1"/>
    <n v="0.39810564918448504"/>
    <x v="1"/>
    <x v="1"/>
    <x v="1"/>
    <x v="1"/>
    <x v="1"/>
  </r>
  <r>
    <x v="2"/>
    <x v="9"/>
    <x v="1"/>
    <n v="0.22178724761086549"/>
    <x v="2"/>
    <x v="2"/>
    <x v="2"/>
    <x v="2"/>
    <x v="2"/>
  </r>
  <r>
    <x v="3"/>
    <x v="9"/>
    <x v="1"/>
    <n v="0.1568990344473756"/>
    <x v="3"/>
    <x v="3"/>
    <x v="3"/>
    <x v="3"/>
    <x v="3"/>
  </r>
  <r>
    <x v="4"/>
    <x v="9"/>
    <x v="1"/>
    <n v="0.5150161567642344"/>
    <x v="4"/>
    <x v="4"/>
    <x v="4"/>
    <x v="4"/>
    <x v="4"/>
  </r>
  <r>
    <x v="5"/>
    <x v="9"/>
    <x v="1"/>
    <n v="0.46887915123448859"/>
    <x v="5"/>
    <x v="5"/>
    <x v="5"/>
    <x v="5"/>
    <x v="5"/>
  </r>
  <r>
    <x v="6"/>
    <x v="9"/>
    <x v="1"/>
    <n v="0.33440376138467287"/>
    <x v="6"/>
    <x v="6"/>
    <x v="6"/>
    <x v="6"/>
    <x v="6"/>
  </r>
  <r>
    <x v="0"/>
    <x v="10"/>
    <x v="1"/>
    <n v="0"/>
    <x v="0"/>
    <x v="0"/>
    <x v="0"/>
    <x v="0"/>
    <x v="0"/>
  </r>
  <r>
    <x v="1"/>
    <x v="10"/>
    <x v="1"/>
    <n v="0"/>
    <x v="1"/>
    <x v="1"/>
    <x v="1"/>
    <x v="1"/>
    <x v="1"/>
  </r>
  <r>
    <x v="2"/>
    <x v="10"/>
    <x v="1"/>
    <n v="0"/>
    <x v="2"/>
    <x v="2"/>
    <x v="2"/>
    <x v="2"/>
    <x v="2"/>
  </r>
  <r>
    <x v="3"/>
    <x v="10"/>
    <x v="1"/>
    <n v="0"/>
    <x v="3"/>
    <x v="3"/>
    <x v="3"/>
    <x v="3"/>
    <x v="3"/>
  </r>
  <r>
    <x v="4"/>
    <x v="10"/>
    <x v="1"/>
    <n v="0"/>
    <x v="4"/>
    <x v="4"/>
    <x v="4"/>
    <x v="4"/>
    <x v="4"/>
  </r>
  <r>
    <x v="5"/>
    <x v="10"/>
    <x v="1"/>
    <n v="0"/>
    <x v="5"/>
    <x v="5"/>
    <x v="5"/>
    <x v="5"/>
    <x v="5"/>
  </r>
  <r>
    <x v="6"/>
    <x v="10"/>
    <x v="1"/>
    <n v="0"/>
    <x v="6"/>
    <x v="6"/>
    <x v="6"/>
    <x v="6"/>
    <x v="6"/>
  </r>
  <r>
    <x v="0"/>
    <x v="11"/>
    <x v="1"/>
    <n v="0"/>
    <x v="0"/>
    <x v="0"/>
    <x v="0"/>
    <x v="0"/>
    <x v="0"/>
  </r>
  <r>
    <x v="1"/>
    <x v="11"/>
    <x v="1"/>
    <n v="0"/>
    <x v="1"/>
    <x v="1"/>
    <x v="1"/>
    <x v="1"/>
    <x v="1"/>
  </r>
  <r>
    <x v="2"/>
    <x v="11"/>
    <x v="1"/>
    <n v="0"/>
    <x v="2"/>
    <x v="2"/>
    <x v="2"/>
    <x v="2"/>
    <x v="2"/>
  </r>
  <r>
    <x v="3"/>
    <x v="11"/>
    <x v="1"/>
    <n v="0"/>
    <x v="3"/>
    <x v="3"/>
    <x v="3"/>
    <x v="3"/>
    <x v="3"/>
  </r>
  <r>
    <x v="4"/>
    <x v="11"/>
    <x v="1"/>
    <n v="0"/>
    <x v="4"/>
    <x v="4"/>
    <x v="4"/>
    <x v="4"/>
    <x v="4"/>
  </r>
  <r>
    <x v="5"/>
    <x v="11"/>
    <x v="1"/>
    <n v="0"/>
    <x v="5"/>
    <x v="5"/>
    <x v="5"/>
    <x v="5"/>
    <x v="5"/>
  </r>
  <r>
    <x v="6"/>
    <x v="11"/>
    <x v="1"/>
    <n v="0"/>
    <x v="6"/>
    <x v="6"/>
    <x v="6"/>
    <x v="6"/>
    <x v="6"/>
  </r>
  <r>
    <x v="0"/>
    <x v="12"/>
    <x v="1"/>
    <n v="0"/>
    <x v="0"/>
    <x v="0"/>
    <x v="0"/>
    <x v="0"/>
    <x v="0"/>
  </r>
  <r>
    <x v="1"/>
    <x v="12"/>
    <x v="1"/>
    <n v="0.25402897339851827"/>
    <x v="1"/>
    <x v="1"/>
    <x v="1"/>
    <x v="1"/>
    <x v="1"/>
  </r>
  <r>
    <x v="2"/>
    <x v="12"/>
    <x v="1"/>
    <n v="0"/>
    <x v="2"/>
    <x v="2"/>
    <x v="2"/>
    <x v="2"/>
    <x v="2"/>
  </r>
  <r>
    <x v="3"/>
    <x v="12"/>
    <x v="1"/>
    <n v="0"/>
    <x v="3"/>
    <x v="3"/>
    <x v="3"/>
    <x v="3"/>
    <x v="3"/>
  </r>
  <r>
    <x v="4"/>
    <x v="12"/>
    <x v="1"/>
    <n v="0"/>
    <x v="4"/>
    <x v="4"/>
    <x v="4"/>
    <x v="4"/>
    <x v="4"/>
  </r>
  <r>
    <x v="5"/>
    <x v="12"/>
    <x v="1"/>
    <n v="0"/>
    <x v="5"/>
    <x v="5"/>
    <x v="5"/>
    <x v="5"/>
    <x v="5"/>
  </r>
  <r>
    <x v="6"/>
    <x v="12"/>
    <x v="1"/>
    <n v="0"/>
    <x v="6"/>
    <x v="6"/>
    <x v="6"/>
    <x v="6"/>
    <x v="6"/>
  </r>
  <r>
    <x v="0"/>
    <x v="13"/>
    <x v="1"/>
    <n v="0"/>
    <x v="0"/>
    <x v="0"/>
    <x v="0"/>
    <x v="0"/>
    <x v="0"/>
  </r>
  <r>
    <x v="1"/>
    <x v="13"/>
    <x v="1"/>
    <n v="0"/>
    <x v="1"/>
    <x v="1"/>
    <x v="1"/>
    <x v="1"/>
    <x v="1"/>
  </r>
  <r>
    <x v="2"/>
    <x v="13"/>
    <x v="1"/>
    <n v="0"/>
    <x v="2"/>
    <x v="2"/>
    <x v="2"/>
    <x v="2"/>
    <x v="2"/>
  </r>
  <r>
    <x v="3"/>
    <x v="13"/>
    <x v="1"/>
    <n v="9.1391456720119724E-2"/>
    <x v="3"/>
    <x v="3"/>
    <x v="3"/>
    <x v="3"/>
    <x v="3"/>
  </r>
  <r>
    <x v="4"/>
    <x v="13"/>
    <x v="1"/>
    <n v="0.21283207843310128"/>
    <x v="4"/>
    <x v="4"/>
    <x v="4"/>
    <x v="4"/>
    <x v="4"/>
  </r>
  <r>
    <x v="5"/>
    <x v="13"/>
    <x v="1"/>
    <n v="0.25888180197452515"/>
    <x v="5"/>
    <x v="5"/>
    <x v="5"/>
    <x v="5"/>
    <x v="5"/>
  </r>
  <r>
    <x v="6"/>
    <x v="13"/>
    <x v="1"/>
    <n v="0.13346956069709026"/>
    <x v="6"/>
    <x v="6"/>
    <x v="6"/>
    <x v="6"/>
    <x v="6"/>
  </r>
  <r>
    <x v="0"/>
    <x v="14"/>
    <x v="1"/>
    <n v="0"/>
    <x v="0"/>
    <x v="0"/>
    <x v="0"/>
    <x v="0"/>
    <x v="0"/>
  </r>
  <r>
    <x v="1"/>
    <x v="14"/>
    <x v="1"/>
    <n v="0"/>
    <x v="1"/>
    <x v="1"/>
    <x v="1"/>
    <x v="1"/>
    <x v="1"/>
  </r>
  <r>
    <x v="2"/>
    <x v="14"/>
    <x v="1"/>
    <n v="0"/>
    <x v="2"/>
    <x v="2"/>
    <x v="2"/>
    <x v="2"/>
    <x v="2"/>
  </r>
  <r>
    <x v="3"/>
    <x v="14"/>
    <x v="1"/>
    <n v="3.7082291289901297E-3"/>
    <x v="3"/>
    <x v="3"/>
    <x v="3"/>
    <x v="3"/>
    <x v="3"/>
  </r>
  <r>
    <x v="4"/>
    <x v="14"/>
    <x v="1"/>
    <n v="0.30847176908864754"/>
    <x v="4"/>
    <x v="4"/>
    <x v="4"/>
    <x v="4"/>
    <x v="4"/>
  </r>
  <r>
    <x v="5"/>
    <x v="14"/>
    <x v="1"/>
    <n v="0.56761239372472194"/>
    <x v="5"/>
    <x v="5"/>
    <x v="5"/>
    <x v="5"/>
    <x v="5"/>
  </r>
  <r>
    <x v="6"/>
    <x v="14"/>
    <x v="1"/>
    <n v="0"/>
    <x v="6"/>
    <x v="6"/>
    <x v="6"/>
    <x v="6"/>
    <x v="6"/>
  </r>
  <r>
    <x v="0"/>
    <x v="15"/>
    <x v="1"/>
    <n v="0"/>
    <x v="0"/>
    <x v="0"/>
    <x v="0"/>
    <x v="0"/>
    <x v="0"/>
  </r>
  <r>
    <x v="1"/>
    <x v="15"/>
    <x v="1"/>
    <n v="0"/>
    <x v="1"/>
    <x v="1"/>
    <x v="1"/>
    <x v="1"/>
    <x v="1"/>
  </r>
  <r>
    <x v="2"/>
    <x v="15"/>
    <x v="1"/>
    <n v="0"/>
    <x v="2"/>
    <x v="2"/>
    <x v="2"/>
    <x v="2"/>
    <x v="2"/>
  </r>
  <r>
    <x v="3"/>
    <x v="15"/>
    <x v="1"/>
    <n v="6.3690828837916318E-3"/>
    <x v="3"/>
    <x v="3"/>
    <x v="3"/>
    <x v="3"/>
    <x v="3"/>
  </r>
  <r>
    <x v="4"/>
    <x v="15"/>
    <x v="1"/>
    <n v="0.33217463150820031"/>
    <x v="4"/>
    <x v="4"/>
    <x v="4"/>
    <x v="4"/>
    <x v="4"/>
  </r>
  <r>
    <x v="5"/>
    <x v="15"/>
    <x v="1"/>
    <n v="0.61641497034706849"/>
    <x v="5"/>
    <x v="5"/>
    <x v="5"/>
    <x v="5"/>
    <x v="5"/>
  </r>
  <r>
    <x v="6"/>
    <x v="15"/>
    <x v="1"/>
    <n v="0.19989453956925751"/>
    <x v="6"/>
    <x v="6"/>
    <x v="6"/>
    <x v="6"/>
    <x v="6"/>
  </r>
  <r>
    <x v="0"/>
    <x v="16"/>
    <x v="1"/>
    <n v="0"/>
    <x v="0"/>
    <x v="0"/>
    <x v="0"/>
    <x v="0"/>
    <x v="0"/>
  </r>
  <r>
    <x v="1"/>
    <x v="16"/>
    <x v="1"/>
    <n v="0"/>
    <x v="1"/>
    <x v="1"/>
    <x v="1"/>
    <x v="1"/>
    <x v="1"/>
  </r>
  <r>
    <x v="2"/>
    <x v="16"/>
    <x v="1"/>
    <n v="0"/>
    <x v="2"/>
    <x v="2"/>
    <x v="2"/>
    <x v="2"/>
    <x v="2"/>
  </r>
  <r>
    <x v="3"/>
    <x v="16"/>
    <x v="1"/>
    <n v="0"/>
    <x v="3"/>
    <x v="3"/>
    <x v="3"/>
    <x v="3"/>
    <x v="3"/>
  </r>
  <r>
    <x v="4"/>
    <x v="16"/>
    <x v="1"/>
    <n v="0"/>
    <x v="4"/>
    <x v="4"/>
    <x v="4"/>
    <x v="4"/>
    <x v="4"/>
  </r>
  <r>
    <x v="5"/>
    <x v="16"/>
    <x v="1"/>
    <n v="0"/>
    <x v="5"/>
    <x v="5"/>
    <x v="5"/>
    <x v="5"/>
    <x v="5"/>
  </r>
  <r>
    <x v="6"/>
    <x v="16"/>
    <x v="1"/>
    <n v="0"/>
    <x v="6"/>
    <x v="6"/>
    <x v="6"/>
    <x v="6"/>
    <x v="6"/>
  </r>
  <r>
    <x v="0"/>
    <x v="17"/>
    <x v="1"/>
    <n v="0"/>
    <x v="0"/>
    <x v="0"/>
    <x v="0"/>
    <x v="0"/>
    <x v="0"/>
  </r>
  <r>
    <x v="1"/>
    <x v="17"/>
    <x v="1"/>
    <n v="0"/>
    <x v="1"/>
    <x v="1"/>
    <x v="1"/>
    <x v="1"/>
    <x v="1"/>
  </r>
  <r>
    <x v="2"/>
    <x v="17"/>
    <x v="1"/>
    <n v="0"/>
    <x v="2"/>
    <x v="2"/>
    <x v="2"/>
    <x v="2"/>
    <x v="2"/>
  </r>
  <r>
    <x v="3"/>
    <x v="17"/>
    <x v="1"/>
    <n v="0"/>
    <x v="3"/>
    <x v="3"/>
    <x v="3"/>
    <x v="3"/>
    <x v="3"/>
  </r>
  <r>
    <x v="4"/>
    <x v="17"/>
    <x v="1"/>
    <n v="0"/>
    <x v="4"/>
    <x v="4"/>
    <x v="4"/>
    <x v="4"/>
    <x v="4"/>
  </r>
  <r>
    <x v="5"/>
    <x v="17"/>
    <x v="1"/>
    <n v="0"/>
    <x v="5"/>
    <x v="5"/>
    <x v="5"/>
    <x v="5"/>
    <x v="5"/>
  </r>
  <r>
    <x v="6"/>
    <x v="17"/>
    <x v="1"/>
    <n v="0"/>
    <x v="6"/>
    <x v="6"/>
    <x v="6"/>
    <x v="6"/>
    <x v="6"/>
  </r>
  <r>
    <x v="0"/>
    <x v="18"/>
    <x v="1"/>
    <n v="7.3251769492074056E-2"/>
    <x v="0"/>
    <x v="0"/>
    <x v="0"/>
    <x v="0"/>
    <x v="0"/>
  </r>
  <r>
    <x v="1"/>
    <x v="18"/>
    <x v="1"/>
    <n v="0.18215687205808556"/>
    <x v="1"/>
    <x v="1"/>
    <x v="1"/>
    <x v="1"/>
    <x v="1"/>
  </r>
  <r>
    <x v="2"/>
    <x v="18"/>
    <x v="1"/>
    <n v="0.14107025391125369"/>
    <x v="2"/>
    <x v="2"/>
    <x v="2"/>
    <x v="2"/>
    <x v="2"/>
  </r>
  <r>
    <x v="3"/>
    <x v="18"/>
    <x v="1"/>
    <n v="0.10518700641944638"/>
    <x v="3"/>
    <x v="3"/>
    <x v="3"/>
    <x v="3"/>
    <x v="3"/>
  </r>
  <r>
    <x v="4"/>
    <x v="18"/>
    <x v="1"/>
    <n v="0.31052156830122946"/>
    <x v="4"/>
    <x v="4"/>
    <x v="4"/>
    <x v="4"/>
    <x v="4"/>
  </r>
  <r>
    <x v="5"/>
    <x v="18"/>
    <x v="1"/>
    <n v="0.37704851045268567"/>
    <x v="5"/>
    <x v="5"/>
    <x v="5"/>
    <x v="5"/>
    <x v="5"/>
  </r>
  <r>
    <x v="6"/>
    <x v="18"/>
    <x v="1"/>
    <n v="0.14291013368759392"/>
    <x v="6"/>
    <x v="6"/>
    <x v="6"/>
    <x v="6"/>
    <x v="6"/>
  </r>
  <r>
    <x v="0"/>
    <x v="19"/>
    <x v="1"/>
    <n v="0"/>
    <x v="0"/>
    <x v="0"/>
    <x v="0"/>
    <x v="0"/>
    <x v="0"/>
  </r>
  <r>
    <x v="1"/>
    <x v="19"/>
    <x v="1"/>
    <n v="0"/>
    <x v="1"/>
    <x v="1"/>
    <x v="1"/>
    <x v="1"/>
    <x v="1"/>
  </r>
  <r>
    <x v="2"/>
    <x v="19"/>
    <x v="1"/>
    <n v="0.25"/>
    <x v="2"/>
    <x v="2"/>
    <x v="2"/>
    <x v="2"/>
    <x v="2"/>
  </r>
  <r>
    <x v="3"/>
    <x v="19"/>
    <x v="1"/>
    <n v="0"/>
    <x v="3"/>
    <x v="3"/>
    <x v="3"/>
    <x v="3"/>
    <x v="3"/>
  </r>
  <r>
    <x v="4"/>
    <x v="19"/>
    <x v="1"/>
    <n v="0"/>
    <x v="4"/>
    <x v="4"/>
    <x v="4"/>
    <x v="4"/>
    <x v="4"/>
  </r>
  <r>
    <x v="5"/>
    <x v="19"/>
    <x v="1"/>
    <n v="0"/>
    <x v="5"/>
    <x v="5"/>
    <x v="5"/>
    <x v="5"/>
    <x v="5"/>
  </r>
  <r>
    <x v="6"/>
    <x v="19"/>
    <x v="1"/>
    <n v="0"/>
    <x v="6"/>
    <x v="6"/>
    <x v="6"/>
    <x v="6"/>
    <x v="6"/>
  </r>
  <r>
    <x v="0"/>
    <x v="20"/>
    <x v="1"/>
    <n v="2.0923988910437619E-3"/>
    <x v="0"/>
    <x v="0"/>
    <x v="0"/>
    <x v="0"/>
    <x v="0"/>
  </r>
  <r>
    <x v="1"/>
    <x v="20"/>
    <x v="1"/>
    <n v="0.35237763459580679"/>
    <x v="1"/>
    <x v="1"/>
    <x v="1"/>
    <x v="1"/>
    <x v="1"/>
  </r>
  <r>
    <x v="2"/>
    <x v="20"/>
    <x v="1"/>
    <n v="0.24208473730086444"/>
    <x v="2"/>
    <x v="2"/>
    <x v="2"/>
    <x v="2"/>
    <x v="2"/>
  </r>
  <r>
    <x v="3"/>
    <x v="20"/>
    <x v="1"/>
    <n v="0.27094632636178945"/>
    <x v="3"/>
    <x v="3"/>
    <x v="3"/>
    <x v="3"/>
    <x v="3"/>
  </r>
  <r>
    <x v="4"/>
    <x v="20"/>
    <x v="1"/>
    <n v="0.32797838880152069"/>
    <x v="4"/>
    <x v="4"/>
    <x v="4"/>
    <x v="4"/>
    <x v="4"/>
  </r>
  <r>
    <x v="5"/>
    <x v="20"/>
    <x v="1"/>
    <n v="0.34009432884632784"/>
    <x v="5"/>
    <x v="5"/>
    <x v="5"/>
    <x v="5"/>
    <x v="5"/>
  </r>
  <r>
    <x v="6"/>
    <x v="20"/>
    <x v="1"/>
    <n v="0.27219558992150272"/>
    <x v="6"/>
    <x v="6"/>
    <x v="6"/>
    <x v="6"/>
    <x v="6"/>
  </r>
  <r>
    <x v="0"/>
    <x v="21"/>
    <x v="1"/>
    <n v="0.32165960507151431"/>
    <x v="0"/>
    <x v="0"/>
    <x v="0"/>
    <x v="0"/>
    <x v="0"/>
  </r>
  <r>
    <x v="1"/>
    <x v="21"/>
    <x v="1"/>
    <n v="0.53484864935222987"/>
    <x v="1"/>
    <x v="1"/>
    <x v="1"/>
    <x v="1"/>
    <x v="1"/>
  </r>
  <r>
    <x v="2"/>
    <x v="21"/>
    <x v="1"/>
    <n v="4.8450813912045289E-2"/>
    <x v="2"/>
    <x v="2"/>
    <x v="2"/>
    <x v="2"/>
    <x v="2"/>
  </r>
  <r>
    <x v="3"/>
    <x v="21"/>
    <x v="1"/>
    <n v="0.16872018207515443"/>
    <x v="3"/>
    <x v="3"/>
    <x v="3"/>
    <x v="3"/>
    <x v="3"/>
  </r>
  <r>
    <x v="4"/>
    <x v="21"/>
    <x v="1"/>
    <n v="7.0933115050792514E-2"/>
    <x v="4"/>
    <x v="4"/>
    <x v="4"/>
    <x v="4"/>
    <x v="4"/>
  </r>
  <r>
    <x v="5"/>
    <x v="21"/>
    <x v="1"/>
    <n v="0.35632114439777962"/>
    <x v="5"/>
    <x v="5"/>
    <x v="5"/>
    <x v="5"/>
    <x v="5"/>
  </r>
  <r>
    <x v="6"/>
    <x v="21"/>
    <x v="1"/>
    <n v="0"/>
    <x v="6"/>
    <x v="6"/>
    <x v="6"/>
    <x v="6"/>
    <x v="6"/>
  </r>
  <r>
    <x v="0"/>
    <x v="22"/>
    <x v="1"/>
    <n v="0"/>
    <x v="0"/>
    <x v="0"/>
    <x v="0"/>
    <x v="0"/>
    <x v="0"/>
  </r>
  <r>
    <x v="1"/>
    <x v="22"/>
    <x v="1"/>
    <n v="0"/>
    <x v="1"/>
    <x v="1"/>
    <x v="1"/>
    <x v="1"/>
    <x v="1"/>
  </r>
  <r>
    <x v="2"/>
    <x v="22"/>
    <x v="1"/>
    <n v="0"/>
    <x v="2"/>
    <x v="2"/>
    <x v="2"/>
    <x v="2"/>
    <x v="2"/>
  </r>
  <r>
    <x v="3"/>
    <x v="22"/>
    <x v="1"/>
    <n v="0"/>
    <x v="3"/>
    <x v="3"/>
    <x v="3"/>
    <x v="3"/>
    <x v="3"/>
  </r>
  <r>
    <x v="4"/>
    <x v="22"/>
    <x v="1"/>
    <n v="0"/>
    <x v="4"/>
    <x v="4"/>
    <x v="4"/>
    <x v="4"/>
    <x v="4"/>
  </r>
  <r>
    <x v="5"/>
    <x v="22"/>
    <x v="1"/>
    <n v="0"/>
    <x v="5"/>
    <x v="5"/>
    <x v="5"/>
    <x v="5"/>
    <x v="5"/>
  </r>
  <r>
    <x v="6"/>
    <x v="22"/>
    <x v="1"/>
    <n v="0"/>
    <x v="6"/>
    <x v="6"/>
    <x v="6"/>
    <x v="6"/>
    <x v="6"/>
  </r>
  <r>
    <x v="0"/>
    <x v="23"/>
    <x v="1"/>
    <n v="0.33333333333333331"/>
    <x v="0"/>
    <x v="0"/>
    <x v="0"/>
    <x v="0"/>
    <x v="0"/>
  </r>
  <r>
    <x v="1"/>
    <x v="23"/>
    <x v="1"/>
    <n v="0.27223742209731377"/>
    <x v="1"/>
    <x v="1"/>
    <x v="1"/>
    <x v="1"/>
    <x v="1"/>
  </r>
  <r>
    <x v="2"/>
    <x v="23"/>
    <x v="1"/>
    <n v="0"/>
    <x v="2"/>
    <x v="2"/>
    <x v="2"/>
    <x v="2"/>
    <x v="2"/>
  </r>
  <r>
    <x v="3"/>
    <x v="23"/>
    <x v="1"/>
    <n v="0"/>
    <x v="3"/>
    <x v="3"/>
    <x v="3"/>
    <x v="3"/>
    <x v="3"/>
  </r>
  <r>
    <x v="4"/>
    <x v="23"/>
    <x v="1"/>
    <n v="0"/>
    <x v="4"/>
    <x v="4"/>
    <x v="4"/>
    <x v="4"/>
    <x v="4"/>
  </r>
  <r>
    <x v="5"/>
    <x v="23"/>
    <x v="1"/>
    <n v="0"/>
    <x v="5"/>
    <x v="5"/>
    <x v="5"/>
    <x v="5"/>
    <x v="5"/>
  </r>
  <r>
    <x v="6"/>
    <x v="23"/>
    <x v="1"/>
    <n v="0"/>
    <x v="6"/>
    <x v="6"/>
    <x v="6"/>
    <x v="6"/>
    <x v="6"/>
  </r>
  <r>
    <x v="0"/>
    <x v="24"/>
    <x v="1"/>
    <n v="6.7846084998254189E-2"/>
    <x v="0"/>
    <x v="0"/>
    <x v="0"/>
    <x v="0"/>
    <x v="0"/>
  </r>
  <r>
    <x v="1"/>
    <x v="24"/>
    <x v="1"/>
    <n v="0.38149963750209342"/>
    <x v="1"/>
    <x v="1"/>
    <x v="1"/>
    <x v="1"/>
    <x v="1"/>
  </r>
  <r>
    <x v="2"/>
    <x v="24"/>
    <x v="1"/>
    <n v="0.1388312922385701"/>
    <x v="2"/>
    <x v="2"/>
    <x v="2"/>
    <x v="2"/>
    <x v="2"/>
  </r>
  <r>
    <x v="3"/>
    <x v="24"/>
    <x v="1"/>
    <n v="0.15037994053212342"/>
    <x v="3"/>
    <x v="3"/>
    <x v="3"/>
    <x v="3"/>
    <x v="3"/>
  </r>
  <r>
    <x v="4"/>
    <x v="24"/>
    <x v="1"/>
    <n v="0.36439778653223043"/>
    <x v="4"/>
    <x v="4"/>
    <x v="4"/>
    <x v="4"/>
    <x v="4"/>
  </r>
  <r>
    <x v="5"/>
    <x v="24"/>
    <x v="1"/>
    <n v="0.51918912644992166"/>
    <x v="5"/>
    <x v="5"/>
    <x v="5"/>
    <x v="5"/>
    <x v="5"/>
  </r>
  <r>
    <x v="6"/>
    <x v="24"/>
    <x v="1"/>
    <n v="0.27760798271423498"/>
    <x v="6"/>
    <x v="6"/>
    <x v="6"/>
    <x v="6"/>
    <x v="6"/>
  </r>
  <r>
    <x v="0"/>
    <x v="25"/>
    <x v="1"/>
    <n v="0"/>
    <x v="0"/>
    <x v="0"/>
    <x v="0"/>
    <x v="0"/>
    <x v="0"/>
  </r>
  <r>
    <x v="1"/>
    <x v="25"/>
    <x v="1"/>
    <n v="0"/>
    <x v="1"/>
    <x v="1"/>
    <x v="1"/>
    <x v="1"/>
    <x v="1"/>
  </r>
  <r>
    <x v="2"/>
    <x v="25"/>
    <x v="1"/>
    <n v="0"/>
    <x v="2"/>
    <x v="2"/>
    <x v="2"/>
    <x v="2"/>
    <x v="2"/>
  </r>
  <r>
    <x v="3"/>
    <x v="25"/>
    <x v="1"/>
    <n v="0"/>
    <x v="3"/>
    <x v="3"/>
    <x v="3"/>
    <x v="3"/>
    <x v="3"/>
  </r>
  <r>
    <x v="4"/>
    <x v="25"/>
    <x v="1"/>
    <n v="0.38882205619441651"/>
    <x v="4"/>
    <x v="4"/>
    <x v="4"/>
    <x v="4"/>
    <x v="4"/>
  </r>
  <r>
    <x v="5"/>
    <x v="25"/>
    <x v="1"/>
    <n v="0.48523678536049081"/>
    <x v="5"/>
    <x v="5"/>
    <x v="5"/>
    <x v="5"/>
    <x v="5"/>
  </r>
  <r>
    <x v="6"/>
    <x v="25"/>
    <x v="1"/>
    <n v="0.37308697078314568"/>
    <x v="6"/>
    <x v="6"/>
    <x v="6"/>
    <x v="6"/>
    <x v="6"/>
  </r>
  <r>
    <x v="0"/>
    <x v="26"/>
    <x v="1"/>
    <n v="0"/>
    <x v="0"/>
    <x v="0"/>
    <x v="0"/>
    <x v="0"/>
    <x v="0"/>
  </r>
  <r>
    <x v="1"/>
    <x v="26"/>
    <x v="1"/>
    <n v="0"/>
    <x v="1"/>
    <x v="1"/>
    <x v="1"/>
    <x v="1"/>
    <x v="1"/>
  </r>
  <r>
    <x v="2"/>
    <x v="26"/>
    <x v="1"/>
    <n v="0"/>
    <x v="2"/>
    <x v="2"/>
    <x v="2"/>
    <x v="2"/>
    <x v="2"/>
  </r>
  <r>
    <x v="3"/>
    <x v="26"/>
    <x v="1"/>
    <n v="0"/>
    <x v="3"/>
    <x v="3"/>
    <x v="3"/>
    <x v="3"/>
    <x v="3"/>
  </r>
  <r>
    <x v="4"/>
    <x v="26"/>
    <x v="1"/>
    <n v="0"/>
    <x v="4"/>
    <x v="4"/>
    <x v="4"/>
    <x v="4"/>
    <x v="4"/>
  </r>
  <r>
    <x v="5"/>
    <x v="26"/>
    <x v="1"/>
    <n v="0"/>
    <x v="5"/>
    <x v="5"/>
    <x v="5"/>
    <x v="5"/>
    <x v="5"/>
  </r>
  <r>
    <x v="6"/>
    <x v="26"/>
    <x v="1"/>
    <n v="0"/>
    <x v="6"/>
    <x v="6"/>
    <x v="6"/>
    <x v="6"/>
    <x v="6"/>
  </r>
  <r>
    <x v="0"/>
    <x v="27"/>
    <x v="1"/>
    <n v="0.10891980534962335"/>
    <x v="0"/>
    <x v="0"/>
    <x v="0"/>
    <x v="0"/>
    <x v="0"/>
  </r>
  <r>
    <x v="1"/>
    <x v="27"/>
    <x v="1"/>
    <n v="0.33482358547960628"/>
    <x v="1"/>
    <x v="1"/>
    <x v="1"/>
    <x v="1"/>
    <x v="1"/>
  </r>
  <r>
    <x v="2"/>
    <x v="27"/>
    <x v="1"/>
    <n v="0.12658752692542233"/>
    <x v="2"/>
    <x v="2"/>
    <x v="2"/>
    <x v="2"/>
    <x v="2"/>
  </r>
  <r>
    <x v="3"/>
    <x v="27"/>
    <x v="1"/>
    <n v="0.18991821390437566"/>
    <x v="3"/>
    <x v="3"/>
    <x v="3"/>
    <x v="3"/>
    <x v="3"/>
  </r>
  <r>
    <x v="4"/>
    <x v="27"/>
    <x v="1"/>
    <n v="0.45012508182088556"/>
    <x v="4"/>
    <x v="4"/>
    <x v="4"/>
    <x v="4"/>
    <x v="4"/>
  </r>
  <r>
    <x v="5"/>
    <x v="27"/>
    <x v="1"/>
    <n v="0.62999259167318733"/>
    <x v="5"/>
    <x v="5"/>
    <x v="5"/>
    <x v="5"/>
    <x v="5"/>
  </r>
  <r>
    <x v="6"/>
    <x v="27"/>
    <x v="1"/>
    <n v="0.17640008496844142"/>
    <x v="6"/>
    <x v="6"/>
    <x v="6"/>
    <x v="6"/>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A7F84C-B763-4DE5-89A3-DF53017A9DCE}" name="PivotTable7"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Q4:W11" firstHeaderRow="1" firstDataRow="1" firstDataCol="6" rowPageCount="2" colPageCount="1"/>
  <pivotFields count="9">
    <pivotField axis="axisRow" compact="0" outline="0" showAll="0" defaultSubtotal="0">
      <items count="7">
        <item x="0"/>
        <item x="1"/>
        <item x="2"/>
        <item x="3"/>
        <item x="4"/>
        <item x="5"/>
        <item x="6"/>
      </items>
      <extLst>
        <ext xmlns:x14="http://schemas.microsoft.com/office/spreadsheetml/2009/9/main" uri="{2946ED86-A175-432a-8AC1-64E0C546D7DE}">
          <x14:pivotField fillDownLabels="1"/>
        </ext>
      </extLst>
    </pivotField>
    <pivotField axis="axisPage" compact="0" outline="0"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dataField="1" compact="0" numFmtId="9" outline="0" showAll="0" defaultSubtotal="0">
      <extLst>
        <ext xmlns:x14="http://schemas.microsoft.com/office/spreadsheetml/2009/9/main" uri="{2946ED86-A175-432a-8AC1-64E0C546D7DE}">
          <x14:pivotField fillDownLabels="1"/>
        </ext>
      </extLst>
    </pivotField>
    <pivotField axis="axisRow" compact="0" numFmtId="43" outline="0" showAll="0" defaultSubtotal="0">
      <items count="7">
        <item x="2"/>
        <item x="5"/>
        <item x="6"/>
        <item x="3"/>
        <item x="4"/>
        <item x="1"/>
        <item x="0"/>
      </items>
      <extLst>
        <ext xmlns:x14="http://schemas.microsoft.com/office/spreadsheetml/2009/9/main" uri="{2946ED86-A175-432a-8AC1-64E0C546D7DE}">
          <x14:pivotField fillDownLabels="1"/>
        </ext>
      </extLst>
    </pivotField>
    <pivotField axis="axisRow" compact="0" numFmtId="43" outline="0" showAll="0" defaultSubtotal="0">
      <items count="7">
        <item x="2"/>
        <item x="5"/>
        <item x="0"/>
        <item x="6"/>
        <item x="1"/>
        <item x="3"/>
        <item x="4"/>
      </items>
      <extLst>
        <ext xmlns:x14="http://schemas.microsoft.com/office/spreadsheetml/2009/9/main" uri="{2946ED86-A175-432a-8AC1-64E0C546D7DE}">
          <x14:pivotField fillDownLabels="1"/>
        </ext>
      </extLst>
    </pivotField>
    <pivotField axis="axisRow" compact="0" numFmtId="43" outline="0" showAll="0" defaultSubtotal="0">
      <items count="7">
        <item x="0"/>
        <item x="6"/>
        <item x="3"/>
        <item x="4"/>
        <item x="5"/>
        <item x="2"/>
        <item x="1"/>
      </items>
      <extLst>
        <ext xmlns:x14="http://schemas.microsoft.com/office/spreadsheetml/2009/9/main" uri="{2946ED86-A175-432a-8AC1-64E0C546D7DE}">
          <x14:pivotField fillDownLabels="1"/>
        </ext>
      </extLst>
    </pivotField>
    <pivotField axis="axisRow" compact="0" numFmtId="43" outline="0" showAll="0" defaultSubtotal="0">
      <items count="7">
        <item x="2"/>
        <item x="5"/>
        <item x="1"/>
        <item x="6"/>
        <item x="3"/>
        <item x="0"/>
        <item x="4"/>
      </items>
      <extLst>
        <ext xmlns:x14="http://schemas.microsoft.com/office/spreadsheetml/2009/9/main" uri="{2946ED86-A175-432a-8AC1-64E0C546D7DE}">
          <x14:pivotField fillDownLabels="1"/>
        </ext>
      </extLst>
    </pivotField>
    <pivotField axis="axisRow" compact="0" numFmtId="43" outline="0" showAll="0" defaultSubtotal="0">
      <items count="7">
        <item x="0"/>
        <item x="1"/>
        <item x="3"/>
        <item x="4"/>
        <item x="5"/>
        <item x="6"/>
        <item x="2"/>
      </items>
      <extLst>
        <ext xmlns:x14="http://schemas.microsoft.com/office/spreadsheetml/2009/9/main" uri="{2946ED86-A175-432a-8AC1-64E0C546D7DE}">
          <x14:pivotField fillDownLabels="1"/>
        </ext>
      </extLst>
    </pivotField>
  </pivotFields>
  <rowFields count="6">
    <field x="0"/>
    <field x="4"/>
    <field x="5"/>
    <field x="6"/>
    <field x="7"/>
    <field x="8"/>
  </rowFields>
  <rowItems count="7">
    <i>
      <x/>
      <x v="6"/>
      <x v="2"/>
      <x/>
      <x v="5"/>
      <x/>
    </i>
    <i>
      <x v="1"/>
      <x v="5"/>
      <x v="4"/>
      <x v="6"/>
      <x v="2"/>
      <x v="1"/>
    </i>
    <i>
      <x v="2"/>
      <x/>
      <x/>
      <x v="5"/>
      <x/>
      <x v="6"/>
    </i>
    <i>
      <x v="3"/>
      <x v="3"/>
      <x v="5"/>
      <x v="2"/>
      <x v="4"/>
      <x v="2"/>
    </i>
    <i>
      <x v="4"/>
      <x v="4"/>
      <x v="6"/>
      <x v="3"/>
      <x v="6"/>
      <x v="3"/>
    </i>
    <i>
      <x v="5"/>
      <x v="1"/>
      <x v="1"/>
      <x v="4"/>
      <x v="1"/>
      <x v="4"/>
    </i>
    <i>
      <x v="6"/>
      <x v="2"/>
      <x v="3"/>
      <x v="1"/>
      <x v="3"/>
      <x v="5"/>
    </i>
  </rowItems>
  <colItems count="1">
    <i/>
  </colItems>
  <pageFields count="2">
    <pageField fld="1" item="0" hier="-1"/>
    <pageField fld="2" item="0" hier="-1"/>
  </pageFields>
  <dataFields count="1">
    <dataField name="Average of Average of 12M PD" fld="3" subtotal="average" baseField="0"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6B261E-03C0-4A0A-8A8A-D927F89F9EF9}" name="PivotTable6"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1:E393" firstHeaderRow="1" firstDataRow="1" firstDataCol="3"/>
  <pivotFields count="5">
    <pivotField axis="axisRow" compact="0" outline="0" showAll="0" defaultSubtotal="0">
      <items count="28">
        <item x="22"/>
        <item x="11"/>
        <item x="15"/>
        <item x="14"/>
        <item x="9"/>
        <item x="23"/>
        <item x="10"/>
        <item x="26"/>
        <item x="8"/>
        <item x="5"/>
        <item x="16"/>
        <item x="19"/>
        <item x="7"/>
        <item x="18"/>
        <item x="1"/>
        <item x="0"/>
        <item x="2"/>
        <item x="27"/>
        <item x="17"/>
        <item x="20"/>
        <item x="12"/>
        <item x="6"/>
        <item x="25"/>
        <item x="21"/>
        <item x="3"/>
        <item x="13"/>
        <item x="24"/>
        <item x="4"/>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7">
        <item x="6"/>
        <item x="5"/>
        <item x="4"/>
        <item x="3"/>
        <item x="2"/>
        <item x="1"/>
        <item x="0"/>
      </items>
      <extLst>
        <ext xmlns:x14="http://schemas.microsoft.com/office/spreadsheetml/2009/9/main" uri="{2946ED86-A175-432a-8AC1-64E0C546D7DE}">
          <x14:pivotField fillDownLabels="1"/>
        </ext>
      </extLst>
    </pivotField>
  </pivotFields>
  <rowFields count="3">
    <field x="4"/>
    <field x="0"/>
    <field x="1"/>
  </rowFields>
  <rowItems count="392">
    <i>
      <x/>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r="1">
      <x v="12"/>
      <x/>
    </i>
    <i r="2">
      <x v="1"/>
    </i>
    <i r="1">
      <x v="13"/>
      <x/>
    </i>
    <i r="2">
      <x v="1"/>
    </i>
    <i r="1">
      <x v="14"/>
      <x/>
    </i>
    <i r="2">
      <x v="1"/>
    </i>
    <i r="1">
      <x v="15"/>
      <x/>
    </i>
    <i r="2">
      <x v="1"/>
    </i>
    <i r="1">
      <x v="16"/>
      <x/>
    </i>
    <i r="2">
      <x v="1"/>
    </i>
    <i r="1">
      <x v="17"/>
      <x/>
    </i>
    <i r="2">
      <x v="1"/>
    </i>
    <i r="1">
      <x v="18"/>
      <x/>
    </i>
    <i r="2">
      <x v="1"/>
    </i>
    <i r="1">
      <x v="19"/>
      <x/>
    </i>
    <i r="2">
      <x v="1"/>
    </i>
    <i r="1">
      <x v="20"/>
      <x/>
    </i>
    <i r="2">
      <x v="1"/>
    </i>
    <i r="1">
      <x v="21"/>
      <x/>
    </i>
    <i r="2">
      <x v="1"/>
    </i>
    <i r="1">
      <x v="22"/>
      <x/>
    </i>
    <i r="2">
      <x v="1"/>
    </i>
    <i r="1">
      <x v="23"/>
      <x/>
    </i>
    <i r="2">
      <x v="1"/>
    </i>
    <i r="1">
      <x v="24"/>
      <x/>
    </i>
    <i r="2">
      <x v="1"/>
    </i>
    <i r="1">
      <x v="25"/>
      <x/>
    </i>
    <i r="2">
      <x v="1"/>
    </i>
    <i r="1">
      <x v="26"/>
      <x/>
    </i>
    <i r="2">
      <x v="1"/>
    </i>
    <i r="1">
      <x v="27"/>
      <x/>
    </i>
    <i r="2">
      <x v="1"/>
    </i>
    <i>
      <x v="1"/>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r="1">
      <x v="12"/>
      <x/>
    </i>
    <i r="2">
      <x v="1"/>
    </i>
    <i r="1">
      <x v="13"/>
      <x/>
    </i>
    <i r="2">
      <x v="1"/>
    </i>
    <i r="1">
      <x v="14"/>
      <x/>
    </i>
    <i r="2">
      <x v="1"/>
    </i>
    <i r="1">
      <x v="15"/>
      <x/>
    </i>
    <i r="2">
      <x v="1"/>
    </i>
    <i r="1">
      <x v="16"/>
      <x/>
    </i>
    <i r="2">
      <x v="1"/>
    </i>
    <i r="1">
      <x v="17"/>
      <x/>
    </i>
    <i r="2">
      <x v="1"/>
    </i>
    <i r="1">
      <x v="18"/>
      <x/>
    </i>
    <i r="2">
      <x v="1"/>
    </i>
    <i r="1">
      <x v="19"/>
      <x/>
    </i>
    <i r="2">
      <x v="1"/>
    </i>
    <i r="1">
      <x v="20"/>
      <x/>
    </i>
    <i r="2">
      <x v="1"/>
    </i>
    <i r="1">
      <x v="21"/>
      <x/>
    </i>
    <i r="2">
      <x v="1"/>
    </i>
    <i r="1">
      <x v="22"/>
      <x/>
    </i>
    <i r="2">
      <x v="1"/>
    </i>
    <i r="1">
      <x v="23"/>
      <x/>
    </i>
    <i r="2">
      <x v="1"/>
    </i>
    <i r="1">
      <x v="24"/>
      <x/>
    </i>
    <i r="2">
      <x v="1"/>
    </i>
    <i r="1">
      <x v="25"/>
      <x/>
    </i>
    <i r="2">
      <x v="1"/>
    </i>
    <i r="1">
      <x v="26"/>
      <x/>
    </i>
    <i r="2">
      <x v="1"/>
    </i>
    <i r="1">
      <x v="27"/>
      <x/>
    </i>
    <i r="2">
      <x v="1"/>
    </i>
    <i>
      <x v="2"/>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r="1">
      <x v="12"/>
      <x/>
    </i>
    <i r="2">
      <x v="1"/>
    </i>
    <i r="1">
      <x v="13"/>
      <x/>
    </i>
    <i r="2">
      <x v="1"/>
    </i>
    <i r="1">
      <x v="14"/>
      <x/>
    </i>
    <i r="2">
      <x v="1"/>
    </i>
    <i r="1">
      <x v="15"/>
      <x/>
    </i>
    <i r="2">
      <x v="1"/>
    </i>
    <i r="1">
      <x v="16"/>
      <x/>
    </i>
    <i r="2">
      <x v="1"/>
    </i>
    <i r="1">
      <x v="17"/>
      <x/>
    </i>
    <i r="2">
      <x v="1"/>
    </i>
    <i r="1">
      <x v="18"/>
      <x/>
    </i>
    <i r="2">
      <x v="1"/>
    </i>
    <i r="1">
      <x v="19"/>
      <x/>
    </i>
    <i r="2">
      <x v="1"/>
    </i>
    <i r="1">
      <x v="20"/>
      <x/>
    </i>
    <i r="2">
      <x v="1"/>
    </i>
    <i r="1">
      <x v="21"/>
      <x/>
    </i>
    <i r="2">
      <x v="1"/>
    </i>
    <i r="1">
      <x v="22"/>
      <x/>
    </i>
    <i r="2">
      <x v="1"/>
    </i>
    <i r="1">
      <x v="23"/>
      <x/>
    </i>
    <i r="2">
      <x v="1"/>
    </i>
    <i r="1">
      <x v="24"/>
      <x/>
    </i>
    <i r="2">
      <x v="1"/>
    </i>
    <i r="1">
      <x v="25"/>
      <x/>
    </i>
    <i r="2">
      <x v="1"/>
    </i>
    <i r="1">
      <x v="26"/>
      <x/>
    </i>
    <i r="2">
      <x v="1"/>
    </i>
    <i r="1">
      <x v="27"/>
      <x/>
    </i>
    <i r="2">
      <x v="1"/>
    </i>
    <i>
      <x v="3"/>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r="1">
      <x v="12"/>
      <x/>
    </i>
    <i r="2">
      <x v="1"/>
    </i>
    <i r="1">
      <x v="13"/>
      <x/>
    </i>
    <i r="2">
      <x v="1"/>
    </i>
    <i r="1">
      <x v="14"/>
      <x/>
    </i>
    <i r="2">
      <x v="1"/>
    </i>
    <i r="1">
      <x v="15"/>
      <x/>
    </i>
    <i r="2">
      <x v="1"/>
    </i>
    <i r="1">
      <x v="16"/>
      <x/>
    </i>
    <i r="2">
      <x v="1"/>
    </i>
    <i r="1">
      <x v="17"/>
      <x/>
    </i>
    <i r="2">
      <x v="1"/>
    </i>
    <i r="1">
      <x v="18"/>
      <x/>
    </i>
    <i r="2">
      <x v="1"/>
    </i>
    <i r="1">
      <x v="19"/>
      <x/>
    </i>
    <i r="2">
      <x v="1"/>
    </i>
    <i r="1">
      <x v="20"/>
      <x/>
    </i>
    <i r="2">
      <x v="1"/>
    </i>
    <i r="1">
      <x v="21"/>
      <x/>
    </i>
    <i r="2">
      <x v="1"/>
    </i>
    <i r="1">
      <x v="22"/>
      <x/>
    </i>
    <i r="2">
      <x v="1"/>
    </i>
    <i r="1">
      <x v="23"/>
      <x/>
    </i>
    <i r="2">
      <x v="1"/>
    </i>
    <i r="1">
      <x v="24"/>
      <x/>
    </i>
    <i r="2">
      <x v="1"/>
    </i>
    <i r="1">
      <x v="25"/>
      <x/>
    </i>
    <i r="2">
      <x v="1"/>
    </i>
    <i r="1">
      <x v="26"/>
      <x/>
    </i>
    <i r="2">
      <x v="1"/>
    </i>
    <i r="1">
      <x v="27"/>
      <x/>
    </i>
    <i r="2">
      <x v="1"/>
    </i>
    <i>
      <x v="4"/>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r="1">
      <x v="12"/>
      <x/>
    </i>
    <i r="2">
      <x v="1"/>
    </i>
    <i r="1">
      <x v="13"/>
      <x/>
    </i>
    <i r="2">
      <x v="1"/>
    </i>
    <i r="1">
      <x v="14"/>
      <x/>
    </i>
    <i r="2">
      <x v="1"/>
    </i>
    <i r="1">
      <x v="15"/>
      <x/>
    </i>
    <i r="2">
      <x v="1"/>
    </i>
    <i r="1">
      <x v="16"/>
      <x/>
    </i>
    <i r="2">
      <x v="1"/>
    </i>
    <i r="1">
      <x v="17"/>
      <x/>
    </i>
    <i r="2">
      <x v="1"/>
    </i>
    <i r="1">
      <x v="18"/>
      <x/>
    </i>
    <i r="2">
      <x v="1"/>
    </i>
    <i r="1">
      <x v="19"/>
      <x/>
    </i>
    <i r="2">
      <x v="1"/>
    </i>
    <i r="1">
      <x v="20"/>
      <x/>
    </i>
    <i r="2">
      <x v="1"/>
    </i>
    <i r="1">
      <x v="21"/>
      <x/>
    </i>
    <i r="2">
      <x v="1"/>
    </i>
    <i r="1">
      <x v="22"/>
      <x/>
    </i>
    <i r="2">
      <x v="1"/>
    </i>
    <i r="1">
      <x v="23"/>
      <x/>
    </i>
    <i r="2">
      <x v="1"/>
    </i>
    <i r="1">
      <x v="24"/>
      <x/>
    </i>
    <i r="2">
      <x v="1"/>
    </i>
    <i r="1">
      <x v="25"/>
      <x/>
    </i>
    <i r="2">
      <x v="1"/>
    </i>
    <i r="1">
      <x v="26"/>
      <x/>
    </i>
    <i r="2">
      <x v="1"/>
    </i>
    <i r="1">
      <x v="27"/>
      <x/>
    </i>
    <i r="2">
      <x v="1"/>
    </i>
    <i>
      <x v="5"/>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r="1">
      <x v="12"/>
      <x/>
    </i>
    <i r="2">
      <x v="1"/>
    </i>
    <i r="1">
      <x v="13"/>
      <x/>
    </i>
    <i r="2">
      <x v="1"/>
    </i>
    <i r="1">
      <x v="14"/>
      <x/>
    </i>
    <i r="2">
      <x v="1"/>
    </i>
    <i r="1">
      <x v="15"/>
      <x/>
    </i>
    <i r="2">
      <x v="1"/>
    </i>
    <i r="1">
      <x v="16"/>
      <x/>
    </i>
    <i r="2">
      <x v="1"/>
    </i>
    <i r="1">
      <x v="17"/>
      <x/>
    </i>
    <i r="2">
      <x v="1"/>
    </i>
    <i r="1">
      <x v="18"/>
      <x/>
    </i>
    <i r="2">
      <x v="1"/>
    </i>
    <i r="1">
      <x v="19"/>
      <x/>
    </i>
    <i r="2">
      <x v="1"/>
    </i>
    <i r="1">
      <x v="20"/>
      <x/>
    </i>
    <i r="2">
      <x v="1"/>
    </i>
    <i r="1">
      <x v="21"/>
      <x/>
    </i>
    <i r="2">
      <x v="1"/>
    </i>
    <i r="1">
      <x v="22"/>
      <x/>
    </i>
    <i r="2">
      <x v="1"/>
    </i>
    <i r="1">
      <x v="23"/>
      <x/>
    </i>
    <i r="2">
      <x v="1"/>
    </i>
    <i r="1">
      <x v="24"/>
      <x/>
    </i>
    <i r="2">
      <x v="1"/>
    </i>
    <i r="1">
      <x v="25"/>
      <x/>
    </i>
    <i r="2">
      <x v="1"/>
    </i>
    <i r="1">
      <x v="26"/>
      <x/>
    </i>
    <i r="2">
      <x v="1"/>
    </i>
    <i r="1">
      <x v="27"/>
      <x/>
    </i>
    <i r="2">
      <x v="1"/>
    </i>
    <i>
      <x v="6"/>
      <x/>
      <x/>
    </i>
    <i r="2">
      <x v="1"/>
    </i>
    <i r="1">
      <x v="1"/>
      <x/>
    </i>
    <i r="2">
      <x v="1"/>
    </i>
    <i r="1">
      <x v="2"/>
      <x/>
    </i>
    <i r="2">
      <x v="1"/>
    </i>
    <i r="1">
      <x v="3"/>
      <x/>
    </i>
    <i r="2">
      <x v="1"/>
    </i>
    <i r="1">
      <x v="4"/>
      <x/>
    </i>
    <i r="2">
      <x v="1"/>
    </i>
    <i r="1">
      <x v="5"/>
      <x/>
    </i>
    <i r="2">
      <x v="1"/>
    </i>
    <i r="1">
      <x v="6"/>
      <x/>
    </i>
    <i r="2">
      <x v="1"/>
    </i>
    <i r="1">
      <x v="7"/>
      <x/>
    </i>
    <i r="2">
      <x v="1"/>
    </i>
    <i r="1">
      <x v="8"/>
      <x/>
    </i>
    <i r="2">
      <x v="1"/>
    </i>
    <i r="1">
      <x v="9"/>
      <x/>
    </i>
    <i r="2">
      <x v="1"/>
    </i>
    <i r="1">
      <x v="10"/>
      <x/>
    </i>
    <i r="2">
      <x v="1"/>
    </i>
    <i r="1">
      <x v="11"/>
      <x/>
    </i>
    <i r="2">
      <x v="1"/>
    </i>
    <i r="1">
      <x v="12"/>
      <x/>
    </i>
    <i r="2">
      <x v="1"/>
    </i>
    <i r="1">
      <x v="13"/>
      <x/>
    </i>
    <i r="2">
      <x v="1"/>
    </i>
    <i r="1">
      <x v="14"/>
      <x/>
    </i>
    <i r="2">
      <x v="1"/>
    </i>
    <i r="1">
      <x v="15"/>
      <x/>
    </i>
    <i r="2">
      <x v="1"/>
    </i>
    <i r="1">
      <x v="16"/>
      <x/>
    </i>
    <i r="2">
      <x v="1"/>
    </i>
    <i r="1">
      <x v="17"/>
      <x/>
    </i>
    <i r="2">
      <x v="1"/>
    </i>
    <i r="1">
      <x v="18"/>
      <x/>
    </i>
    <i r="2">
      <x v="1"/>
    </i>
    <i r="1">
      <x v="19"/>
      <x/>
    </i>
    <i r="2">
      <x v="1"/>
    </i>
    <i r="1">
      <x v="20"/>
      <x/>
    </i>
    <i r="2">
      <x v="1"/>
    </i>
    <i r="1">
      <x v="21"/>
      <x/>
    </i>
    <i r="2">
      <x v="1"/>
    </i>
    <i r="1">
      <x v="22"/>
      <x/>
    </i>
    <i r="2">
      <x v="1"/>
    </i>
    <i r="1">
      <x v="23"/>
      <x/>
    </i>
    <i r="2">
      <x v="1"/>
    </i>
    <i r="1">
      <x v="24"/>
      <x/>
    </i>
    <i r="2">
      <x v="1"/>
    </i>
    <i r="1">
      <x v="25"/>
      <x/>
    </i>
    <i r="2">
      <x v="1"/>
    </i>
    <i r="1">
      <x v="26"/>
      <x/>
    </i>
    <i r="2">
      <x v="1"/>
    </i>
    <i r="1">
      <x v="27"/>
      <x/>
    </i>
    <i r="2">
      <x v="1"/>
    </i>
  </rowItems>
  <colItems count="1">
    <i/>
  </colItems>
  <dataFields count="1">
    <dataField name="Average of 12M PD" fld="2" subtotal="average" baseField="1"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77BE3A-F633-4A42-951D-587CB603EFC9}"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4:C28" firstHeaderRow="1" firstDataRow="1" firstDataCol="1" rowPageCount="2" colPageCount="1"/>
  <pivotFields count="7">
    <pivotField showAll="0"/>
    <pivotField axis="axisRow" showAll="0">
      <items count="24">
        <item x="22"/>
        <item x="21"/>
        <item x="20"/>
        <item x="19"/>
        <item x="18"/>
        <item x="17"/>
        <item x="16"/>
        <item x="15"/>
        <item x="14"/>
        <item x="13"/>
        <item x="12"/>
        <item x="11"/>
        <item x="10"/>
        <item x="9"/>
        <item x="8"/>
        <item x="7"/>
        <item x="6"/>
        <item x="5"/>
        <item x="4"/>
        <item x="3"/>
        <item x="2"/>
        <item x="1"/>
        <item x="0"/>
        <item t="default"/>
      </items>
    </pivotField>
    <pivotField axis="axisPage" showAll="0">
      <items count="29">
        <item x="22"/>
        <item x="11"/>
        <item x="15"/>
        <item x="14"/>
        <item x="9"/>
        <item x="23"/>
        <item x="10"/>
        <item x="26"/>
        <item x="8"/>
        <item x="5"/>
        <item x="16"/>
        <item x="19"/>
        <item x="7"/>
        <item x="18"/>
        <item x="1"/>
        <item x="0"/>
        <item x="2"/>
        <item x="27"/>
        <item x="17"/>
        <item x="20"/>
        <item x="12"/>
        <item x="6"/>
        <item x="25"/>
        <item x="21"/>
        <item x="3"/>
        <item x="13"/>
        <item x="24"/>
        <item x="4"/>
        <item t="default"/>
      </items>
    </pivotField>
    <pivotField axis="axisPage" showAll="0">
      <items count="3">
        <item x="0"/>
        <item x="1"/>
        <item t="default"/>
      </items>
    </pivotField>
    <pivotField dataField="1" numFmtId="9" showAll="0"/>
    <pivotField showAll="0"/>
    <pivotField showAll="0"/>
  </pivotFields>
  <rowFields count="1">
    <field x="1"/>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pageFields count="2">
    <pageField fld="2" item="0" hier="-1"/>
    <pageField fld="3" item="0" hier="-1"/>
  </pageFields>
  <dataFields count="1">
    <dataField name="Average of 12M PD" fld="4" subtotal="average" baseField="1" baseItem="20" numFmtId="9"/>
  </dataFields>
  <formats count="6">
    <format dxfId="5">
      <pivotArea outline="0" collapsedLevelsAreSubtotals="1" fieldPosition="0"/>
    </format>
    <format dxfId="4">
      <pivotArea dataOnly="0" labelOnly="1" fieldPosition="0">
        <references count="1">
          <reference field="1" count="0"/>
        </references>
      </pivotArea>
    </format>
    <format dxfId="3">
      <pivotArea dataOnly="0" labelOnly="1" grandRow="1" outline="0" fieldPosition="0"/>
    </format>
    <format dxfId="2">
      <pivotArea outline="0" collapsedLevelsAreSubtotals="1" fieldPosition="0"/>
    </format>
    <format dxfId="1">
      <pivotArea dataOnly="0" labelOnly="1" fieldPosition="0">
        <references count="1">
          <reference field="1" count="0"/>
        </references>
      </pivotArea>
    </format>
    <format dxfId="0">
      <pivotArea dataOnly="0" labelOnly="1" grandRow="1" outline="0"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Type" xr10:uid="{C4BBE901-E500-4222-8C8F-8CABFF626C0D}" sourceName="ProductType">
  <pivotTables>
    <pivotTable tabId="2" name="PivotTable1"/>
  </pivotTables>
  <data>
    <tabular pivotCacheId="1927209902">
      <items count="28">
        <i x="22" s="1"/>
        <i x="11"/>
        <i x="15"/>
        <i x="14"/>
        <i x="9"/>
        <i x="23"/>
        <i x="10"/>
        <i x="26"/>
        <i x="8"/>
        <i x="5"/>
        <i x="16"/>
        <i x="19"/>
        <i x="7"/>
        <i x="18"/>
        <i x="1"/>
        <i x="0"/>
        <i x="2"/>
        <i x="27"/>
        <i x="17"/>
        <i x="20"/>
        <i x="12"/>
        <i x="6"/>
        <i x="25"/>
        <i x="21"/>
        <i x="3"/>
        <i x="13"/>
        <i x="24"/>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4D7602F6-1B02-4B2A-8333-B187D1FE7E8F}" sourceName="Stage">
  <pivotTables>
    <pivotTable tabId="2" name="PivotTable1"/>
  </pivotTables>
  <data>
    <tabular pivotCacheId="1927209902">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Type" xr10:uid="{58439C06-0292-4BEE-8D80-B4595B1640DA}" cache="Slicer_ProductType" caption="ProductType" rowHeight="241300"/>
  <slicer name="Stage" xr10:uid="{FC2B8D87-21B3-4DF6-8DC0-DD2DC144C73D}"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O1" dT="2025-06-11T20:53:58.79" personId="{0E07AC42-3D03-4375-AC74-423B6F6EE0BD}" id="{CE000B21-BD3D-4C30-BB95-EE6DA1449D8D}">
    <text>2024 Data to be updated</text>
  </threadedComment>
</ThreadedComments>
</file>

<file path=xl/threadedComments/threadedComment2.xml><?xml version="1.0" encoding="utf-8"?>
<ThreadedComments xmlns="http://schemas.microsoft.com/office/spreadsheetml/2018/threadedcomments" xmlns:x="http://schemas.openxmlformats.org/spreadsheetml/2006/main">
  <threadedComment ref="XEW1" dT="2025-06-11T21:39:20.04" personId="{0E07AC42-3D03-4375-AC74-423B6F6EE0BD}" id="{E246D185-E981-46AC-B199-2BCDCF2CFB75}">
    <text>Check for 2024 and 2025</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3.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289"/>
  <sheetViews>
    <sheetView workbookViewId="0"/>
  </sheetViews>
  <sheetFormatPr defaultRowHeight="14.25" x14ac:dyDescent="0.45"/>
  <cols>
    <col min="3" max="3" width="20.73046875" bestFit="1" customWidth="1"/>
    <col min="7" max="12" width="12.06640625" customWidth="1"/>
    <col min="13" max="163" width="3.1328125" bestFit="1" customWidth="1"/>
    <col min="164" max="504" width="4.1328125" bestFit="1" customWidth="1"/>
    <col min="505" max="505" width="5.1328125" bestFit="1" customWidth="1"/>
    <col min="506" max="506" width="10.19921875" bestFit="1" customWidth="1"/>
  </cols>
  <sheetData>
    <row r="1" spans="1:7" x14ac:dyDescent="0.45">
      <c r="A1" s="10" t="str">
        <f>'[1]02. Matrix'!A10</f>
        <v>S.N.</v>
      </c>
      <c r="B1" s="11" t="str">
        <f>'[1]02. Matrix'!B10</f>
        <v>Quarter</v>
      </c>
      <c r="C1" s="11" t="str">
        <f>'[1]02. Matrix'!C10</f>
        <v>ProductType</v>
      </c>
      <c r="D1" s="11" t="str">
        <f>'[1]02. Matrix'!D10</f>
        <v>Stage</v>
      </c>
      <c r="E1" s="11" t="str">
        <f>'[1]02. Matrix'!E10</f>
        <v>12M PD</v>
      </c>
      <c r="F1" s="11" t="s">
        <v>38</v>
      </c>
      <c r="G1" s="12" t="s">
        <v>42</v>
      </c>
    </row>
    <row r="2" spans="1:7" x14ac:dyDescent="0.45">
      <c r="A2" s="13">
        <f>'[1]02. Matrix'!A11</f>
        <v>1</v>
      </c>
      <c r="B2" s="14">
        <f>'[1]02. Matrix'!B11</f>
        <v>23</v>
      </c>
      <c r="C2" s="14" t="str">
        <f>'[1]02. Matrix'!C11</f>
        <v>OD PERSONAL LOAN</v>
      </c>
      <c r="D2" s="14">
        <f>'[1]02. Matrix'!D11</f>
        <v>1</v>
      </c>
      <c r="E2" s="15">
        <f>'[1]02. Matrix'!E11</f>
        <v>0.12892252146601907</v>
      </c>
      <c r="F2" s="14" t="str">
        <f>_xlfn.XLOOKUP('01. Main'!$B2,[1]Mapping!$D:$D,[1]Mapping!$A:$A,0,0)</f>
        <v>Poush 81</v>
      </c>
      <c r="G2" s="16">
        <f>_xlfn.XLOOKUP('01. Main'!$B2,[1]Mapping!D$2:D$24,[1]Mapping!E$2:E$24,0,0)</f>
        <v>2025</v>
      </c>
    </row>
    <row r="3" spans="1:7" x14ac:dyDescent="0.45">
      <c r="A3" s="17">
        <f>'[1]02. Matrix'!A12</f>
        <v>2</v>
      </c>
      <c r="B3" s="18">
        <f>'[1]02. Matrix'!B12</f>
        <v>23</v>
      </c>
      <c r="C3" s="18" t="str">
        <f>'[1]02. Matrix'!C12</f>
        <v>OD BUSINESS LOAN</v>
      </c>
      <c r="D3" s="18">
        <f>'[1]02. Matrix'!D12</f>
        <v>1</v>
      </c>
      <c r="E3" s="19">
        <f>'[1]02. Matrix'!E12</f>
        <v>0</v>
      </c>
      <c r="F3" s="18" t="str">
        <f>_xlfn.XLOOKUP('01. Main'!$B3,[1]Mapping!$D:$D,[1]Mapping!$A:$A,0,0)</f>
        <v>Poush 81</v>
      </c>
      <c r="G3" s="20">
        <f>_xlfn.XLOOKUP('01. Main'!$B3,[1]Mapping!D$2:D$24,[1]Mapping!E$2:E$24,0,0)</f>
        <v>2025</v>
      </c>
    </row>
    <row r="4" spans="1:7" x14ac:dyDescent="0.45">
      <c r="A4" s="13">
        <f>'[1]02. Matrix'!A13</f>
        <v>3</v>
      </c>
      <c r="B4" s="14">
        <f>'[1]02. Matrix'!B13</f>
        <v>23</v>
      </c>
      <c r="C4" s="14" t="str">
        <f>'[1]02. Matrix'!C13</f>
        <v>OD STAFF LOAN</v>
      </c>
      <c r="D4" s="14">
        <f>'[1]02. Matrix'!D13</f>
        <v>1</v>
      </c>
      <c r="E4" s="15">
        <f>'[1]02. Matrix'!E13</f>
        <v>0</v>
      </c>
      <c r="F4" s="14" t="str">
        <f>_xlfn.XLOOKUP('01. Main'!$B4,[1]Mapping!$D:$D,[1]Mapping!$A:$A,0,0)</f>
        <v>Poush 81</v>
      </c>
      <c r="G4" s="16">
        <f>_xlfn.XLOOKUP('01. Main'!$B4,[1]Mapping!D$2:D$24,[1]Mapping!E$2:E$24,0,0)</f>
        <v>2025</v>
      </c>
    </row>
    <row r="5" spans="1:7" x14ac:dyDescent="0.45">
      <c r="A5" s="17">
        <f>'[1]02. Matrix'!A14</f>
        <v>4</v>
      </c>
      <c r="B5" s="18">
        <f>'[1]02. Matrix'!B14</f>
        <v>23</v>
      </c>
      <c r="C5" s="18" t="str">
        <f>'[1]02. Matrix'!C14</f>
        <v>TERM LOAN</v>
      </c>
      <c r="D5" s="18">
        <f>'[1]02. Matrix'!D14</f>
        <v>1</v>
      </c>
      <c r="E5" s="19">
        <f>'[1]02. Matrix'!E14</f>
        <v>9.1355400283232524E-2</v>
      </c>
      <c r="F5" s="18" t="str">
        <f>_xlfn.XLOOKUP('01. Main'!$B5,[1]Mapping!$D:$D,[1]Mapping!$A:$A,0,0)</f>
        <v>Poush 81</v>
      </c>
      <c r="G5" s="20">
        <f>_xlfn.XLOOKUP('01. Main'!$B5,[1]Mapping!D$2:D$24,[1]Mapping!E$2:E$24,0,0)</f>
        <v>2025</v>
      </c>
    </row>
    <row r="6" spans="1:7" x14ac:dyDescent="0.45">
      <c r="A6" s="13">
        <f>'[1]02. Matrix'!A15</f>
        <v>5</v>
      </c>
      <c r="B6" s="14">
        <f>'[1]02. Matrix'!B15</f>
        <v>23</v>
      </c>
      <c r="C6" s="14" t="str">
        <f>'[1]02. Matrix'!C15</f>
        <v>WC TRADING/IND LOAN</v>
      </c>
      <c r="D6" s="14">
        <f>'[1]02. Matrix'!D15</f>
        <v>1</v>
      </c>
      <c r="E6" s="15">
        <f>'[1]02. Matrix'!E15</f>
        <v>0.12010395924220262</v>
      </c>
      <c r="F6" s="14" t="str">
        <f>_xlfn.XLOOKUP('01. Main'!$B6,[1]Mapping!$D:$D,[1]Mapping!$A:$A,0,0)</f>
        <v>Poush 81</v>
      </c>
      <c r="G6" s="16">
        <f>_xlfn.XLOOKUP('01. Main'!$B6,[1]Mapping!D$2:D$24,[1]Mapping!E$2:E$24,0,0)</f>
        <v>2025</v>
      </c>
    </row>
    <row r="7" spans="1:7" x14ac:dyDescent="0.45">
      <c r="A7" s="17">
        <f>'[1]02. Matrix'!A16</f>
        <v>6</v>
      </c>
      <c r="B7" s="18">
        <f>'[1]02. Matrix'!B16</f>
        <v>23</v>
      </c>
      <c r="C7" s="18" t="str">
        <f>'[1]02. Matrix'!C16</f>
        <v>HOUSING LOAN</v>
      </c>
      <c r="D7" s="18">
        <f>'[1]02. Matrix'!D16</f>
        <v>1</v>
      </c>
      <c r="E7" s="19">
        <f>'[1]02. Matrix'!E16</f>
        <v>0.19430909865599366</v>
      </c>
      <c r="F7" s="18" t="str">
        <f>_xlfn.XLOOKUP('01. Main'!$B7,[1]Mapping!$D:$D,[1]Mapping!$A:$A,0,0)</f>
        <v>Poush 81</v>
      </c>
      <c r="G7" s="20">
        <f>_xlfn.XLOOKUP('01. Main'!$B7,[1]Mapping!D$2:D$24,[1]Mapping!E$2:E$24,0,0)</f>
        <v>2025</v>
      </c>
    </row>
    <row r="8" spans="1:7" x14ac:dyDescent="0.45">
      <c r="A8" s="13">
        <f>'[1]02. Matrix'!A17</f>
        <v>7</v>
      </c>
      <c r="B8" s="14">
        <f>'[1]02. Matrix'!B17</f>
        <v>23</v>
      </c>
      <c r="C8" s="14" t="str">
        <f>'[1]02. Matrix'!C17</f>
        <v>RESI REAL EST LOAN</v>
      </c>
      <c r="D8" s="14">
        <f>'[1]02. Matrix'!D17</f>
        <v>1</v>
      </c>
      <c r="E8" s="15">
        <f>'[1]02. Matrix'!E17</f>
        <v>0</v>
      </c>
      <c r="F8" s="14" t="str">
        <f>_xlfn.XLOOKUP('01. Main'!$B8,[1]Mapping!$D:$D,[1]Mapping!$A:$A,0,0)</f>
        <v>Poush 81</v>
      </c>
      <c r="G8" s="16">
        <f>_xlfn.XLOOKUP('01. Main'!$B8,[1]Mapping!D$2:D$24,[1]Mapping!E$2:E$24,0,0)</f>
        <v>2025</v>
      </c>
    </row>
    <row r="9" spans="1:7" x14ac:dyDescent="0.45">
      <c r="A9" s="17">
        <f>'[1]02. Matrix'!A18</f>
        <v>8</v>
      </c>
      <c r="B9" s="18">
        <f>'[1]02. Matrix'!B18</f>
        <v>23</v>
      </c>
      <c r="C9" s="18" t="str">
        <f>'[1]02. Matrix'!C18</f>
        <v>MARGIN NATURE LOAN</v>
      </c>
      <c r="D9" s="18">
        <f>'[1]02. Matrix'!D18</f>
        <v>1</v>
      </c>
      <c r="E9" s="19">
        <f>'[1]02. Matrix'!E18</f>
        <v>0</v>
      </c>
      <c r="F9" s="18" t="str">
        <f>_xlfn.XLOOKUP('01. Main'!$B9,[1]Mapping!$D:$D,[1]Mapping!$A:$A,0,0)</f>
        <v>Poush 81</v>
      </c>
      <c r="G9" s="20">
        <f>_xlfn.XLOOKUP('01. Main'!$B9,[1]Mapping!D$2:D$24,[1]Mapping!E$2:E$24,0,0)</f>
        <v>2025</v>
      </c>
    </row>
    <row r="10" spans="1:7" x14ac:dyDescent="0.45">
      <c r="A10" s="13">
        <f>'[1]02. Matrix'!A19</f>
        <v>9</v>
      </c>
      <c r="B10" s="14">
        <f>'[1]02. Matrix'!B19</f>
        <v>23</v>
      </c>
      <c r="C10" s="14" t="str">
        <f>'[1]02. Matrix'!C19</f>
        <v>HIRE PURCHASE LOAN</v>
      </c>
      <c r="D10" s="14">
        <f>'[1]02. Matrix'!D19</f>
        <v>1</v>
      </c>
      <c r="E10" s="15">
        <f>'[1]02. Matrix'!E19</f>
        <v>4.6706172782707431E-2</v>
      </c>
      <c r="F10" s="14" t="str">
        <f>_xlfn.XLOOKUP('01. Main'!$B10,[1]Mapping!$D:$D,[1]Mapping!$A:$A,0,0)</f>
        <v>Poush 81</v>
      </c>
      <c r="G10" s="16">
        <f>_xlfn.XLOOKUP('01. Main'!$B10,[1]Mapping!D$2:D$24,[1]Mapping!E$2:E$24,0,0)</f>
        <v>2025</v>
      </c>
    </row>
    <row r="11" spans="1:7" x14ac:dyDescent="0.45">
      <c r="A11" s="17">
        <f>'[1]02. Matrix'!A20</f>
        <v>10</v>
      </c>
      <c r="B11" s="18">
        <f>'[1]02. Matrix'!B20</f>
        <v>23</v>
      </c>
      <c r="C11" s="18" t="str">
        <f>'[1]02. Matrix'!C20</f>
        <v>DEPRIVED SECTOR LOAN</v>
      </c>
      <c r="D11" s="18">
        <f>'[1]02. Matrix'!D20</f>
        <v>1</v>
      </c>
      <c r="E11" s="19">
        <f>'[1]02. Matrix'!E20</f>
        <v>2.8464920153483124E-3</v>
      </c>
      <c r="F11" s="18" t="str">
        <f>_xlfn.XLOOKUP('01. Main'!$B11,[1]Mapping!$D:$D,[1]Mapping!$A:$A,0,0)</f>
        <v>Poush 81</v>
      </c>
      <c r="G11" s="20">
        <f>_xlfn.XLOOKUP('01. Main'!$B11,[1]Mapping!D$2:D$24,[1]Mapping!E$2:E$24,0,0)</f>
        <v>2025</v>
      </c>
    </row>
    <row r="12" spans="1:7" x14ac:dyDescent="0.45">
      <c r="A12" s="13">
        <f>'[1]02. Matrix'!A21</f>
        <v>11</v>
      </c>
      <c r="B12" s="14">
        <f>'[1]02. Matrix'!B21</f>
        <v>23</v>
      </c>
      <c r="C12" s="14" t="str">
        <f>'[1]02. Matrix'!C21</f>
        <v>EDUCATIONAL LOAN</v>
      </c>
      <c r="D12" s="14">
        <f>'[1]02. Matrix'!D21</f>
        <v>1</v>
      </c>
      <c r="E12" s="15">
        <f>'[1]02. Matrix'!E21</f>
        <v>0</v>
      </c>
      <c r="F12" s="14" t="str">
        <f>_xlfn.XLOOKUP('01. Main'!$B12,[1]Mapping!$D:$D,[1]Mapping!$A:$A,0,0)</f>
        <v>Poush 81</v>
      </c>
      <c r="G12" s="16">
        <f>_xlfn.XLOOKUP('01. Main'!$B12,[1]Mapping!D$2:D$24,[1]Mapping!E$2:E$24,0,0)</f>
        <v>2025</v>
      </c>
    </row>
    <row r="13" spans="1:7" x14ac:dyDescent="0.45">
      <c r="A13" s="17">
        <f>'[1]02. Matrix'!A22</f>
        <v>12</v>
      </c>
      <c r="B13" s="18">
        <f>'[1]02. Matrix'!B22</f>
        <v>23</v>
      </c>
      <c r="C13" s="18" t="str">
        <f>'[1]02. Matrix'!C22</f>
        <v>AGRICULTURE LOAN</v>
      </c>
      <c r="D13" s="18">
        <f>'[1]02. Matrix'!D22</f>
        <v>1</v>
      </c>
      <c r="E13" s="19">
        <f>'[1]02. Matrix'!E22</f>
        <v>8.3882953150711342E-2</v>
      </c>
      <c r="F13" s="18" t="str">
        <f>_xlfn.XLOOKUP('01. Main'!$B13,[1]Mapping!$D:$D,[1]Mapping!$A:$A,0,0)</f>
        <v>Poush 81</v>
      </c>
      <c r="G13" s="20">
        <f>_xlfn.XLOOKUP('01. Main'!$B13,[1]Mapping!D$2:D$24,[1]Mapping!E$2:E$24,0,0)</f>
        <v>2025</v>
      </c>
    </row>
    <row r="14" spans="1:7" x14ac:dyDescent="0.45">
      <c r="A14" s="13">
        <f>'[1]02. Matrix'!A23</f>
        <v>13</v>
      </c>
      <c r="B14" s="14">
        <f>'[1]02. Matrix'!B23</f>
        <v>23</v>
      </c>
      <c r="C14" s="14" t="str">
        <f>'[1]02. Matrix'!C23</f>
        <v>RESI PER.HOME-EMI</v>
      </c>
      <c r="D14" s="14">
        <f>'[1]02. Matrix'!D23</f>
        <v>1</v>
      </c>
      <c r="E14" s="15">
        <f>'[1]02. Matrix'!E23</f>
        <v>0.169393802772486</v>
      </c>
      <c r="F14" s="14" t="str">
        <f>_xlfn.XLOOKUP('01. Main'!$B14,[1]Mapping!$D:$D,[1]Mapping!$A:$A,0,0)</f>
        <v>Poush 81</v>
      </c>
      <c r="G14" s="16">
        <f>_xlfn.XLOOKUP('01. Main'!$B14,[1]Mapping!D$2:D$24,[1]Mapping!E$2:E$24,0,0)</f>
        <v>2025</v>
      </c>
    </row>
    <row r="15" spans="1:7" x14ac:dyDescent="0.45">
      <c r="A15" s="17">
        <f>'[1]02. Matrix'!A24</f>
        <v>14</v>
      </c>
      <c r="B15" s="18">
        <f>'[1]02. Matrix'!B24</f>
        <v>23</v>
      </c>
      <c r="C15" s="18" t="str">
        <f>'[1]02. Matrix'!C24</f>
        <v>TERM LOAN - BUSINESS</v>
      </c>
      <c r="D15" s="18">
        <f>'[1]02. Matrix'!D24</f>
        <v>1</v>
      </c>
      <c r="E15" s="19">
        <f>'[1]02. Matrix'!E24</f>
        <v>0.10875601451192747</v>
      </c>
      <c r="F15" s="18" t="str">
        <f>_xlfn.XLOOKUP('01. Main'!$B15,[1]Mapping!$D:$D,[1]Mapping!$A:$A,0,0)</f>
        <v>Poush 81</v>
      </c>
      <c r="G15" s="20">
        <f>_xlfn.XLOOKUP('01. Main'!$B15,[1]Mapping!D$2:D$24,[1]Mapping!E$2:E$24,0,0)</f>
        <v>2025</v>
      </c>
    </row>
    <row r="16" spans="1:7" x14ac:dyDescent="0.45">
      <c r="A16" s="13">
        <f>'[1]02. Matrix'!A25</f>
        <v>15</v>
      </c>
      <c r="B16" s="14">
        <f>'[1]02. Matrix'!B25</f>
        <v>23</v>
      </c>
      <c r="C16" s="14" t="str">
        <f>'[1]02. Matrix'!C25</f>
        <v>CONS FIN BUSN TRM LO</v>
      </c>
      <c r="D16" s="14">
        <f>'[1]02. Matrix'!D25</f>
        <v>1</v>
      </c>
      <c r="E16" s="15">
        <f>'[1]02. Matrix'!E25</f>
        <v>0</v>
      </c>
      <c r="F16" s="14" t="str">
        <f>_xlfn.XLOOKUP('01. Main'!$B16,[1]Mapping!$D:$D,[1]Mapping!$A:$A,0,0)</f>
        <v>Poush 81</v>
      </c>
      <c r="G16" s="16">
        <f>_xlfn.XLOOKUP('01. Main'!$B16,[1]Mapping!D$2:D$24,[1]Mapping!E$2:E$24,0,0)</f>
        <v>2025</v>
      </c>
    </row>
    <row r="17" spans="1:7" x14ac:dyDescent="0.45">
      <c r="A17" s="17">
        <f>'[1]02. Matrix'!A26</f>
        <v>16</v>
      </c>
      <c r="B17" s="18">
        <f>'[1]02. Matrix'!B26</f>
        <v>23</v>
      </c>
      <c r="C17" s="18" t="str">
        <f>'[1]02. Matrix'!C26</f>
        <v>BIS/PERHIRE PURCHASE</v>
      </c>
      <c r="D17" s="18">
        <f>'[1]02. Matrix'!D26</f>
        <v>1</v>
      </c>
      <c r="E17" s="19">
        <f>'[1]02. Matrix'!E26</f>
        <v>0.19528280506701479</v>
      </c>
      <c r="F17" s="18" t="str">
        <f>_xlfn.XLOOKUP('01. Main'!$B17,[1]Mapping!$D:$D,[1]Mapping!$A:$A,0,0)</f>
        <v>Poush 81</v>
      </c>
      <c r="G17" s="20">
        <f>_xlfn.XLOOKUP('01. Main'!$B17,[1]Mapping!D$2:D$24,[1]Mapping!E$2:E$24,0,0)</f>
        <v>2025</v>
      </c>
    </row>
    <row r="18" spans="1:7" x14ac:dyDescent="0.45">
      <c r="A18" s="13">
        <f>'[1]02. Matrix'!A27</f>
        <v>17</v>
      </c>
      <c r="B18" s="14">
        <f>'[1]02. Matrix'!B27</f>
        <v>23</v>
      </c>
      <c r="C18" s="14" t="str">
        <f>'[1]02. Matrix'!C27</f>
        <v xml:space="preserve">INT CAP TERM LOAN </v>
      </c>
      <c r="D18" s="14">
        <f>'[1]02. Matrix'!D27</f>
        <v>1</v>
      </c>
      <c r="E18" s="15">
        <f>'[1]02. Matrix'!E27</f>
        <v>0</v>
      </c>
      <c r="F18" s="14" t="str">
        <f>_xlfn.XLOOKUP('01. Main'!$B18,[1]Mapping!$D:$D,[1]Mapping!$A:$A,0,0)</f>
        <v>Poush 81</v>
      </c>
      <c r="G18" s="16">
        <f>_xlfn.XLOOKUP('01. Main'!$B18,[1]Mapping!D$2:D$24,[1]Mapping!E$2:E$24,0,0)</f>
        <v>2025</v>
      </c>
    </row>
    <row r="19" spans="1:7" x14ac:dyDescent="0.45">
      <c r="A19" s="17">
        <f>'[1]02. Matrix'!A28</f>
        <v>18</v>
      </c>
      <c r="B19" s="18">
        <f>'[1]02. Matrix'!B28</f>
        <v>23</v>
      </c>
      <c r="C19" s="18" t="str">
        <f>'[1]02. Matrix'!C28</f>
        <v>PERSONAL LOAN</v>
      </c>
      <c r="D19" s="18">
        <f>'[1]02. Matrix'!D28</f>
        <v>1</v>
      </c>
      <c r="E19" s="19">
        <f>'[1]02. Matrix'!E28</f>
        <v>7.5862093206630316E-2</v>
      </c>
      <c r="F19" s="18" t="str">
        <f>_xlfn.XLOOKUP('01. Main'!$B19,[1]Mapping!$D:$D,[1]Mapping!$A:$A,0,0)</f>
        <v>Poush 81</v>
      </c>
      <c r="G19" s="20">
        <f>_xlfn.XLOOKUP('01. Main'!$B19,[1]Mapping!D$2:D$24,[1]Mapping!E$2:E$24,0,0)</f>
        <v>2025</v>
      </c>
    </row>
    <row r="20" spans="1:7" x14ac:dyDescent="0.45">
      <c r="A20" s="13">
        <f>'[1]02. Matrix'!A29</f>
        <v>19</v>
      </c>
      <c r="B20" s="14">
        <f>'[1]02. Matrix'!B29</f>
        <v>23</v>
      </c>
      <c r="C20" s="14" t="str">
        <f>'[1]02. Matrix'!C29</f>
        <v>MORTGAGE LOAN</v>
      </c>
      <c r="D20" s="14">
        <f>'[1]02. Matrix'!D29</f>
        <v>1</v>
      </c>
      <c r="E20" s="15">
        <f>'[1]02. Matrix'!E29</f>
        <v>2.7180805999842732E-2</v>
      </c>
      <c r="F20" s="14" t="str">
        <f>_xlfn.XLOOKUP('01. Main'!$B20,[1]Mapping!$D:$D,[1]Mapping!$A:$A,0,0)</f>
        <v>Poush 81</v>
      </c>
      <c r="G20" s="16">
        <f>_xlfn.XLOOKUP('01. Main'!$B20,[1]Mapping!D$2:D$24,[1]Mapping!E$2:E$24,0,0)</f>
        <v>2025</v>
      </c>
    </row>
    <row r="21" spans="1:7" x14ac:dyDescent="0.45">
      <c r="A21" s="17">
        <f>'[1]02. Matrix'!A30</f>
        <v>20</v>
      </c>
      <c r="B21" s="18">
        <f>'[1]02. Matrix'!B30</f>
        <v>23</v>
      </c>
      <c r="C21" s="18" t="str">
        <f>'[1]02. Matrix'!C30</f>
        <v>LOAN AGAINST FDR</v>
      </c>
      <c r="D21" s="18">
        <f>'[1]02. Matrix'!D30</f>
        <v>1</v>
      </c>
      <c r="E21" s="19">
        <f>'[1]02. Matrix'!E30</f>
        <v>0</v>
      </c>
      <c r="F21" s="18" t="str">
        <f>_xlfn.XLOOKUP('01. Main'!$B21,[1]Mapping!$D:$D,[1]Mapping!$A:$A,0,0)</f>
        <v>Poush 81</v>
      </c>
      <c r="G21" s="20">
        <f>_xlfn.XLOOKUP('01. Main'!$B21,[1]Mapping!D$2:D$24,[1]Mapping!E$2:E$24,0,0)</f>
        <v>2025</v>
      </c>
    </row>
    <row r="22" spans="1:7" x14ac:dyDescent="0.45">
      <c r="A22" s="13">
        <f>'[1]02. Matrix'!A31</f>
        <v>21</v>
      </c>
      <c r="B22" s="14">
        <f>'[1]02. Matrix'!B31</f>
        <v>23</v>
      </c>
      <c r="C22" s="14" t="str">
        <f>'[1]02. Matrix'!C31</f>
        <v>RECEIVABLE LOAN</v>
      </c>
      <c r="D22" s="14">
        <f>'[1]02. Matrix'!D31</f>
        <v>1</v>
      </c>
      <c r="E22" s="15">
        <f>'[1]02. Matrix'!E31</f>
        <v>0</v>
      </c>
      <c r="F22" s="14" t="str">
        <f>_xlfn.XLOOKUP('01. Main'!$B22,[1]Mapping!$D:$D,[1]Mapping!$A:$A,0,0)</f>
        <v>Poush 81</v>
      </c>
      <c r="G22" s="16">
        <f>_xlfn.XLOOKUP('01. Main'!$B22,[1]Mapping!D$2:D$24,[1]Mapping!E$2:E$24,0,0)</f>
        <v>2025</v>
      </c>
    </row>
    <row r="23" spans="1:7" x14ac:dyDescent="0.45">
      <c r="A23" s="17">
        <f>'[1]02. Matrix'!A32</f>
        <v>22</v>
      </c>
      <c r="B23" s="18">
        <f>'[1]02. Matrix'!B32</f>
        <v>23</v>
      </c>
      <c r="C23" s="18" t="str">
        <f>'[1]02. Matrix'!C32</f>
        <v>STAFF LOAN</v>
      </c>
      <c r="D23" s="18">
        <f>'[1]02. Matrix'!D32</f>
        <v>1</v>
      </c>
      <c r="E23" s="19">
        <f>'[1]02. Matrix'!E32</f>
        <v>0</v>
      </c>
      <c r="F23" s="18" t="str">
        <f>_xlfn.XLOOKUP('01. Main'!$B23,[1]Mapping!$D:$D,[1]Mapping!$A:$A,0,0)</f>
        <v>Poush 81</v>
      </c>
      <c r="G23" s="20">
        <f>_xlfn.XLOOKUP('01. Main'!$B23,[1]Mapping!D$2:D$24,[1]Mapping!E$2:E$24,0,0)</f>
        <v>2025</v>
      </c>
    </row>
    <row r="24" spans="1:7" x14ac:dyDescent="0.45">
      <c r="A24" s="13">
        <f>'[1]02. Matrix'!A33</f>
        <v>23</v>
      </c>
      <c r="B24" s="14">
        <f>'[1]02. Matrix'!B33</f>
        <v>23</v>
      </c>
      <c r="C24" s="14" t="str">
        <f>'[1]02. Matrix'!C33</f>
        <v>AGRICULTURAL LOAN</v>
      </c>
      <c r="D24" s="14">
        <f>'[1]02. Matrix'!D33</f>
        <v>1</v>
      </c>
      <c r="E24" s="15">
        <f>'[1]02. Matrix'!E33</f>
        <v>1.2675887527856542E-2</v>
      </c>
      <c r="F24" s="14" t="str">
        <f>_xlfn.XLOOKUP('01. Main'!$B24,[1]Mapping!$D:$D,[1]Mapping!$A:$A,0,0)</f>
        <v>Poush 81</v>
      </c>
      <c r="G24" s="16">
        <f>_xlfn.XLOOKUP('01. Main'!$B24,[1]Mapping!D$2:D$24,[1]Mapping!E$2:E$24,0,0)</f>
        <v>2025</v>
      </c>
    </row>
    <row r="25" spans="1:7" x14ac:dyDescent="0.45">
      <c r="A25" s="17">
        <f>'[1]02. Matrix'!A34</f>
        <v>24</v>
      </c>
      <c r="B25" s="18">
        <f>'[1]02. Matrix'!B34</f>
        <v>23</v>
      </c>
      <c r="C25" s="18" t="str">
        <f>'[1]02. Matrix'!C34</f>
        <v>EARTHQUAKE RELIEF LO</v>
      </c>
      <c r="D25" s="18">
        <f>'[1]02. Matrix'!D34</f>
        <v>1</v>
      </c>
      <c r="E25" s="19">
        <f>'[1]02. Matrix'!E34</f>
        <v>0</v>
      </c>
      <c r="F25" s="18" t="str">
        <f>_xlfn.XLOOKUP('01. Main'!$B25,[1]Mapping!$D:$D,[1]Mapping!$A:$A,0,0)</f>
        <v>Poush 81</v>
      </c>
      <c r="G25" s="20">
        <f>_xlfn.XLOOKUP('01. Main'!$B25,[1]Mapping!D$2:D$24,[1]Mapping!E$2:E$24,0,0)</f>
        <v>2025</v>
      </c>
    </row>
    <row r="26" spans="1:7" x14ac:dyDescent="0.45">
      <c r="A26" s="13">
        <f>'[1]02. Matrix'!A35</f>
        <v>25</v>
      </c>
      <c r="B26" s="14">
        <f>'[1]02. Matrix'!B35</f>
        <v>23</v>
      </c>
      <c r="C26" s="14" t="str">
        <f>'[1]02. Matrix'!C35</f>
        <v>TOURISM SECTOR LOAN</v>
      </c>
      <c r="D26" s="14">
        <f>'[1]02. Matrix'!D35</f>
        <v>1</v>
      </c>
      <c r="E26" s="15">
        <f>'[1]02. Matrix'!E35</f>
        <v>0</v>
      </c>
      <c r="F26" s="14" t="str">
        <f>_xlfn.XLOOKUP('01. Main'!$B26,[1]Mapping!$D:$D,[1]Mapping!$A:$A,0,0)</f>
        <v>Poush 81</v>
      </c>
      <c r="G26" s="16">
        <f>_xlfn.XLOOKUP('01. Main'!$B26,[1]Mapping!D$2:D$24,[1]Mapping!E$2:E$24,0,0)</f>
        <v>2025</v>
      </c>
    </row>
    <row r="27" spans="1:7" x14ac:dyDescent="0.45">
      <c r="A27" s="17">
        <f>'[1]02. Matrix'!A36</f>
        <v>26</v>
      </c>
      <c r="B27" s="18">
        <f>'[1]02. Matrix'!B36</f>
        <v>23</v>
      </c>
      <c r="C27" s="18" t="str">
        <f>'[1]02. Matrix'!C36</f>
        <v>SME LOAN</v>
      </c>
      <c r="D27" s="18">
        <f>'[1]02. Matrix'!D36</f>
        <v>1</v>
      </c>
      <c r="E27" s="19">
        <f>'[1]02. Matrix'!E36</f>
        <v>0</v>
      </c>
      <c r="F27" s="18" t="str">
        <f>_xlfn.XLOOKUP('01. Main'!$B27,[1]Mapping!$D:$D,[1]Mapping!$A:$A,0,0)</f>
        <v>Poush 81</v>
      </c>
      <c r="G27" s="20">
        <f>_xlfn.XLOOKUP('01. Main'!$B27,[1]Mapping!D$2:D$24,[1]Mapping!E$2:E$24,0,0)</f>
        <v>2025</v>
      </c>
    </row>
    <row r="28" spans="1:7" x14ac:dyDescent="0.45">
      <c r="A28" s="13">
        <f>'[1]02. Matrix'!A37</f>
        <v>27</v>
      </c>
      <c r="B28" s="14">
        <f>'[1]02. Matrix'!B37</f>
        <v>23</v>
      </c>
      <c r="C28" s="14" t="str">
        <f>'[1]02. Matrix'!C37</f>
        <v>EDUCATIONAL LOAN EMI</v>
      </c>
      <c r="D28" s="14">
        <f>'[1]02. Matrix'!D37</f>
        <v>1</v>
      </c>
      <c r="E28" s="15">
        <f>'[1]02. Matrix'!E37</f>
        <v>0</v>
      </c>
      <c r="F28" s="14" t="str">
        <f>_xlfn.XLOOKUP('01. Main'!$B28,[1]Mapping!$D:$D,[1]Mapping!$A:$A,0,0)</f>
        <v>Poush 81</v>
      </c>
      <c r="G28" s="16">
        <f>_xlfn.XLOOKUP('01. Main'!$B28,[1]Mapping!D$2:D$24,[1]Mapping!E$2:E$24,0,0)</f>
        <v>2025</v>
      </c>
    </row>
    <row r="29" spans="1:7" x14ac:dyDescent="0.45">
      <c r="A29" s="17">
        <f>'[1]02. Matrix'!A38</f>
        <v>28</v>
      </c>
      <c r="B29" s="18">
        <f>'[1]02. Matrix'!B38</f>
        <v>23</v>
      </c>
      <c r="C29" s="18" t="str">
        <f>'[1]02. Matrix'!C38</f>
        <v>OVERDRAFT PROFESSION</v>
      </c>
      <c r="D29" s="18">
        <f>'[1]02. Matrix'!D38</f>
        <v>1</v>
      </c>
      <c r="E29" s="19">
        <f>'[1]02. Matrix'!E38</f>
        <v>0</v>
      </c>
      <c r="F29" s="18" t="str">
        <f>_xlfn.XLOOKUP('01. Main'!$B29,[1]Mapping!$D:$D,[1]Mapping!$A:$A,0,0)</f>
        <v>Poush 81</v>
      </c>
      <c r="G29" s="20">
        <f>_xlfn.XLOOKUP('01. Main'!$B29,[1]Mapping!D$2:D$24,[1]Mapping!E$2:E$24,0,0)</f>
        <v>2025</v>
      </c>
    </row>
    <row r="30" spans="1:7" x14ac:dyDescent="0.45">
      <c r="A30" s="13">
        <f>'[1]02. Matrix'!A39</f>
        <v>29</v>
      </c>
      <c r="B30" s="14">
        <f>'[1]02. Matrix'!B39</f>
        <v>23</v>
      </c>
      <c r="C30" s="14" t="str">
        <f>'[1]02. Matrix'!C39</f>
        <v>OD PERSONAL LOAN</v>
      </c>
      <c r="D30" s="14">
        <f>'[1]02. Matrix'!D39</f>
        <v>2</v>
      </c>
      <c r="E30" s="15">
        <f>'[1]02. Matrix'!E39</f>
        <v>0.19989453956925751</v>
      </c>
      <c r="F30" s="14" t="str">
        <f>_xlfn.XLOOKUP('01. Main'!$B30,[1]Mapping!$D:$D,[1]Mapping!$A:$A,0,0)</f>
        <v>Poush 81</v>
      </c>
      <c r="G30" s="16">
        <f>_xlfn.XLOOKUP('01. Main'!$B30,[1]Mapping!D$2:D$24,[1]Mapping!E$2:E$24,0,0)</f>
        <v>2025</v>
      </c>
    </row>
    <row r="31" spans="1:7" x14ac:dyDescent="0.45">
      <c r="A31" s="17">
        <f>'[1]02. Matrix'!A40</f>
        <v>30</v>
      </c>
      <c r="B31" s="18">
        <f>'[1]02. Matrix'!B40</f>
        <v>23</v>
      </c>
      <c r="C31" s="18" t="str">
        <f>'[1]02. Matrix'!C40</f>
        <v>OD BUSINESS LOAN</v>
      </c>
      <c r="D31" s="18">
        <f>'[1]02. Matrix'!D40</f>
        <v>2</v>
      </c>
      <c r="E31" s="19">
        <f>'[1]02. Matrix'!E40</f>
        <v>0</v>
      </c>
      <c r="F31" s="18" t="str">
        <f>_xlfn.XLOOKUP('01. Main'!$B31,[1]Mapping!$D:$D,[1]Mapping!$A:$A,0,0)</f>
        <v>Poush 81</v>
      </c>
      <c r="G31" s="20">
        <f>_xlfn.XLOOKUP('01. Main'!$B31,[1]Mapping!D$2:D$24,[1]Mapping!E$2:E$24,0,0)</f>
        <v>2025</v>
      </c>
    </row>
    <row r="32" spans="1:7" x14ac:dyDescent="0.45">
      <c r="A32" s="13">
        <f>'[1]02. Matrix'!A41</f>
        <v>31</v>
      </c>
      <c r="B32" s="14">
        <f>'[1]02. Matrix'!B41</f>
        <v>23</v>
      </c>
      <c r="C32" s="14" t="str">
        <f>'[1]02. Matrix'!C41</f>
        <v>OD STAFF LOAN</v>
      </c>
      <c r="D32" s="14">
        <f>'[1]02. Matrix'!D41</f>
        <v>2</v>
      </c>
      <c r="E32" s="15">
        <f>'[1]02. Matrix'!E41</f>
        <v>0</v>
      </c>
      <c r="F32" s="14" t="str">
        <f>_xlfn.XLOOKUP('01. Main'!$B32,[1]Mapping!$D:$D,[1]Mapping!$A:$A,0,0)</f>
        <v>Poush 81</v>
      </c>
      <c r="G32" s="16">
        <f>_xlfn.XLOOKUP('01. Main'!$B32,[1]Mapping!D$2:D$24,[1]Mapping!E$2:E$24,0,0)</f>
        <v>2025</v>
      </c>
    </row>
    <row r="33" spans="1:7" x14ac:dyDescent="0.45">
      <c r="A33" s="17">
        <f>'[1]02. Matrix'!A42</f>
        <v>32</v>
      </c>
      <c r="B33" s="18">
        <f>'[1]02. Matrix'!B42</f>
        <v>23</v>
      </c>
      <c r="C33" s="18" t="str">
        <f>'[1]02. Matrix'!C42</f>
        <v>TERM LOAN</v>
      </c>
      <c r="D33" s="18">
        <f>'[1]02. Matrix'!D42</f>
        <v>2</v>
      </c>
      <c r="E33" s="19">
        <f>'[1]02. Matrix'!E42</f>
        <v>0.27760798271423498</v>
      </c>
      <c r="F33" s="18" t="str">
        <f>_xlfn.XLOOKUP('01. Main'!$B33,[1]Mapping!$D:$D,[1]Mapping!$A:$A,0,0)</f>
        <v>Poush 81</v>
      </c>
      <c r="G33" s="20">
        <f>_xlfn.XLOOKUP('01. Main'!$B33,[1]Mapping!D$2:D$24,[1]Mapping!E$2:E$24,0,0)</f>
        <v>2025</v>
      </c>
    </row>
    <row r="34" spans="1:7" x14ac:dyDescent="0.45">
      <c r="A34" s="13">
        <f>'[1]02. Matrix'!A43</f>
        <v>33</v>
      </c>
      <c r="B34" s="14">
        <f>'[1]02. Matrix'!B43</f>
        <v>23</v>
      </c>
      <c r="C34" s="14" t="str">
        <f>'[1]02. Matrix'!C43</f>
        <v>WC TRADING/IND LOAN</v>
      </c>
      <c r="D34" s="14">
        <f>'[1]02. Matrix'!D43</f>
        <v>2</v>
      </c>
      <c r="E34" s="15">
        <f>'[1]02. Matrix'!E43</f>
        <v>0.17640008496844142</v>
      </c>
      <c r="F34" s="14" t="str">
        <f>_xlfn.XLOOKUP('01. Main'!$B34,[1]Mapping!$D:$D,[1]Mapping!$A:$A,0,0)</f>
        <v>Poush 81</v>
      </c>
      <c r="G34" s="16">
        <f>_xlfn.XLOOKUP('01. Main'!$B34,[1]Mapping!D$2:D$24,[1]Mapping!E$2:E$24,0,0)</f>
        <v>2025</v>
      </c>
    </row>
    <row r="35" spans="1:7" x14ac:dyDescent="0.45">
      <c r="A35" s="17">
        <f>'[1]02. Matrix'!A44</f>
        <v>34</v>
      </c>
      <c r="B35" s="18">
        <f>'[1]02. Matrix'!B44</f>
        <v>23</v>
      </c>
      <c r="C35" s="18" t="str">
        <f>'[1]02. Matrix'!C44</f>
        <v>HOUSING LOAN</v>
      </c>
      <c r="D35" s="18">
        <f>'[1]02. Matrix'!D44</f>
        <v>2</v>
      </c>
      <c r="E35" s="19">
        <f>'[1]02. Matrix'!E44</f>
        <v>0.33440376138467287</v>
      </c>
      <c r="F35" s="18" t="str">
        <f>_xlfn.XLOOKUP('01. Main'!$B35,[1]Mapping!$D:$D,[1]Mapping!$A:$A,0,0)</f>
        <v>Poush 81</v>
      </c>
      <c r="G35" s="20">
        <f>_xlfn.XLOOKUP('01. Main'!$B35,[1]Mapping!D$2:D$24,[1]Mapping!E$2:E$24,0,0)</f>
        <v>2025</v>
      </c>
    </row>
    <row r="36" spans="1:7" x14ac:dyDescent="0.45">
      <c r="A36" s="13">
        <f>'[1]02. Matrix'!A45</f>
        <v>35</v>
      </c>
      <c r="B36" s="14">
        <f>'[1]02. Matrix'!B45</f>
        <v>23</v>
      </c>
      <c r="C36" s="14" t="str">
        <f>'[1]02. Matrix'!C45</f>
        <v>RESI REAL EST LOAN</v>
      </c>
      <c r="D36" s="14">
        <f>'[1]02. Matrix'!D45</f>
        <v>2</v>
      </c>
      <c r="E36" s="15">
        <f>'[1]02. Matrix'!E45</f>
        <v>0</v>
      </c>
      <c r="F36" s="14" t="str">
        <f>_xlfn.XLOOKUP('01. Main'!$B36,[1]Mapping!$D:$D,[1]Mapping!$A:$A,0,0)</f>
        <v>Poush 81</v>
      </c>
      <c r="G36" s="16">
        <f>_xlfn.XLOOKUP('01. Main'!$B36,[1]Mapping!D$2:D$24,[1]Mapping!E$2:E$24,0,0)</f>
        <v>2025</v>
      </c>
    </row>
    <row r="37" spans="1:7" x14ac:dyDescent="0.45">
      <c r="A37" s="17">
        <f>'[1]02. Matrix'!A46</f>
        <v>36</v>
      </c>
      <c r="B37" s="18">
        <f>'[1]02. Matrix'!B46</f>
        <v>23</v>
      </c>
      <c r="C37" s="18" t="str">
        <f>'[1]02. Matrix'!C46</f>
        <v>MARGIN NATURE LOAN</v>
      </c>
      <c r="D37" s="18">
        <f>'[1]02. Matrix'!D46</f>
        <v>2</v>
      </c>
      <c r="E37" s="19">
        <f>'[1]02. Matrix'!E46</f>
        <v>0</v>
      </c>
      <c r="F37" s="18" t="str">
        <f>_xlfn.XLOOKUP('01. Main'!$B37,[1]Mapping!$D:$D,[1]Mapping!$A:$A,0,0)</f>
        <v>Poush 81</v>
      </c>
      <c r="G37" s="20">
        <f>_xlfn.XLOOKUP('01. Main'!$B37,[1]Mapping!D$2:D$24,[1]Mapping!E$2:E$24,0,0)</f>
        <v>2025</v>
      </c>
    </row>
    <row r="38" spans="1:7" x14ac:dyDescent="0.45">
      <c r="A38" s="13">
        <f>'[1]02. Matrix'!A47</f>
        <v>37</v>
      </c>
      <c r="B38" s="14">
        <f>'[1]02. Matrix'!B47</f>
        <v>23</v>
      </c>
      <c r="C38" s="14" t="str">
        <f>'[1]02. Matrix'!C47</f>
        <v>HIRE PURCHASE LOAN</v>
      </c>
      <c r="D38" s="14">
        <f>'[1]02. Matrix'!D47</f>
        <v>2</v>
      </c>
      <c r="E38" s="15">
        <f>'[1]02. Matrix'!E47</f>
        <v>0.53049772939435369</v>
      </c>
      <c r="F38" s="14" t="str">
        <f>_xlfn.XLOOKUP('01. Main'!$B38,[1]Mapping!$D:$D,[1]Mapping!$A:$A,0,0)</f>
        <v>Poush 81</v>
      </c>
      <c r="G38" s="16">
        <f>_xlfn.XLOOKUP('01. Main'!$B38,[1]Mapping!D$2:D$24,[1]Mapping!E$2:E$24,0,0)</f>
        <v>2025</v>
      </c>
    </row>
    <row r="39" spans="1:7" x14ac:dyDescent="0.45">
      <c r="A39" s="17">
        <f>'[1]02. Matrix'!A48</f>
        <v>38</v>
      </c>
      <c r="B39" s="18">
        <f>'[1]02. Matrix'!B48</f>
        <v>23</v>
      </c>
      <c r="C39" s="18" t="str">
        <f>'[1]02. Matrix'!C48</f>
        <v>DEPRIVED SECTOR LOAN</v>
      </c>
      <c r="D39" s="18">
        <f>'[1]02. Matrix'!D48</f>
        <v>2</v>
      </c>
      <c r="E39" s="19">
        <f>'[1]02. Matrix'!E48</f>
        <v>0.14453319613355389</v>
      </c>
      <c r="F39" s="18" t="str">
        <f>_xlfn.XLOOKUP('01. Main'!$B39,[1]Mapping!$D:$D,[1]Mapping!$A:$A,0,0)</f>
        <v>Poush 81</v>
      </c>
      <c r="G39" s="20">
        <f>_xlfn.XLOOKUP('01. Main'!$B39,[1]Mapping!D$2:D$24,[1]Mapping!E$2:E$24,0,0)</f>
        <v>2025</v>
      </c>
    </row>
    <row r="40" spans="1:7" x14ac:dyDescent="0.45">
      <c r="A40" s="13">
        <f>'[1]02. Matrix'!A49</f>
        <v>39</v>
      </c>
      <c r="B40" s="14">
        <f>'[1]02. Matrix'!B49</f>
        <v>23</v>
      </c>
      <c r="C40" s="14" t="str">
        <f>'[1]02. Matrix'!C49</f>
        <v>EDUCATIONAL LOAN</v>
      </c>
      <c r="D40" s="14">
        <f>'[1]02. Matrix'!D49</f>
        <v>2</v>
      </c>
      <c r="E40" s="15">
        <f>'[1]02. Matrix'!E49</f>
        <v>0</v>
      </c>
      <c r="F40" s="14" t="str">
        <f>_xlfn.XLOOKUP('01. Main'!$B40,[1]Mapping!$D:$D,[1]Mapping!$A:$A,0,0)</f>
        <v>Poush 81</v>
      </c>
      <c r="G40" s="16">
        <f>_xlfn.XLOOKUP('01. Main'!$B40,[1]Mapping!D$2:D$24,[1]Mapping!E$2:E$24,0,0)</f>
        <v>2025</v>
      </c>
    </row>
    <row r="41" spans="1:7" x14ac:dyDescent="0.45">
      <c r="A41" s="17">
        <f>'[1]02. Matrix'!A50</f>
        <v>40</v>
      </c>
      <c r="B41" s="18">
        <f>'[1]02. Matrix'!B50</f>
        <v>23</v>
      </c>
      <c r="C41" s="18" t="str">
        <f>'[1]02. Matrix'!C50</f>
        <v>AGRICULTURE LOAN</v>
      </c>
      <c r="D41" s="18">
        <f>'[1]02. Matrix'!D50</f>
        <v>2</v>
      </c>
      <c r="E41" s="19">
        <f>'[1]02. Matrix'!E50</f>
        <v>0.2926079436429429</v>
      </c>
      <c r="F41" s="18" t="str">
        <f>_xlfn.XLOOKUP('01. Main'!$B41,[1]Mapping!$D:$D,[1]Mapping!$A:$A,0,0)</f>
        <v>Poush 81</v>
      </c>
      <c r="G41" s="20">
        <f>_xlfn.XLOOKUP('01. Main'!$B41,[1]Mapping!D$2:D$24,[1]Mapping!E$2:E$24,0,0)</f>
        <v>2025</v>
      </c>
    </row>
    <row r="42" spans="1:7" x14ac:dyDescent="0.45">
      <c r="A42" s="13">
        <f>'[1]02. Matrix'!A51</f>
        <v>41</v>
      </c>
      <c r="B42" s="14">
        <f>'[1]02. Matrix'!B51</f>
        <v>23</v>
      </c>
      <c r="C42" s="14" t="str">
        <f>'[1]02. Matrix'!C51</f>
        <v>RESI PER.HOME-EMI</v>
      </c>
      <c r="D42" s="14">
        <f>'[1]02. Matrix'!D51</f>
        <v>2</v>
      </c>
      <c r="E42" s="15">
        <f>'[1]02. Matrix'!E51</f>
        <v>0.27219558992150272</v>
      </c>
      <c r="F42" s="14" t="str">
        <f>_xlfn.XLOOKUP('01. Main'!$B42,[1]Mapping!$D:$D,[1]Mapping!$A:$A,0,0)</f>
        <v>Poush 81</v>
      </c>
      <c r="G42" s="16">
        <f>_xlfn.XLOOKUP('01. Main'!$B42,[1]Mapping!D$2:D$24,[1]Mapping!E$2:E$24,0,0)</f>
        <v>2025</v>
      </c>
    </row>
    <row r="43" spans="1:7" x14ac:dyDescent="0.45">
      <c r="A43" s="17">
        <f>'[1]02. Matrix'!A52</f>
        <v>42</v>
      </c>
      <c r="B43" s="18">
        <f>'[1]02. Matrix'!B52</f>
        <v>23</v>
      </c>
      <c r="C43" s="18" t="str">
        <f>'[1]02. Matrix'!C52</f>
        <v>TERM LOAN - BUSINESS</v>
      </c>
      <c r="D43" s="18">
        <f>'[1]02. Matrix'!D52</f>
        <v>2</v>
      </c>
      <c r="E43" s="19">
        <f>'[1]02. Matrix'!E52</f>
        <v>0.37308697078314568</v>
      </c>
      <c r="F43" s="18" t="str">
        <f>_xlfn.XLOOKUP('01. Main'!$B43,[1]Mapping!$D:$D,[1]Mapping!$A:$A,0,0)</f>
        <v>Poush 81</v>
      </c>
      <c r="G43" s="20">
        <f>_xlfn.XLOOKUP('01. Main'!$B43,[1]Mapping!D$2:D$24,[1]Mapping!E$2:E$24,0,0)</f>
        <v>2025</v>
      </c>
    </row>
    <row r="44" spans="1:7" x14ac:dyDescent="0.45">
      <c r="A44" s="13">
        <f>'[1]02. Matrix'!A53</f>
        <v>43</v>
      </c>
      <c r="B44" s="14">
        <f>'[1]02. Matrix'!B53</f>
        <v>23</v>
      </c>
      <c r="C44" s="14" t="str">
        <f>'[1]02. Matrix'!C53</f>
        <v>CONS FIN BUSN TRM LO</v>
      </c>
      <c r="D44" s="14">
        <f>'[1]02. Matrix'!D53</f>
        <v>2</v>
      </c>
      <c r="E44" s="15">
        <f>'[1]02. Matrix'!E53</f>
        <v>0</v>
      </c>
      <c r="F44" s="14" t="str">
        <f>_xlfn.XLOOKUP('01. Main'!$B44,[1]Mapping!$D:$D,[1]Mapping!$A:$A,0,0)</f>
        <v>Poush 81</v>
      </c>
      <c r="G44" s="16">
        <f>_xlfn.XLOOKUP('01. Main'!$B44,[1]Mapping!D$2:D$24,[1]Mapping!E$2:E$24,0,0)</f>
        <v>2025</v>
      </c>
    </row>
    <row r="45" spans="1:7" x14ac:dyDescent="0.45">
      <c r="A45" s="17">
        <f>'[1]02. Matrix'!A54</f>
        <v>44</v>
      </c>
      <c r="B45" s="18">
        <f>'[1]02. Matrix'!B54</f>
        <v>23</v>
      </c>
      <c r="C45" s="18" t="str">
        <f>'[1]02. Matrix'!C54</f>
        <v>BIS/PERHIRE PURCHASE</v>
      </c>
      <c r="D45" s="18">
        <f>'[1]02. Matrix'!D54</f>
        <v>2</v>
      </c>
      <c r="E45" s="19">
        <f>'[1]02. Matrix'!E54</f>
        <v>0.50149529230205137</v>
      </c>
      <c r="F45" s="18" t="str">
        <f>_xlfn.XLOOKUP('01. Main'!$B45,[1]Mapping!$D:$D,[1]Mapping!$A:$A,0,0)</f>
        <v>Poush 81</v>
      </c>
      <c r="G45" s="20">
        <f>_xlfn.XLOOKUP('01. Main'!$B45,[1]Mapping!D$2:D$24,[1]Mapping!E$2:E$24,0,0)</f>
        <v>2025</v>
      </c>
    </row>
    <row r="46" spans="1:7" x14ac:dyDescent="0.45">
      <c r="A46" s="13">
        <f>'[1]02. Matrix'!A55</f>
        <v>45</v>
      </c>
      <c r="B46" s="14">
        <f>'[1]02. Matrix'!B55</f>
        <v>23</v>
      </c>
      <c r="C46" s="14" t="str">
        <f>'[1]02. Matrix'!C55</f>
        <v xml:space="preserve">INT CAP TERM LOAN </v>
      </c>
      <c r="D46" s="14">
        <f>'[1]02. Matrix'!D55</f>
        <v>2</v>
      </c>
      <c r="E46" s="15">
        <f>'[1]02. Matrix'!E55</f>
        <v>0</v>
      </c>
      <c r="F46" s="14" t="str">
        <f>_xlfn.XLOOKUP('01. Main'!$B46,[1]Mapping!$D:$D,[1]Mapping!$A:$A,0,0)</f>
        <v>Poush 81</v>
      </c>
      <c r="G46" s="16">
        <f>_xlfn.XLOOKUP('01. Main'!$B46,[1]Mapping!D$2:D$24,[1]Mapping!E$2:E$24,0,0)</f>
        <v>2025</v>
      </c>
    </row>
    <row r="47" spans="1:7" x14ac:dyDescent="0.45">
      <c r="A47" s="17">
        <f>'[1]02. Matrix'!A56</f>
        <v>46</v>
      </c>
      <c r="B47" s="18">
        <f>'[1]02. Matrix'!B56</f>
        <v>23</v>
      </c>
      <c r="C47" s="18" t="str">
        <f>'[1]02. Matrix'!C56</f>
        <v>PERSONAL LOAN</v>
      </c>
      <c r="D47" s="18">
        <f>'[1]02. Matrix'!D56</f>
        <v>2</v>
      </c>
      <c r="E47" s="19">
        <f>'[1]02. Matrix'!E56</f>
        <v>0.14291013368759392</v>
      </c>
      <c r="F47" s="18" t="str">
        <f>_xlfn.XLOOKUP('01. Main'!$B47,[1]Mapping!$D:$D,[1]Mapping!$A:$A,0,0)</f>
        <v>Poush 81</v>
      </c>
      <c r="G47" s="20">
        <f>_xlfn.XLOOKUP('01. Main'!$B47,[1]Mapping!D$2:D$24,[1]Mapping!E$2:E$24,0,0)</f>
        <v>2025</v>
      </c>
    </row>
    <row r="48" spans="1:7" x14ac:dyDescent="0.45">
      <c r="A48" s="13">
        <f>'[1]02. Matrix'!A57</f>
        <v>47</v>
      </c>
      <c r="B48" s="14">
        <f>'[1]02. Matrix'!B57</f>
        <v>23</v>
      </c>
      <c r="C48" s="14" t="str">
        <f>'[1]02. Matrix'!C57</f>
        <v>MORTGAGE LOAN</v>
      </c>
      <c r="D48" s="14">
        <f>'[1]02. Matrix'!D57</f>
        <v>2</v>
      </c>
      <c r="E48" s="15">
        <f>'[1]02. Matrix'!E57</f>
        <v>0.13346956069709026</v>
      </c>
      <c r="F48" s="14" t="str">
        <f>_xlfn.XLOOKUP('01. Main'!$B48,[1]Mapping!$D:$D,[1]Mapping!$A:$A,0,0)</f>
        <v>Poush 81</v>
      </c>
      <c r="G48" s="16">
        <f>_xlfn.XLOOKUP('01. Main'!$B48,[1]Mapping!D$2:D$24,[1]Mapping!E$2:E$24,0,0)</f>
        <v>2025</v>
      </c>
    </row>
    <row r="49" spans="1:7" x14ac:dyDescent="0.45">
      <c r="A49" s="17">
        <f>'[1]02. Matrix'!A58</f>
        <v>48</v>
      </c>
      <c r="B49" s="18">
        <f>'[1]02. Matrix'!B58</f>
        <v>23</v>
      </c>
      <c r="C49" s="18" t="str">
        <f>'[1]02. Matrix'!C58</f>
        <v>LOAN AGAINST FDR</v>
      </c>
      <c r="D49" s="18">
        <f>'[1]02. Matrix'!D58</f>
        <v>2</v>
      </c>
      <c r="E49" s="19">
        <f>'[1]02. Matrix'!E58</f>
        <v>0</v>
      </c>
      <c r="F49" s="18" t="str">
        <f>_xlfn.XLOOKUP('01. Main'!$B49,[1]Mapping!$D:$D,[1]Mapping!$A:$A,0,0)</f>
        <v>Poush 81</v>
      </c>
      <c r="G49" s="20">
        <f>_xlfn.XLOOKUP('01. Main'!$B49,[1]Mapping!D$2:D$24,[1]Mapping!E$2:E$24,0,0)</f>
        <v>2025</v>
      </c>
    </row>
    <row r="50" spans="1:7" x14ac:dyDescent="0.45">
      <c r="A50" s="13">
        <f>'[1]02. Matrix'!A59</f>
        <v>49</v>
      </c>
      <c r="B50" s="14">
        <f>'[1]02. Matrix'!B59</f>
        <v>23</v>
      </c>
      <c r="C50" s="14" t="str">
        <f>'[1]02. Matrix'!C59</f>
        <v>RECEIVABLE LOAN</v>
      </c>
      <c r="D50" s="14">
        <f>'[1]02. Matrix'!D59</f>
        <v>2</v>
      </c>
      <c r="E50" s="15">
        <f>'[1]02. Matrix'!E59</f>
        <v>0</v>
      </c>
      <c r="F50" s="14" t="str">
        <f>_xlfn.XLOOKUP('01. Main'!$B50,[1]Mapping!$D:$D,[1]Mapping!$A:$A,0,0)</f>
        <v>Poush 81</v>
      </c>
      <c r="G50" s="16">
        <f>_xlfn.XLOOKUP('01. Main'!$B50,[1]Mapping!D$2:D$24,[1]Mapping!E$2:E$24,0,0)</f>
        <v>2025</v>
      </c>
    </row>
    <row r="51" spans="1:7" x14ac:dyDescent="0.45">
      <c r="A51" s="17">
        <f>'[1]02. Matrix'!A60</f>
        <v>50</v>
      </c>
      <c r="B51" s="18">
        <f>'[1]02. Matrix'!B60</f>
        <v>23</v>
      </c>
      <c r="C51" s="18" t="str">
        <f>'[1]02. Matrix'!C60</f>
        <v>STAFF LOAN</v>
      </c>
      <c r="D51" s="18">
        <f>'[1]02. Matrix'!D60</f>
        <v>2</v>
      </c>
      <c r="E51" s="19">
        <f>'[1]02. Matrix'!E60</f>
        <v>0</v>
      </c>
      <c r="F51" s="18" t="str">
        <f>_xlfn.XLOOKUP('01. Main'!$B51,[1]Mapping!$D:$D,[1]Mapping!$A:$A,0,0)</f>
        <v>Poush 81</v>
      </c>
      <c r="G51" s="20">
        <f>_xlfn.XLOOKUP('01. Main'!$B51,[1]Mapping!D$2:D$24,[1]Mapping!E$2:E$24,0,0)</f>
        <v>2025</v>
      </c>
    </row>
    <row r="52" spans="1:7" x14ac:dyDescent="0.45">
      <c r="A52" s="13">
        <f>'[1]02. Matrix'!A61</f>
        <v>51</v>
      </c>
      <c r="B52" s="14">
        <f>'[1]02. Matrix'!B61</f>
        <v>23</v>
      </c>
      <c r="C52" s="14" t="str">
        <f>'[1]02. Matrix'!C61</f>
        <v>AGRICULTURAL LOAN</v>
      </c>
      <c r="D52" s="14">
        <f>'[1]02. Matrix'!D61</f>
        <v>2</v>
      </c>
      <c r="E52" s="15">
        <f>'[1]02. Matrix'!E61</f>
        <v>4.1531125708018715E-2</v>
      </c>
      <c r="F52" s="14" t="str">
        <f>_xlfn.XLOOKUP('01. Main'!$B52,[1]Mapping!$D:$D,[1]Mapping!$A:$A,0,0)</f>
        <v>Poush 81</v>
      </c>
      <c r="G52" s="16">
        <f>_xlfn.XLOOKUP('01. Main'!$B52,[1]Mapping!D$2:D$24,[1]Mapping!E$2:E$24,0,0)</f>
        <v>2025</v>
      </c>
    </row>
    <row r="53" spans="1:7" x14ac:dyDescent="0.45">
      <c r="A53" s="17">
        <f>'[1]02. Matrix'!A62</f>
        <v>52</v>
      </c>
      <c r="B53" s="18">
        <f>'[1]02. Matrix'!B62</f>
        <v>23</v>
      </c>
      <c r="C53" s="18" t="str">
        <f>'[1]02. Matrix'!C62</f>
        <v>EARTHQUAKE RELIEF LO</v>
      </c>
      <c r="D53" s="18">
        <f>'[1]02. Matrix'!D62</f>
        <v>2</v>
      </c>
      <c r="E53" s="19">
        <f>'[1]02. Matrix'!E62</f>
        <v>0</v>
      </c>
      <c r="F53" s="18" t="str">
        <f>_xlfn.XLOOKUP('01. Main'!$B53,[1]Mapping!$D:$D,[1]Mapping!$A:$A,0,0)</f>
        <v>Poush 81</v>
      </c>
      <c r="G53" s="20">
        <f>_xlfn.XLOOKUP('01. Main'!$B53,[1]Mapping!D$2:D$24,[1]Mapping!E$2:E$24,0,0)</f>
        <v>2025</v>
      </c>
    </row>
    <row r="54" spans="1:7" x14ac:dyDescent="0.45">
      <c r="A54" s="13">
        <f>'[1]02. Matrix'!A63</f>
        <v>53</v>
      </c>
      <c r="B54" s="14">
        <f>'[1]02. Matrix'!B63</f>
        <v>23</v>
      </c>
      <c r="C54" s="14" t="str">
        <f>'[1]02. Matrix'!C63</f>
        <v>TOURISM SECTOR LOAN</v>
      </c>
      <c r="D54" s="14">
        <f>'[1]02. Matrix'!D63</f>
        <v>2</v>
      </c>
      <c r="E54" s="15">
        <f>'[1]02. Matrix'!E63</f>
        <v>0</v>
      </c>
      <c r="F54" s="14" t="str">
        <f>_xlfn.XLOOKUP('01. Main'!$B54,[1]Mapping!$D:$D,[1]Mapping!$A:$A,0,0)</f>
        <v>Poush 81</v>
      </c>
      <c r="G54" s="16">
        <f>_xlfn.XLOOKUP('01. Main'!$B54,[1]Mapping!D$2:D$24,[1]Mapping!E$2:E$24,0,0)</f>
        <v>2025</v>
      </c>
    </row>
    <row r="55" spans="1:7" x14ac:dyDescent="0.45">
      <c r="A55" s="17">
        <f>'[1]02. Matrix'!A64</f>
        <v>54</v>
      </c>
      <c r="B55" s="18">
        <f>'[1]02. Matrix'!B64</f>
        <v>23</v>
      </c>
      <c r="C55" s="18" t="str">
        <f>'[1]02. Matrix'!C64</f>
        <v>SME LOAN</v>
      </c>
      <c r="D55" s="18">
        <f>'[1]02. Matrix'!D64</f>
        <v>2</v>
      </c>
      <c r="E55" s="19">
        <f>'[1]02. Matrix'!E64</f>
        <v>0</v>
      </c>
      <c r="F55" s="18" t="str">
        <f>_xlfn.XLOOKUP('01. Main'!$B55,[1]Mapping!$D:$D,[1]Mapping!$A:$A,0,0)</f>
        <v>Poush 81</v>
      </c>
      <c r="G55" s="20">
        <f>_xlfn.XLOOKUP('01. Main'!$B55,[1]Mapping!D$2:D$24,[1]Mapping!E$2:E$24,0,0)</f>
        <v>2025</v>
      </c>
    </row>
    <row r="56" spans="1:7" x14ac:dyDescent="0.45">
      <c r="A56" s="13">
        <f>'[1]02. Matrix'!A65</f>
        <v>55</v>
      </c>
      <c r="B56" s="14">
        <f>'[1]02. Matrix'!B65</f>
        <v>23</v>
      </c>
      <c r="C56" s="14" t="str">
        <f>'[1]02. Matrix'!C65</f>
        <v>EDUCATIONAL LOAN EMI</v>
      </c>
      <c r="D56" s="14">
        <f>'[1]02. Matrix'!D65</f>
        <v>2</v>
      </c>
      <c r="E56" s="15">
        <f>'[1]02. Matrix'!E65</f>
        <v>0</v>
      </c>
      <c r="F56" s="14" t="str">
        <f>_xlfn.XLOOKUP('01. Main'!$B56,[1]Mapping!$D:$D,[1]Mapping!$A:$A,0,0)</f>
        <v>Poush 81</v>
      </c>
      <c r="G56" s="16">
        <f>_xlfn.XLOOKUP('01. Main'!$B56,[1]Mapping!D$2:D$24,[1]Mapping!E$2:E$24,0,0)</f>
        <v>2025</v>
      </c>
    </row>
    <row r="57" spans="1:7" x14ac:dyDescent="0.45">
      <c r="A57" s="17">
        <f>'[1]02. Matrix'!A66</f>
        <v>56</v>
      </c>
      <c r="B57" s="18">
        <f>'[1]02. Matrix'!B66</f>
        <v>23</v>
      </c>
      <c r="C57" s="18" t="str">
        <f>'[1]02. Matrix'!C66</f>
        <v>OVERDRAFT PROFESSION</v>
      </c>
      <c r="D57" s="18">
        <f>'[1]02. Matrix'!D66</f>
        <v>2</v>
      </c>
      <c r="E57" s="19">
        <f>'[1]02. Matrix'!E66</f>
        <v>0</v>
      </c>
      <c r="F57" s="18" t="str">
        <f>_xlfn.XLOOKUP('01. Main'!$B57,[1]Mapping!$D:$D,[1]Mapping!$A:$A,0,0)</f>
        <v>Poush 81</v>
      </c>
      <c r="G57" s="20">
        <f>_xlfn.XLOOKUP('01. Main'!$B57,[1]Mapping!D$2:D$24,[1]Mapping!E$2:E$24,0,0)</f>
        <v>2025</v>
      </c>
    </row>
    <row r="58" spans="1:7" x14ac:dyDescent="0.45">
      <c r="A58" s="13">
        <f>'[1]02. Matrix'!A67</f>
        <v>57</v>
      </c>
      <c r="B58" s="14">
        <f>'[1]02. Matrix'!B67</f>
        <v>22</v>
      </c>
      <c r="C58" s="14" t="str">
        <f>'[1]02. Matrix'!C67</f>
        <v>OD PERSONAL LOAN</v>
      </c>
      <c r="D58" s="14">
        <f>'[1]02. Matrix'!D67</f>
        <v>1</v>
      </c>
      <c r="E58" s="15">
        <f>'[1]02. Matrix'!E67</f>
        <v>0.49586094004758607</v>
      </c>
      <c r="F58" s="14" t="str">
        <f>_xlfn.XLOOKUP('01. Main'!$B58,[1]Mapping!$D:$D,[1]Mapping!$A:$A,0,0)</f>
        <v>Ashoj 81</v>
      </c>
      <c r="G58" s="16">
        <f>_xlfn.XLOOKUP('01. Main'!$B58,[1]Mapping!D$2:D$24,[1]Mapping!E$2:E$24,0,0)</f>
        <v>2024</v>
      </c>
    </row>
    <row r="59" spans="1:7" x14ac:dyDescent="0.45">
      <c r="A59" s="17">
        <f>'[1]02. Matrix'!A68</f>
        <v>58</v>
      </c>
      <c r="B59" s="18">
        <f>'[1]02. Matrix'!B68</f>
        <v>22</v>
      </c>
      <c r="C59" s="18" t="str">
        <f>'[1]02. Matrix'!C68</f>
        <v>OD BUSINESS LOAN</v>
      </c>
      <c r="D59" s="18">
        <f>'[1]02. Matrix'!D68</f>
        <v>1</v>
      </c>
      <c r="E59" s="19">
        <f>'[1]02. Matrix'!E68</f>
        <v>0.34258776323503548</v>
      </c>
      <c r="F59" s="18" t="str">
        <f>_xlfn.XLOOKUP('01. Main'!$B59,[1]Mapping!$D:$D,[1]Mapping!$A:$A,0,0)</f>
        <v>Ashoj 81</v>
      </c>
      <c r="G59" s="20">
        <f>_xlfn.XLOOKUP('01. Main'!$B59,[1]Mapping!D$2:D$24,[1]Mapping!E$2:E$24,0,0)</f>
        <v>2024</v>
      </c>
    </row>
    <row r="60" spans="1:7" x14ac:dyDescent="0.45">
      <c r="A60" s="13">
        <f>'[1]02. Matrix'!A69</f>
        <v>59</v>
      </c>
      <c r="B60" s="14">
        <f>'[1]02. Matrix'!B69</f>
        <v>22</v>
      </c>
      <c r="C60" s="14" t="str">
        <f>'[1]02. Matrix'!C69</f>
        <v>OD STAFF LOAN</v>
      </c>
      <c r="D60" s="14">
        <f>'[1]02. Matrix'!D69</f>
        <v>1</v>
      </c>
      <c r="E60" s="15">
        <f>'[1]02. Matrix'!E69</f>
        <v>0</v>
      </c>
      <c r="F60" s="14" t="str">
        <f>_xlfn.XLOOKUP('01. Main'!$B60,[1]Mapping!$D:$D,[1]Mapping!$A:$A,0,0)</f>
        <v>Ashoj 81</v>
      </c>
      <c r="G60" s="16">
        <f>_xlfn.XLOOKUP('01. Main'!$B60,[1]Mapping!D$2:D$24,[1]Mapping!E$2:E$24,0,0)</f>
        <v>2024</v>
      </c>
    </row>
    <row r="61" spans="1:7" x14ac:dyDescent="0.45">
      <c r="A61" s="17">
        <f>'[1]02. Matrix'!A70</f>
        <v>60</v>
      </c>
      <c r="B61" s="18">
        <f>'[1]02. Matrix'!B70</f>
        <v>22</v>
      </c>
      <c r="C61" s="18" t="str">
        <f>'[1]02. Matrix'!C70</f>
        <v>TERM LOAN</v>
      </c>
      <c r="D61" s="18">
        <f>'[1]02. Matrix'!D70</f>
        <v>1</v>
      </c>
      <c r="E61" s="19">
        <f>'[1]02. Matrix'!E70</f>
        <v>0.38463349642868516</v>
      </c>
      <c r="F61" s="18" t="str">
        <f>_xlfn.XLOOKUP('01. Main'!$B61,[1]Mapping!$D:$D,[1]Mapping!$A:$A,0,0)</f>
        <v>Ashoj 81</v>
      </c>
      <c r="G61" s="20">
        <f>_xlfn.XLOOKUP('01. Main'!$B61,[1]Mapping!D$2:D$24,[1]Mapping!E$2:E$24,0,0)</f>
        <v>2024</v>
      </c>
    </row>
    <row r="62" spans="1:7" x14ac:dyDescent="0.45">
      <c r="A62" s="13">
        <f>'[1]02. Matrix'!A71</f>
        <v>61</v>
      </c>
      <c r="B62" s="14">
        <f>'[1]02. Matrix'!B71</f>
        <v>22</v>
      </c>
      <c r="C62" s="14" t="str">
        <f>'[1]02. Matrix'!C71</f>
        <v>WC TRADING/IND LOAN</v>
      </c>
      <c r="D62" s="14">
        <f>'[1]02. Matrix'!D71</f>
        <v>1</v>
      </c>
      <c r="E62" s="15">
        <f>'[1]02. Matrix'!E71</f>
        <v>0.70304922120911018</v>
      </c>
      <c r="F62" s="14" t="str">
        <f>_xlfn.XLOOKUP('01. Main'!$B62,[1]Mapping!$D:$D,[1]Mapping!$A:$A,0,0)</f>
        <v>Ashoj 81</v>
      </c>
      <c r="G62" s="16">
        <f>_xlfn.XLOOKUP('01. Main'!$B62,[1]Mapping!D$2:D$24,[1]Mapping!E$2:E$24,0,0)</f>
        <v>2024</v>
      </c>
    </row>
    <row r="63" spans="1:7" x14ac:dyDescent="0.45">
      <c r="A63" s="17">
        <f>'[1]02. Matrix'!A72</f>
        <v>62</v>
      </c>
      <c r="B63" s="18">
        <f>'[1]02. Matrix'!B72</f>
        <v>22</v>
      </c>
      <c r="C63" s="18" t="str">
        <f>'[1]02. Matrix'!C72</f>
        <v>HOUSING LOAN</v>
      </c>
      <c r="D63" s="18">
        <f>'[1]02. Matrix'!D72</f>
        <v>1</v>
      </c>
      <c r="E63" s="19">
        <f>'[1]02. Matrix'!E72</f>
        <v>0.26930361770305944</v>
      </c>
      <c r="F63" s="18" t="str">
        <f>_xlfn.XLOOKUP('01. Main'!$B63,[1]Mapping!$D:$D,[1]Mapping!$A:$A,0,0)</f>
        <v>Ashoj 81</v>
      </c>
      <c r="G63" s="20">
        <f>_xlfn.XLOOKUP('01. Main'!$B63,[1]Mapping!D$2:D$24,[1]Mapping!E$2:E$24,0,0)</f>
        <v>2024</v>
      </c>
    </row>
    <row r="64" spans="1:7" x14ac:dyDescent="0.45">
      <c r="A64" s="13">
        <f>'[1]02. Matrix'!A73</f>
        <v>63</v>
      </c>
      <c r="B64" s="14">
        <f>'[1]02. Matrix'!B73</f>
        <v>22</v>
      </c>
      <c r="C64" s="14" t="str">
        <f>'[1]02. Matrix'!C73</f>
        <v>RESI REAL EST LOAN</v>
      </c>
      <c r="D64" s="14">
        <f>'[1]02. Matrix'!D73</f>
        <v>1</v>
      </c>
      <c r="E64" s="15">
        <f>'[1]02. Matrix'!E73</f>
        <v>0.24108653255993465</v>
      </c>
      <c r="F64" s="14" t="str">
        <f>_xlfn.XLOOKUP('01. Main'!$B64,[1]Mapping!$D:$D,[1]Mapping!$A:$A,0,0)</f>
        <v>Ashoj 81</v>
      </c>
      <c r="G64" s="16">
        <f>_xlfn.XLOOKUP('01. Main'!$B64,[1]Mapping!D$2:D$24,[1]Mapping!E$2:E$24,0,0)</f>
        <v>2024</v>
      </c>
    </row>
    <row r="65" spans="1:7" x14ac:dyDescent="0.45">
      <c r="A65" s="17">
        <f>'[1]02. Matrix'!A74</f>
        <v>64</v>
      </c>
      <c r="B65" s="18">
        <f>'[1]02. Matrix'!B74</f>
        <v>22</v>
      </c>
      <c r="C65" s="18" t="str">
        <f>'[1]02. Matrix'!C74</f>
        <v>MARGIN NATURE LOAN</v>
      </c>
      <c r="D65" s="18">
        <f>'[1]02. Matrix'!D74</f>
        <v>1</v>
      </c>
      <c r="E65" s="19">
        <f>'[1]02. Matrix'!E74</f>
        <v>0</v>
      </c>
      <c r="F65" s="18" t="str">
        <f>_xlfn.XLOOKUP('01. Main'!$B65,[1]Mapping!$D:$D,[1]Mapping!$A:$A,0,0)</f>
        <v>Ashoj 81</v>
      </c>
      <c r="G65" s="20">
        <f>_xlfn.XLOOKUP('01. Main'!$B65,[1]Mapping!D$2:D$24,[1]Mapping!E$2:E$24,0,0)</f>
        <v>2024</v>
      </c>
    </row>
    <row r="66" spans="1:7" x14ac:dyDescent="0.45">
      <c r="A66" s="13">
        <f>'[1]02. Matrix'!A75</f>
        <v>65</v>
      </c>
      <c r="B66" s="14">
        <f>'[1]02. Matrix'!B75</f>
        <v>22</v>
      </c>
      <c r="C66" s="14" t="str">
        <f>'[1]02. Matrix'!C75</f>
        <v>HIRE PURCHASE LOAN</v>
      </c>
      <c r="D66" s="14">
        <f>'[1]02. Matrix'!D75</f>
        <v>1</v>
      </c>
      <c r="E66" s="15">
        <f>'[1]02. Matrix'!E75</f>
        <v>0</v>
      </c>
      <c r="F66" s="14" t="str">
        <f>_xlfn.XLOOKUP('01. Main'!$B66,[1]Mapping!$D:$D,[1]Mapping!$A:$A,0,0)</f>
        <v>Ashoj 81</v>
      </c>
      <c r="G66" s="16">
        <f>_xlfn.XLOOKUP('01. Main'!$B66,[1]Mapping!D$2:D$24,[1]Mapping!E$2:E$24,0,0)</f>
        <v>2024</v>
      </c>
    </row>
    <row r="67" spans="1:7" x14ac:dyDescent="0.45">
      <c r="A67" s="17">
        <f>'[1]02. Matrix'!A76</f>
        <v>66</v>
      </c>
      <c r="B67" s="18">
        <f>'[1]02. Matrix'!B76</f>
        <v>22</v>
      </c>
      <c r="C67" s="18" t="str">
        <f>'[1]02. Matrix'!C76</f>
        <v>DEPRIVED SECTOR LOAN</v>
      </c>
      <c r="D67" s="18">
        <f>'[1]02. Matrix'!D76</f>
        <v>1</v>
      </c>
      <c r="E67" s="19">
        <f>'[1]02. Matrix'!E76</f>
        <v>0</v>
      </c>
      <c r="F67" s="18" t="str">
        <f>_xlfn.XLOOKUP('01. Main'!$B67,[1]Mapping!$D:$D,[1]Mapping!$A:$A,0,0)</f>
        <v>Ashoj 81</v>
      </c>
      <c r="G67" s="20">
        <f>_xlfn.XLOOKUP('01. Main'!$B67,[1]Mapping!D$2:D$24,[1]Mapping!E$2:E$24,0,0)</f>
        <v>2024</v>
      </c>
    </row>
    <row r="68" spans="1:7" x14ac:dyDescent="0.45">
      <c r="A68" s="13">
        <f>'[1]02. Matrix'!A77</f>
        <v>67</v>
      </c>
      <c r="B68" s="14">
        <f>'[1]02. Matrix'!B77</f>
        <v>22</v>
      </c>
      <c r="C68" s="14" t="str">
        <f>'[1]02. Matrix'!C77</f>
        <v>EDUCATIONAL LOAN</v>
      </c>
      <c r="D68" s="14">
        <f>'[1]02. Matrix'!D77</f>
        <v>1</v>
      </c>
      <c r="E68" s="15">
        <f>'[1]02. Matrix'!E77</f>
        <v>0.3500157557074679</v>
      </c>
      <c r="F68" s="14" t="str">
        <f>_xlfn.XLOOKUP('01. Main'!$B68,[1]Mapping!$D:$D,[1]Mapping!$A:$A,0,0)</f>
        <v>Ashoj 81</v>
      </c>
      <c r="G68" s="16">
        <f>_xlfn.XLOOKUP('01. Main'!$B68,[1]Mapping!D$2:D$24,[1]Mapping!E$2:E$24,0,0)</f>
        <v>2024</v>
      </c>
    </row>
    <row r="69" spans="1:7" x14ac:dyDescent="0.45">
      <c r="A69" s="17">
        <f>'[1]02. Matrix'!A78</f>
        <v>68</v>
      </c>
      <c r="B69" s="18">
        <f>'[1]02. Matrix'!B78</f>
        <v>22</v>
      </c>
      <c r="C69" s="18" t="str">
        <f>'[1]02. Matrix'!C78</f>
        <v>AGRICULTURE LOAN</v>
      </c>
      <c r="D69" s="18">
        <f>'[1]02. Matrix'!D78</f>
        <v>1</v>
      </c>
      <c r="E69" s="19">
        <f>'[1]02. Matrix'!E78</f>
        <v>0.36677310133886826</v>
      </c>
      <c r="F69" s="18" t="str">
        <f>_xlfn.XLOOKUP('01. Main'!$B69,[1]Mapping!$D:$D,[1]Mapping!$A:$A,0,0)</f>
        <v>Ashoj 81</v>
      </c>
      <c r="G69" s="20">
        <f>_xlfn.XLOOKUP('01. Main'!$B69,[1]Mapping!D$2:D$24,[1]Mapping!E$2:E$24,0,0)</f>
        <v>2024</v>
      </c>
    </row>
    <row r="70" spans="1:7" x14ac:dyDescent="0.45">
      <c r="A70" s="13">
        <f>'[1]02. Matrix'!A79</f>
        <v>69</v>
      </c>
      <c r="B70" s="14">
        <f>'[1]02. Matrix'!B79</f>
        <v>22</v>
      </c>
      <c r="C70" s="14" t="str">
        <f>'[1]02. Matrix'!C79</f>
        <v>RESI PER.HOME-EMI</v>
      </c>
      <c r="D70" s="14">
        <f>'[1]02. Matrix'!D79</f>
        <v>1</v>
      </c>
      <c r="E70" s="15">
        <f>'[1]02. Matrix'!E79</f>
        <v>0.41549801266549646</v>
      </c>
      <c r="F70" s="14" t="str">
        <f>_xlfn.XLOOKUP('01. Main'!$B70,[1]Mapping!$D:$D,[1]Mapping!$A:$A,0,0)</f>
        <v>Ashoj 81</v>
      </c>
      <c r="G70" s="16">
        <f>_xlfn.XLOOKUP('01. Main'!$B70,[1]Mapping!D$2:D$24,[1]Mapping!E$2:E$24,0,0)</f>
        <v>2024</v>
      </c>
    </row>
    <row r="71" spans="1:7" x14ac:dyDescent="0.45">
      <c r="A71" s="17">
        <f>'[1]02. Matrix'!A80</f>
        <v>70</v>
      </c>
      <c r="B71" s="18">
        <f>'[1]02. Matrix'!B80</f>
        <v>22</v>
      </c>
      <c r="C71" s="18" t="str">
        <f>'[1]02. Matrix'!C80</f>
        <v>TERM LOAN - BUSINESS</v>
      </c>
      <c r="D71" s="18">
        <f>'[1]02. Matrix'!D80</f>
        <v>1</v>
      </c>
      <c r="E71" s="19">
        <f>'[1]02. Matrix'!E80</f>
        <v>0.50549986246368184</v>
      </c>
      <c r="F71" s="18" t="str">
        <f>_xlfn.XLOOKUP('01. Main'!$B71,[1]Mapping!$D:$D,[1]Mapping!$A:$A,0,0)</f>
        <v>Ashoj 81</v>
      </c>
      <c r="G71" s="20">
        <f>_xlfn.XLOOKUP('01. Main'!$B71,[1]Mapping!D$2:D$24,[1]Mapping!E$2:E$24,0,0)</f>
        <v>2024</v>
      </c>
    </row>
    <row r="72" spans="1:7" x14ac:dyDescent="0.45">
      <c r="A72" s="13">
        <f>'[1]02. Matrix'!A81</f>
        <v>71</v>
      </c>
      <c r="B72" s="14">
        <f>'[1]02. Matrix'!B81</f>
        <v>22</v>
      </c>
      <c r="C72" s="14" t="str">
        <f>'[1]02. Matrix'!C81</f>
        <v>CONS FIN BUSN TRM LO</v>
      </c>
      <c r="D72" s="14">
        <f>'[1]02. Matrix'!D81</f>
        <v>1</v>
      </c>
      <c r="E72" s="15">
        <f>'[1]02. Matrix'!E81</f>
        <v>0</v>
      </c>
      <c r="F72" s="14" t="str">
        <f>_xlfn.XLOOKUP('01. Main'!$B72,[1]Mapping!$D:$D,[1]Mapping!$A:$A,0,0)</f>
        <v>Ashoj 81</v>
      </c>
      <c r="G72" s="16">
        <f>_xlfn.XLOOKUP('01. Main'!$B72,[1]Mapping!D$2:D$24,[1]Mapping!E$2:E$24,0,0)</f>
        <v>2024</v>
      </c>
    </row>
    <row r="73" spans="1:7" x14ac:dyDescent="0.45">
      <c r="A73" s="17">
        <f>'[1]02. Matrix'!A82</f>
        <v>72</v>
      </c>
      <c r="B73" s="18">
        <f>'[1]02. Matrix'!B82</f>
        <v>22</v>
      </c>
      <c r="C73" s="18" t="str">
        <f>'[1]02. Matrix'!C82</f>
        <v>BIS/PERHIRE PURCHASE</v>
      </c>
      <c r="D73" s="18">
        <f>'[1]02. Matrix'!D82</f>
        <v>1</v>
      </c>
      <c r="E73" s="19">
        <f>'[1]02. Matrix'!E82</f>
        <v>0.63054644323850739</v>
      </c>
      <c r="F73" s="18" t="str">
        <f>_xlfn.XLOOKUP('01. Main'!$B73,[1]Mapping!$D:$D,[1]Mapping!$A:$A,0,0)</f>
        <v>Ashoj 81</v>
      </c>
      <c r="G73" s="20">
        <f>_xlfn.XLOOKUP('01. Main'!$B73,[1]Mapping!D$2:D$24,[1]Mapping!E$2:E$24,0,0)</f>
        <v>2024</v>
      </c>
    </row>
    <row r="74" spans="1:7" x14ac:dyDescent="0.45">
      <c r="A74" s="13">
        <f>'[1]02. Matrix'!A83</f>
        <v>73</v>
      </c>
      <c r="B74" s="14">
        <f>'[1]02. Matrix'!B83</f>
        <v>22</v>
      </c>
      <c r="C74" s="14" t="str">
        <f>'[1]02. Matrix'!C83</f>
        <v xml:space="preserve">INT CAP TERM LOAN </v>
      </c>
      <c r="D74" s="14">
        <f>'[1]02. Matrix'!D83</f>
        <v>1</v>
      </c>
      <c r="E74" s="15">
        <f>'[1]02. Matrix'!E83</f>
        <v>0</v>
      </c>
      <c r="F74" s="14" t="str">
        <f>_xlfn.XLOOKUP('01. Main'!$B74,[1]Mapping!$D:$D,[1]Mapping!$A:$A,0,0)</f>
        <v>Ashoj 81</v>
      </c>
      <c r="G74" s="16">
        <f>_xlfn.XLOOKUP('01. Main'!$B74,[1]Mapping!D$2:D$24,[1]Mapping!E$2:E$24,0,0)</f>
        <v>2024</v>
      </c>
    </row>
    <row r="75" spans="1:7" x14ac:dyDescent="0.45">
      <c r="A75" s="17">
        <f>'[1]02. Matrix'!A84</f>
        <v>74</v>
      </c>
      <c r="B75" s="18">
        <f>'[1]02. Matrix'!B84</f>
        <v>22</v>
      </c>
      <c r="C75" s="18" t="str">
        <f>'[1]02. Matrix'!C84</f>
        <v>PERSONAL LOAN</v>
      </c>
      <c r="D75" s="18">
        <f>'[1]02. Matrix'!D84</f>
        <v>1</v>
      </c>
      <c r="E75" s="19">
        <f>'[1]02. Matrix'!E84</f>
        <v>0.35043158362439203</v>
      </c>
      <c r="F75" s="18" t="str">
        <f>_xlfn.XLOOKUP('01. Main'!$B75,[1]Mapping!$D:$D,[1]Mapping!$A:$A,0,0)</f>
        <v>Ashoj 81</v>
      </c>
      <c r="G75" s="20">
        <f>_xlfn.XLOOKUP('01. Main'!$B75,[1]Mapping!D$2:D$24,[1]Mapping!E$2:E$24,0,0)</f>
        <v>2024</v>
      </c>
    </row>
    <row r="76" spans="1:7" x14ac:dyDescent="0.45">
      <c r="A76" s="13">
        <f>'[1]02. Matrix'!A85</f>
        <v>75</v>
      </c>
      <c r="B76" s="14">
        <f>'[1]02. Matrix'!B85</f>
        <v>22</v>
      </c>
      <c r="C76" s="14" t="str">
        <f>'[1]02. Matrix'!C85</f>
        <v>MORTGAGE LOAN</v>
      </c>
      <c r="D76" s="14">
        <f>'[1]02. Matrix'!D85</f>
        <v>1</v>
      </c>
      <c r="E76" s="15">
        <f>'[1]02. Matrix'!E85</f>
        <v>0.23432967788063058</v>
      </c>
      <c r="F76" s="14" t="str">
        <f>_xlfn.XLOOKUP('01. Main'!$B76,[1]Mapping!$D:$D,[1]Mapping!$A:$A,0,0)</f>
        <v>Ashoj 81</v>
      </c>
      <c r="G76" s="16">
        <f>_xlfn.XLOOKUP('01. Main'!$B76,[1]Mapping!D$2:D$24,[1]Mapping!E$2:E$24,0,0)</f>
        <v>2024</v>
      </c>
    </row>
    <row r="77" spans="1:7" x14ac:dyDescent="0.45">
      <c r="A77" s="17">
        <f>'[1]02. Matrix'!A86</f>
        <v>76</v>
      </c>
      <c r="B77" s="18">
        <f>'[1]02. Matrix'!B86</f>
        <v>22</v>
      </c>
      <c r="C77" s="18" t="str">
        <f>'[1]02. Matrix'!C86</f>
        <v>LOAN AGAINST FDR</v>
      </c>
      <c r="D77" s="18">
        <f>'[1]02. Matrix'!D86</f>
        <v>1</v>
      </c>
      <c r="E77" s="19">
        <f>'[1]02. Matrix'!E86</f>
        <v>0</v>
      </c>
      <c r="F77" s="18" t="str">
        <f>_xlfn.XLOOKUP('01. Main'!$B77,[1]Mapping!$D:$D,[1]Mapping!$A:$A,0,0)</f>
        <v>Ashoj 81</v>
      </c>
      <c r="G77" s="20">
        <f>_xlfn.XLOOKUP('01. Main'!$B77,[1]Mapping!D$2:D$24,[1]Mapping!E$2:E$24,0,0)</f>
        <v>2024</v>
      </c>
    </row>
    <row r="78" spans="1:7" x14ac:dyDescent="0.45">
      <c r="A78" s="13">
        <f>'[1]02. Matrix'!A87</f>
        <v>77</v>
      </c>
      <c r="B78" s="14">
        <f>'[1]02. Matrix'!B87</f>
        <v>22</v>
      </c>
      <c r="C78" s="14" t="str">
        <f>'[1]02. Matrix'!C87</f>
        <v>RECEIVABLE LOAN</v>
      </c>
      <c r="D78" s="14">
        <f>'[1]02. Matrix'!D87</f>
        <v>1</v>
      </c>
      <c r="E78" s="15">
        <f>'[1]02. Matrix'!E87</f>
        <v>0</v>
      </c>
      <c r="F78" s="14" t="str">
        <f>_xlfn.XLOOKUP('01. Main'!$B78,[1]Mapping!$D:$D,[1]Mapping!$A:$A,0,0)</f>
        <v>Ashoj 81</v>
      </c>
      <c r="G78" s="16">
        <f>_xlfn.XLOOKUP('01. Main'!$B78,[1]Mapping!D$2:D$24,[1]Mapping!E$2:E$24,0,0)</f>
        <v>2024</v>
      </c>
    </row>
    <row r="79" spans="1:7" x14ac:dyDescent="0.45">
      <c r="A79" s="17">
        <f>'[1]02. Matrix'!A88</f>
        <v>78</v>
      </c>
      <c r="B79" s="18">
        <f>'[1]02. Matrix'!B88</f>
        <v>22</v>
      </c>
      <c r="C79" s="18" t="str">
        <f>'[1]02. Matrix'!C88</f>
        <v>STAFF LOAN</v>
      </c>
      <c r="D79" s="18">
        <f>'[1]02. Matrix'!D88</f>
        <v>1</v>
      </c>
      <c r="E79" s="19">
        <f>'[1]02. Matrix'!E88</f>
        <v>0</v>
      </c>
      <c r="F79" s="18" t="str">
        <f>_xlfn.XLOOKUP('01. Main'!$B79,[1]Mapping!$D:$D,[1]Mapping!$A:$A,0,0)</f>
        <v>Ashoj 81</v>
      </c>
      <c r="G79" s="20">
        <f>_xlfn.XLOOKUP('01. Main'!$B79,[1]Mapping!D$2:D$24,[1]Mapping!E$2:E$24,0,0)</f>
        <v>2024</v>
      </c>
    </row>
    <row r="80" spans="1:7" x14ac:dyDescent="0.45">
      <c r="A80" s="13">
        <f>'[1]02. Matrix'!A89</f>
        <v>79</v>
      </c>
      <c r="B80" s="14">
        <f>'[1]02. Matrix'!B89</f>
        <v>22</v>
      </c>
      <c r="C80" s="14" t="str">
        <f>'[1]02. Matrix'!C89</f>
        <v>AGRICULTURAL LOAN</v>
      </c>
      <c r="D80" s="14">
        <f>'[1]02. Matrix'!D89</f>
        <v>1</v>
      </c>
      <c r="E80" s="15">
        <f>'[1]02. Matrix'!E89</f>
        <v>0.17934080413031375</v>
      </c>
      <c r="F80" s="14" t="str">
        <f>_xlfn.XLOOKUP('01. Main'!$B80,[1]Mapping!$D:$D,[1]Mapping!$A:$A,0,0)</f>
        <v>Ashoj 81</v>
      </c>
      <c r="G80" s="16">
        <f>_xlfn.XLOOKUP('01. Main'!$B80,[1]Mapping!D$2:D$24,[1]Mapping!E$2:E$24,0,0)</f>
        <v>2024</v>
      </c>
    </row>
    <row r="81" spans="1:7" x14ac:dyDescent="0.45">
      <c r="A81" s="17">
        <f>'[1]02. Matrix'!A90</f>
        <v>80</v>
      </c>
      <c r="B81" s="18">
        <f>'[1]02. Matrix'!B90</f>
        <v>22</v>
      </c>
      <c r="C81" s="18" t="str">
        <f>'[1]02. Matrix'!C90</f>
        <v>EARTHQUAKE RELIEF LO</v>
      </c>
      <c r="D81" s="18">
        <f>'[1]02. Matrix'!D90</f>
        <v>1</v>
      </c>
      <c r="E81" s="19">
        <f>'[1]02. Matrix'!E90</f>
        <v>0</v>
      </c>
      <c r="F81" s="18" t="str">
        <f>_xlfn.XLOOKUP('01. Main'!$B81,[1]Mapping!$D:$D,[1]Mapping!$A:$A,0,0)</f>
        <v>Ashoj 81</v>
      </c>
      <c r="G81" s="20">
        <f>_xlfn.XLOOKUP('01. Main'!$B81,[1]Mapping!D$2:D$24,[1]Mapping!E$2:E$24,0,0)</f>
        <v>2024</v>
      </c>
    </row>
    <row r="82" spans="1:7" x14ac:dyDescent="0.45">
      <c r="A82" s="13">
        <f>'[1]02. Matrix'!A91</f>
        <v>81</v>
      </c>
      <c r="B82" s="14">
        <f>'[1]02. Matrix'!B91</f>
        <v>22</v>
      </c>
      <c r="C82" s="14" t="str">
        <f>'[1]02. Matrix'!C91</f>
        <v>TOURISM SECTOR LOAN</v>
      </c>
      <c r="D82" s="14">
        <f>'[1]02. Matrix'!D91</f>
        <v>1</v>
      </c>
      <c r="E82" s="15">
        <f>'[1]02. Matrix'!E91</f>
        <v>0</v>
      </c>
      <c r="F82" s="14" t="str">
        <f>_xlfn.XLOOKUP('01. Main'!$B82,[1]Mapping!$D:$D,[1]Mapping!$A:$A,0,0)</f>
        <v>Ashoj 81</v>
      </c>
      <c r="G82" s="16">
        <f>_xlfn.XLOOKUP('01. Main'!$B82,[1]Mapping!D$2:D$24,[1]Mapping!E$2:E$24,0,0)</f>
        <v>2024</v>
      </c>
    </row>
    <row r="83" spans="1:7" x14ac:dyDescent="0.45">
      <c r="A83" s="17">
        <f>'[1]02. Matrix'!A92</f>
        <v>82</v>
      </c>
      <c r="B83" s="18">
        <f>'[1]02. Matrix'!B92</f>
        <v>22</v>
      </c>
      <c r="C83" s="18" t="str">
        <f>'[1]02. Matrix'!C92</f>
        <v>SME LOAN</v>
      </c>
      <c r="D83" s="18">
        <f>'[1]02. Matrix'!D92</f>
        <v>1</v>
      </c>
      <c r="E83" s="19">
        <f>'[1]02. Matrix'!E92</f>
        <v>0</v>
      </c>
      <c r="F83" s="18" t="str">
        <f>_xlfn.XLOOKUP('01. Main'!$B83,[1]Mapping!$D:$D,[1]Mapping!$A:$A,0,0)</f>
        <v>Ashoj 81</v>
      </c>
      <c r="G83" s="20">
        <f>_xlfn.XLOOKUP('01. Main'!$B83,[1]Mapping!D$2:D$24,[1]Mapping!E$2:E$24,0,0)</f>
        <v>2024</v>
      </c>
    </row>
    <row r="84" spans="1:7" x14ac:dyDescent="0.45">
      <c r="A84" s="13">
        <f>'[1]02. Matrix'!A93</f>
        <v>83</v>
      </c>
      <c r="B84" s="14">
        <f>'[1]02. Matrix'!B93</f>
        <v>22</v>
      </c>
      <c r="C84" s="14" t="str">
        <f>'[1]02. Matrix'!C93</f>
        <v>EDUCATIONAL LOAN EMI</v>
      </c>
      <c r="D84" s="14">
        <f>'[1]02. Matrix'!D93</f>
        <v>1</v>
      </c>
      <c r="E84" s="15">
        <f>'[1]02. Matrix'!E93</f>
        <v>0</v>
      </c>
      <c r="F84" s="14" t="str">
        <f>_xlfn.XLOOKUP('01. Main'!$B84,[1]Mapping!$D:$D,[1]Mapping!$A:$A,0,0)</f>
        <v>Ashoj 81</v>
      </c>
      <c r="G84" s="16">
        <f>_xlfn.XLOOKUP('01. Main'!$B84,[1]Mapping!D$2:D$24,[1]Mapping!E$2:E$24,0,0)</f>
        <v>2024</v>
      </c>
    </row>
    <row r="85" spans="1:7" x14ac:dyDescent="0.45">
      <c r="A85" s="17">
        <f>'[1]02. Matrix'!A94</f>
        <v>84</v>
      </c>
      <c r="B85" s="18">
        <f>'[1]02. Matrix'!B94</f>
        <v>22</v>
      </c>
      <c r="C85" s="18" t="str">
        <f>'[1]02. Matrix'!C94</f>
        <v>OVERDRAFT PROFESSION</v>
      </c>
      <c r="D85" s="18">
        <f>'[1]02. Matrix'!D94</f>
        <v>1</v>
      </c>
      <c r="E85" s="19">
        <f>'[1]02. Matrix'!E94</f>
        <v>0</v>
      </c>
      <c r="F85" s="18" t="str">
        <f>_xlfn.XLOOKUP('01. Main'!$B85,[1]Mapping!$D:$D,[1]Mapping!$A:$A,0,0)</f>
        <v>Ashoj 81</v>
      </c>
      <c r="G85" s="20">
        <f>_xlfn.XLOOKUP('01. Main'!$B85,[1]Mapping!D$2:D$24,[1]Mapping!E$2:E$24,0,0)</f>
        <v>2024</v>
      </c>
    </row>
    <row r="86" spans="1:7" x14ac:dyDescent="0.45">
      <c r="A86" s="13">
        <f>'[1]02. Matrix'!A95</f>
        <v>85</v>
      </c>
      <c r="B86" s="14">
        <f>'[1]02. Matrix'!B95</f>
        <v>22</v>
      </c>
      <c r="C86" s="14" t="str">
        <f>'[1]02. Matrix'!C95</f>
        <v>OD PERSONAL LOAN</v>
      </c>
      <c r="D86" s="14">
        <f>'[1]02. Matrix'!D95</f>
        <v>2</v>
      </c>
      <c r="E86" s="15">
        <f>'[1]02. Matrix'!E95</f>
        <v>0.65111632587012092</v>
      </c>
      <c r="F86" s="14" t="str">
        <f>_xlfn.XLOOKUP('01. Main'!$B86,[1]Mapping!$D:$D,[1]Mapping!$A:$A,0,0)</f>
        <v>Ashoj 81</v>
      </c>
      <c r="G86" s="16">
        <f>_xlfn.XLOOKUP('01. Main'!$B86,[1]Mapping!D$2:D$24,[1]Mapping!E$2:E$24,0,0)</f>
        <v>2024</v>
      </c>
    </row>
    <row r="87" spans="1:7" x14ac:dyDescent="0.45">
      <c r="A87" s="17">
        <f>'[1]02. Matrix'!A96</f>
        <v>86</v>
      </c>
      <c r="B87" s="18">
        <f>'[1]02. Matrix'!B96</f>
        <v>22</v>
      </c>
      <c r="C87" s="18" t="str">
        <f>'[1]02. Matrix'!C96</f>
        <v>OD BUSINESS LOAN</v>
      </c>
      <c r="D87" s="18">
        <f>'[1]02. Matrix'!D96</f>
        <v>2</v>
      </c>
      <c r="E87" s="19">
        <f>'[1]02. Matrix'!E96</f>
        <v>0.88630958164983864</v>
      </c>
      <c r="F87" s="18" t="str">
        <f>_xlfn.XLOOKUP('01. Main'!$B87,[1]Mapping!$D:$D,[1]Mapping!$A:$A,0,0)</f>
        <v>Ashoj 81</v>
      </c>
      <c r="G87" s="20">
        <f>_xlfn.XLOOKUP('01. Main'!$B87,[1]Mapping!D$2:D$24,[1]Mapping!E$2:E$24,0,0)</f>
        <v>2024</v>
      </c>
    </row>
    <row r="88" spans="1:7" x14ac:dyDescent="0.45">
      <c r="A88" s="13">
        <f>'[1]02. Matrix'!A97</f>
        <v>87</v>
      </c>
      <c r="B88" s="14">
        <f>'[1]02. Matrix'!B97</f>
        <v>22</v>
      </c>
      <c r="C88" s="14" t="str">
        <f>'[1]02. Matrix'!C97</f>
        <v>OD STAFF LOAN</v>
      </c>
      <c r="D88" s="14">
        <f>'[1]02. Matrix'!D97</f>
        <v>2</v>
      </c>
      <c r="E88" s="15">
        <f>'[1]02. Matrix'!E97</f>
        <v>0</v>
      </c>
      <c r="F88" s="14" t="str">
        <f>_xlfn.XLOOKUP('01. Main'!$B88,[1]Mapping!$D:$D,[1]Mapping!$A:$A,0,0)</f>
        <v>Ashoj 81</v>
      </c>
      <c r="G88" s="16">
        <f>_xlfn.XLOOKUP('01. Main'!$B88,[1]Mapping!D$2:D$24,[1]Mapping!E$2:E$24,0,0)</f>
        <v>2024</v>
      </c>
    </row>
    <row r="89" spans="1:7" x14ac:dyDescent="0.45">
      <c r="A89" s="17">
        <f>'[1]02. Matrix'!A98</f>
        <v>88</v>
      </c>
      <c r="B89" s="18">
        <f>'[1]02. Matrix'!B98</f>
        <v>22</v>
      </c>
      <c r="C89" s="18" t="str">
        <f>'[1]02. Matrix'!C98</f>
        <v>TERM LOAN</v>
      </c>
      <c r="D89" s="18">
        <f>'[1]02. Matrix'!D98</f>
        <v>2</v>
      </c>
      <c r="E89" s="19">
        <f>'[1]02. Matrix'!E98</f>
        <v>0.78604933431442336</v>
      </c>
      <c r="F89" s="18" t="str">
        <f>_xlfn.XLOOKUP('01. Main'!$B89,[1]Mapping!$D:$D,[1]Mapping!$A:$A,0,0)</f>
        <v>Ashoj 81</v>
      </c>
      <c r="G89" s="20">
        <f>_xlfn.XLOOKUP('01. Main'!$B89,[1]Mapping!D$2:D$24,[1]Mapping!E$2:E$24,0,0)</f>
        <v>2024</v>
      </c>
    </row>
    <row r="90" spans="1:7" x14ac:dyDescent="0.45">
      <c r="A90" s="13">
        <f>'[1]02. Matrix'!A99</f>
        <v>89</v>
      </c>
      <c r="B90" s="14">
        <f>'[1]02. Matrix'!B99</f>
        <v>22</v>
      </c>
      <c r="C90" s="14" t="str">
        <f>'[1]02. Matrix'!C99</f>
        <v>WC TRADING/IND LOAN</v>
      </c>
      <c r="D90" s="14">
        <f>'[1]02. Matrix'!D99</f>
        <v>2</v>
      </c>
      <c r="E90" s="15">
        <f>'[1]02. Matrix'!E99</f>
        <v>0.82199116840477504</v>
      </c>
      <c r="F90" s="14" t="str">
        <f>_xlfn.XLOOKUP('01. Main'!$B90,[1]Mapping!$D:$D,[1]Mapping!$A:$A,0,0)</f>
        <v>Ashoj 81</v>
      </c>
      <c r="G90" s="16">
        <f>_xlfn.XLOOKUP('01. Main'!$B90,[1]Mapping!D$2:D$24,[1]Mapping!E$2:E$24,0,0)</f>
        <v>2024</v>
      </c>
    </row>
    <row r="91" spans="1:7" x14ac:dyDescent="0.45">
      <c r="A91" s="17">
        <f>'[1]02. Matrix'!A100</f>
        <v>90</v>
      </c>
      <c r="B91" s="18">
        <f>'[1]02. Matrix'!B100</f>
        <v>22</v>
      </c>
      <c r="C91" s="18" t="str">
        <f>'[1]02. Matrix'!C100</f>
        <v>HOUSING LOAN</v>
      </c>
      <c r="D91" s="18">
        <f>'[1]02. Matrix'!D100</f>
        <v>2</v>
      </c>
      <c r="E91" s="19">
        <f>'[1]02. Matrix'!E100</f>
        <v>0.62278649313796453</v>
      </c>
      <c r="F91" s="18" t="str">
        <f>_xlfn.XLOOKUP('01. Main'!$B91,[1]Mapping!$D:$D,[1]Mapping!$A:$A,0,0)</f>
        <v>Ashoj 81</v>
      </c>
      <c r="G91" s="20">
        <f>_xlfn.XLOOKUP('01. Main'!$B91,[1]Mapping!D$2:D$24,[1]Mapping!E$2:E$24,0,0)</f>
        <v>2024</v>
      </c>
    </row>
    <row r="92" spans="1:7" x14ac:dyDescent="0.45">
      <c r="A92" s="13">
        <f>'[1]02. Matrix'!A101</f>
        <v>91</v>
      </c>
      <c r="B92" s="14">
        <f>'[1]02. Matrix'!B101</f>
        <v>22</v>
      </c>
      <c r="C92" s="14" t="str">
        <f>'[1]02. Matrix'!C101</f>
        <v>RESI REAL EST LOAN</v>
      </c>
      <c r="D92" s="14">
        <f>'[1]02. Matrix'!D101</f>
        <v>2</v>
      </c>
      <c r="E92" s="15">
        <f>'[1]02. Matrix'!E101</f>
        <v>0</v>
      </c>
      <c r="F92" s="14" t="str">
        <f>_xlfn.XLOOKUP('01. Main'!$B92,[1]Mapping!$D:$D,[1]Mapping!$A:$A,0,0)</f>
        <v>Ashoj 81</v>
      </c>
      <c r="G92" s="16">
        <f>_xlfn.XLOOKUP('01. Main'!$B92,[1]Mapping!D$2:D$24,[1]Mapping!E$2:E$24,0,0)</f>
        <v>2024</v>
      </c>
    </row>
    <row r="93" spans="1:7" x14ac:dyDescent="0.45">
      <c r="A93" s="17">
        <f>'[1]02. Matrix'!A102</f>
        <v>92</v>
      </c>
      <c r="B93" s="18">
        <f>'[1]02. Matrix'!B102</f>
        <v>22</v>
      </c>
      <c r="C93" s="18" t="str">
        <f>'[1]02. Matrix'!C102</f>
        <v>MARGIN NATURE LOAN</v>
      </c>
      <c r="D93" s="18">
        <f>'[1]02. Matrix'!D102</f>
        <v>2</v>
      </c>
      <c r="E93" s="19">
        <f>'[1]02. Matrix'!E102</f>
        <v>0</v>
      </c>
      <c r="F93" s="18" t="str">
        <f>_xlfn.XLOOKUP('01. Main'!$B93,[1]Mapping!$D:$D,[1]Mapping!$A:$A,0,0)</f>
        <v>Ashoj 81</v>
      </c>
      <c r="G93" s="20">
        <f>_xlfn.XLOOKUP('01. Main'!$B93,[1]Mapping!D$2:D$24,[1]Mapping!E$2:E$24,0,0)</f>
        <v>2024</v>
      </c>
    </row>
    <row r="94" spans="1:7" x14ac:dyDescent="0.45">
      <c r="A94" s="13">
        <f>'[1]02. Matrix'!A103</f>
        <v>93</v>
      </c>
      <c r="B94" s="14">
        <f>'[1]02. Matrix'!B103</f>
        <v>22</v>
      </c>
      <c r="C94" s="14" t="str">
        <f>'[1]02. Matrix'!C103</f>
        <v>HIRE PURCHASE LOAN</v>
      </c>
      <c r="D94" s="14">
        <f>'[1]02. Matrix'!D103</f>
        <v>2</v>
      </c>
      <c r="E94" s="15">
        <f>'[1]02. Matrix'!E103</f>
        <v>0</v>
      </c>
      <c r="F94" s="14" t="str">
        <f>_xlfn.XLOOKUP('01. Main'!$B94,[1]Mapping!$D:$D,[1]Mapping!$A:$A,0,0)</f>
        <v>Ashoj 81</v>
      </c>
      <c r="G94" s="16">
        <f>_xlfn.XLOOKUP('01. Main'!$B94,[1]Mapping!D$2:D$24,[1]Mapping!E$2:E$24,0,0)</f>
        <v>2024</v>
      </c>
    </row>
    <row r="95" spans="1:7" x14ac:dyDescent="0.45">
      <c r="A95" s="17">
        <f>'[1]02. Matrix'!A104</f>
        <v>94</v>
      </c>
      <c r="B95" s="18">
        <f>'[1]02. Matrix'!B104</f>
        <v>22</v>
      </c>
      <c r="C95" s="18" t="str">
        <f>'[1]02. Matrix'!C104</f>
        <v>DEPRIVED SECTOR LOAN</v>
      </c>
      <c r="D95" s="18">
        <f>'[1]02. Matrix'!D104</f>
        <v>2</v>
      </c>
      <c r="E95" s="19">
        <f>'[1]02. Matrix'!E104</f>
        <v>0</v>
      </c>
      <c r="F95" s="18" t="str">
        <f>_xlfn.XLOOKUP('01. Main'!$B95,[1]Mapping!$D:$D,[1]Mapping!$A:$A,0,0)</f>
        <v>Ashoj 81</v>
      </c>
      <c r="G95" s="20">
        <f>_xlfn.XLOOKUP('01. Main'!$B95,[1]Mapping!D$2:D$24,[1]Mapping!E$2:E$24,0,0)</f>
        <v>2024</v>
      </c>
    </row>
    <row r="96" spans="1:7" x14ac:dyDescent="0.45">
      <c r="A96" s="13">
        <f>'[1]02. Matrix'!A105</f>
        <v>95</v>
      </c>
      <c r="B96" s="14">
        <f>'[1]02. Matrix'!B105</f>
        <v>22</v>
      </c>
      <c r="C96" s="14" t="str">
        <f>'[1]02. Matrix'!C105</f>
        <v>EDUCATIONAL LOAN</v>
      </c>
      <c r="D96" s="14">
        <f>'[1]02. Matrix'!D105</f>
        <v>2</v>
      </c>
      <c r="E96" s="15">
        <f>'[1]02. Matrix'!E105</f>
        <v>0</v>
      </c>
      <c r="F96" s="14" t="str">
        <f>_xlfn.XLOOKUP('01. Main'!$B96,[1]Mapping!$D:$D,[1]Mapping!$A:$A,0,0)</f>
        <v>Ashoj 81</v>
      </c>
      <c r="G96" s="16">
        <f>_xlfn.XLOOKUP('01. Main'!$B96,[1]Mapping!D$2:D$24,[1]Mapping!E$2:E$24,0,0)</f>
        <v>2024</v>
      </c>
    </row>
    <row r="97" spans="1:7" x14ac:dyDescent="0.45">
      <c r="A97" s="17">
        <f>'[1]02. Matrix'!A106</f>
        <v>96</v>
      </c>
      <c r="B97" s="18">
        <f>'[1]02. Matrix'!B106</f>
        <v>22</v>
      </c>
      <c r="C97" s="18" t="str">
        <f>'[1]02. Matrix'!C106</f>
        <v>AGRICULTURE LOAN</v>
      </c>
      <c r="D97" s="18">
        <f>'[1]02. Matrix'!D106</f>
        <v>2</v>
      </c>
      <c r="E97" s="19">
        <f>'[1]02. Matrix'!E106</f>
        <v>0.44459816001643915</v>
      </c>
      <c r="F97" s="18" t="str">
        <f>_xlfn.XLOOKUP('01. Main'!$B97,[1]Mapping!$D:$D,[1]Mapping!$A:$A,0,0)</f>
        <v>Ashoj 81</v>
      </c>
      <c r="G97" s="20">
        <f>_xlfn.XLOOKUP('01. Main'!$B97,[1]Mapping!D$2:D$24,[1]Mapping!E$2:E$24,0,0)</f>
        <v>2024</v>
      </c>
    </row>
    <row r="98" spans="1:7" x14ac:dyDescent="0.45">
      <c r="A98" s="13">
        <f>'[1]02. Matrix'!A107</f>
        <v>97</v>
      </c>
      <c r="B98" s="14">
        <f>'[1]02. Matrix'!B107</f>
        <v>22</v>
      </c>
      <c r="C98" s="14" t="str">
        <f>'[1]02. Matrix'!C107</f>
        <v>RESI PER.HOME-EMI</v>
      </c>
      <c r="D98" s="14">
        <f>'[1]02. Matrix'!D107</f>
        <v>2</v>
      </c>
      <c r="E98" s="15">
        <f>'[1]02. Matrix'!E107</f>
        <v>0.74235887702908776</v>
      </c>
      <c r="F98" s="14" t="str">
        <f>_xlfn.XLOOKUP('01. Main'!$B98,[1]Mapping!$D:$D,[1]Mapping!$A:$A,0,0)</f>
        <v>Ashoj 81</v>
      </c>
      <c r="G98" s="16">
        <f>_xlfn.XLOOKUP('01. Main'!$B98,[1]Mapping!D$2:D$24,[1]Mapping!E$2:E$24,0,0)</f>
        <v>2024</v>
      </c>
    </row>
    <row r="99" spans="1:7" x14ac:dyDescent="0.45">
      <c r="A99" s="17">
        <f>'[1]02. Matrix'!A108</f>
        <v>98</v>
      </c>
      <c r="B99" s="18">
        <f>'[1]02. Matrix'!B108</f>
        <v>22</v>
      </c>
      <c r="C99" s="18" t="str">
        <f>'[1]02. Matrix'!C108</f>
        <v>TERM LOAN - BUSINESS</v>
      </c>
      <c r="D99" s="18">
        <f>'[1]02. Matrix'!D108</f>
        <v>2</v>
      </c>
      <c r="E99" s="19">
        <f>'[1]02. Matrix'!E108</f>
        <v>0.95708174455409389</v>
      </c>
      <c r="F99" s="18" t="str">
        <f>_xlfn.XLOOKUP('01. Main'!$B99,[1]Mapping!$D:$D,[1]Mapping!$A:$A,0,0)</f>
        <v>Ashoj 81</v>
      </c>
      <c r="G99" s="20">
        <f>_xlfn.XLOOKUP('01. Main'!$B99,[1]Mapping!D$2:D$24,[1]Mapping!E$2:E$24,0,0)</f>
        <v>2024</v>
      </c>
    </row>
    <row r="100" spans="1:7" x14ac:dyDescent="0.45">
      <c r="A100" s="13">
        <f>'[1]02. Matrix'!A109</f>
        <v>99</v>
      </c>
      <c r="B100" s="14">
        <f>'[1]02. Matrix'!B109</f>
        <v>22</v>
      </c>
      <c r="C100" s="14" t="str">
        <f>'[1]02. Matrix'!C109</f>
        <v>CONS FIN BUSN TRM LO</v>
      </c>
      <c r="D100" s="14">
        <f>'[1]02. Matrix'!D109</f>
        <v>2</v>
      </c>
      <c r="E100" s="15">
        <f>'[1]02. Matrix'!E109</f>
        <v>0</v>
      </c>
      <c r="F100" s="14" t="str">
        <f>_xlfn.XLOOKUP('01. Main'!$B100,[1]Mapping!$D:$D,[1]Mapping!$A:$A,0,0)</f>
        <v>Ashoj 81</v>
      </c>
      <c r="G100" s="16">
        <f>_xlfn.XLOOKUP('01. Main'!$B100,[1]Mapping!D$2:D$24,[1]Mapping!E$2:E$24,0,0)</f>
        <v>2024</v>
      </c>
    </row>
    <row r="101" spans="1:7" x14ac:dyDescent="0.45">
      <c r="A101" s="17">
        <f>'[1]02. Matrix'!A110</f>
        <v>100</v>
      </c>
      <c r="B101" s="18">
        <f>'[1]02. Matrix'!B110</f>
        <v>22</v>
      </c>
      <c r="C101" s="18" t="str">
        <f>'[1]02. Matrix'!C110</f>
        <v>BIS/PERHIRE PURCHASE</v>
      </c>
      <c r="D101" s="18">
        <f>'[1]02. Matrix'!D110</f>
        <v>2</v>
      </c>
      <c r="E101" s="19">
        <f>'[1]02. Matrix'!E110</f>
        <v>0.86608243894196302</v>
      </c>
      <c r="F101" s="18" t="str">
        <f>_xlfn.XLOOKUP('01. Main'!$B101,[1]Mapping!$D:$D,[1]Mapping!$A:$A,0,0)</f>
        <v>Ashoj 81</v>
      </c>
      <c r="G101" s="20">
        <f>_xlfn.XLOOKUP('01. Main'!$B101,[1]Mapping!D$2:D$24,[1]Mapping!E$2:E$24,0,0)</f>
        <v>2024</v>
      </c>
    </row>
    <row r="102" spans="1:7" x14ac:dyDescent="0.45">
      <c r="A102" s="13">
        <f>'[1]02. Matrix'!A111</f>
        <v>101</v>
      </c>
      <c r="B102" s="14">
        <f>'[1]02. Matrix'!B111</f>
        <v>22</v>
      </c>
      <c r="C102" s="14" t="str">
        <f>'[1]02. Matrix'!C111</f>
        <v xml:space="preserve">INT CAP TERM LOAN </v>
      </c>
      <c r="D102" s="14">
        <f>'[1]02. Matrix'!D111</f>
        <v>2</v>
      </c>
      <c r="E102" s="15">
        <f>'[1]02. Matrix'!E111</f>
        <v>0</v>
      </c>
      <c r="F102" s="14" t="str">
        <f>_xlfn.XLOOKUP('01. Main'!$B102,[1]Mapping!$D:$D,[1]Mapping!$A:$A,0,0)</f>
        <v>Ashoj 81</v>
      </c>
      <c r="G102" s="16">
        <f>_xlfn.XLOOKUP('01. Main'!$B102,[1]Mapping!D$2:D$24,[1]Mapping!E$2:E$24,0,0)</f>
        <v>2024</v>
      </c>
    </row>
    <row r="103" spans="1:7" x14ac:dyDescent="0.45">
      <c r="A103" s="17">
        <f>'[1]02. Matrix'!A112</f>
        <v>102</v>
      </c>
      <c r="B103" s="18">
        <f>'[1]02. Matrix'!B112</f>
        <v>22</v>
      </c>
      <c r="C103" s="18" t="str">
        <f>'[1]02. Matrix'!C112</f>
        <v>PERSONAL LOAN</v>
      </c>
      <c r="D103" s="18">
        <f>'[1]02. Matrix'!D112</f>
        <v>2</v>
      </c>
      <c r="E103" s="19">
        <f>'[1]02. Matrix'!E112</f>
        <v>0.55581064050733486</v>
      </c>
      <c r="F103" s="18" t="str">
        <f>_xlfn.XLOOKUP('01. Main'!$B103,[1]Mapping!$D:$D,[1]Mapping!$A:$A,0,0)</f>
        <v>Ashoj 81</v>
      </c>
      <c r="G103" s="20">
        <f>_xlfn.XLOOKUP('01. Main'!$B103,[1]Mapping!D$2:D$24,[1]Mapping!E$2:E$24,0,0)</f>
        <v>2024</v>
      </c>
    </row>
    <row r="104" spans="1:7" x14ac:dyDescent="0.45">
      <c r="A104" s="13">
        <f>'[1]02. Matrix'!A113</f>
        <v>103</v>
      </c>
      <c r="B104" s="14">
        <f>'[1]02. Matrix'!B113</f>
        <v>22</v>
      </c>
      <c r="C104" s="14" t="str">
        <f>'[1]02. Matrix'!C113</f>
        <v>MORTGAGE LOAN</v>
      </c>
      <c r="D104" s="14">
        <f>'[1]02. Matrix'!D113</f>
        <v>2</v>
      </c>
      <c r="E104" s="15">
        <f>'[1]02. Matrix'!E113</f>
        <v>0.26304313637247767</v>
      </c>
      <c r="F104" s="14" t="str">
        <f>_xlfn.XLOOKUP('01. Main'!$B104,[1]Mapping!$D:$D,[1]Mapping!$A:$A,0,0)</f>
        <v>Ashoj 81</v>
      </c>
      <c r="G104" s="16">
        <f>_xlfn.XLOOKUP('01. Main'!$B104,[1]Mapping!D$2:D$24,[1]Mapping!E$2:E$24,0,0)</f>
        <v>2024</v>
      </c>
    </row>
    <row r="105" spans="1:7" x14ac:dyDescent="0.45">
      <c r="A105" s="17">
        <f>'[1]02. Matrix'!A114</f>
        <v>104</v>
      </c>
      <c r="B105" s="18">
        <f>'[1]02. Matrix'!B114</f>
        <v>22</v>
      </c>
      <c r="C105" s="18" t="str">
        <f>'[1]02. Matrix'!C114</f>
        <v>LOAN AGAINST FDR</v>
      </c>
      <c r="D105" s="18">
        <f>'[1]02. Matrix'!D114</f>
        <v>2</v>
      </c>
      <c r="E105" s="19">
        <f>'[1]02. Matrix'!E114</f>
        <v>0</v>
      </c>
      <c r="F105" s="18" t="str">
        <f>_xlfn.XLOOKUP('01. Main'!$B105,[1]Mapping!$D:$D,[1]Mapping!$A:$A,0,0)</f>
        <v>Ashoj 81</v>
      </c>
      <c r="G105" s="20">
        <f>_xlfn.XLOOKUP('01. Main'!$B105,[1]Mapping!D$2:D$24,[1]Mapping!E$2:E$24,0,0)</f>
        <v>2024</v>
      </c>
    </row>
    <row r="106" spans="1:7" x14ac:dyDescent="0.45">
      <c r="A106" s="13">
        <f>'[1]02. Matrix'!A115</f>
        <v>105</v>
      </c>
      <c r="B106" s="14">
        <f>'[1]02. Matrix'!B115</f>
        <v>22</v>
      </c>
      <c r="C106" s="14" t="str">
        <f>'[1]02. Matrix'!C115</f>
        <v>RECEIVABLE LOAN</v>
      </c>
      <c r="D106" s="14">
        <f>'[1]02. Matrix'!D115</f>
        <v>2</v>
      </c>
      <c r="E106" s="15">
        <f>'[1]02. Matrix'!E115</f>
        <v>0</v>
      </c>
      <c r="F106" s="14" t="str">
        <f>_xlfn.XLOOKUP('01. Main'!$B106,[1]Mapping!$D:$D,[1]Mapping!$A:$A,0,0)</f>
        <v>Ashoj 81</v>
      </c>
      <c r="G106" s="16">
        <f>_xlfn.XLOOKUP('01. Main'!$B106,[1]Mapping!D$2:D$24,[1]Mapping!E$2:E$24,0,0)</f>
        <v>2024</v>
      </c>
    </row>
    <row r="107" spans="1:7" x14ac:dyDescent="0.45">
      <c r="A107" s="17">
        <f>'[1]02. Matrix'!A116</f>
        <v>106</v>
      </c>
      <c r="B107" s="18">
        <f>'[1]02. Matrix'!B116</f>
        <v>22</v>
      </c>
      <c r="C107" s="18" t="str">
        <f>'[1]02. Matrix'!C116</f>
        <v>STAFF LOAN</v>
      </c>
      <c r="D107" s="18">
        <f>'[1]02. Matrix'!D116</f>
        <v>2</v>
      </c>
      <c r="E107" s="19">
        <f>'[1]02. Matrix'!E116</f>
        <v>0</v>
      </c>
      <c r="F107" s="18" t="str">
        <f>_xlfn.XLOOKUP('01. Main'!$B107,[1]Mapping!$D:$D,[1]Mapping!$A:$A,0,0)</f>
        <v>Ashoj 81</v>
      </c>
      <c r="G107" s="20">
        <f>_xlfn.XLOOKUP('01. Main'!$B107,[1]Mapping!D$2:D$24,[1]Mapping!E$2:E$24,0,0)</f>
        <v>2024</v>
      </c>
    </row>
    <row r="108" spans="1:7" x14ac:dyDescent="0.45">
      <c r="A108" s="13">
        <f>'[1]02. Matrix'!A117</f>
        <v>107</v>
      </c>
      <c r="B108" s="14">
        <f>'[1]02. Matrix'!B117</f>
        <v>22</v>
      </c>
      <c r="C108" s="14" t="str">
        <f>'[1]02. Matrix'!C117</f>
        <v>AGRICULTURAL LOAN</v>
      </c>
      <c r="D108" s="14">
        <f>'[1]02. Matrix'!D117</f>
        <v>2</v>
      </c>
      <c r="E108" s="15">
        <f>'[1]02. Matrix'!E117</f>
        <v>0.24237554927466676</v>
      </c>
      <c r="F108" s="14" t="str">
        <f>_xlfn.XLOOKUP('01. Main'!$B108,[1]Mapping!$D:$D,[1]Mapping!$A:$A,0,0)</f>
        <v>Ashoj 81</v>
      </c>
      <c r="G108" s="16">
        <f>_xlfn.XLOOKUP('01. Main'!$B108,[1]Mapping!D$2:D$24,[1]Mapping!E$2:E$24,0,0)</f>
        <v>2024</v>
      </c>
    </row>
    <row r="109" spans="1:7" x14ac:dyDescent="0.45">
      <c r="A109" s="17">
        <f>'[1]02. Matrix'!A118</f>
        <v>108</v>
      </c>
      <c r="B109" s="18">
        <f>'[1]02. Matrix'!B118</f>
        <v>22</v>
      </c>
      <c r="C109" s="18" t="str">
        <f>'[1]02. Matrix'!C118</f>
        <v>EARTHQUAKE RELIEF LO</v>
      </c>
      <c r="D109" s="18">
        <f>'[1]02. Matrix'!D118</f>
        <v>2</v>
      </c>
      <c r="E109" s="19">
        <f>'[1]02. Matrix'!E118</f>
        <v>0</v>
      </c>
      <c r="F109" s="18" t="str">
        <f>_xlfn.XLOOKUP('01. Main'!$B109,[1]Mapping!$D:$D,[1]Mapping!$A:$A,0,0)</f>
        <v>Ashoj 81</v>
      </c>
      <c r="G109" s="20">
        <f>_xlfn.XLOOKUP('01. Main'!$B109,[1]Mapping!D$2:D$24,[1]Mapping!E$2:E$24,0,0)</f>
        <v>2024</v>
      </c>
    </row>
    <row r="110" spans="1:7" x14ac:dyDescent="0.45">
      <c r="A110" s="13">
        <f>'[1]02. Matrix'!A119</f>
        <v>109</v>
      </c>
      <c r="B110" s="14">
        <f>'[1]02. Matrix'!B119</f>
        <v>22</v>
      </c>
      <c r="C110" s="14" t="str">
        <f>'[1]02. Matrix'!C119</f>
        <v>TOURISM SECTOR LOAN</v>
      </c>
      <c r="D110" s="14">
        <f>'[1]02. Matrix'!D119</f>
        <v>2</v>
      </c>
      <c r="E110" s="15">
        <f>'[1]02. Matrix'!E119</f>
        <v>0</v>
      </c>
      <c r="F110" s="14" t="str">
        <f>_xlfn.XLOOKUP('01. Main'!$B110,[1]Mapping!$D:$D,[1]Mapping!$A:$A,0,0)</f>
        <v>Ashoj 81</v>
      </c>
      <c r="G110" s="16">
        <f>_xlfn.XLOOKUP('01. Main'!$B110,[1]Mapping!D$2:D$24,[1]Mapping!E$2:E$24,0,0)</f>
        <v>2024</v>
      </c>
    </row>
    <row r="111" spans="1:7" x14ac:dyDescent="0.45">
      <c r="A111" s="17">
        <f>'[1]02. Matrix'!A120</f>
        <v>110</v>
      </c>
      <c r="B111" s="18">
        <f>'[1]02. Matrix'!B120</f>
        <v>22</v>
      </c>
      <c r="C111" s="18" t="str">
        <f>'[1]02. Matrix'!C120</f>
        <v>SME LOAN</v>
      </c>
      <c r="D111" s="18">
        <f>'[1]02. Matrix'!D120</f>
        <v>2</v>
      </c>
      <c r="E111" s="19">
        <f>'[1]02. Matrix'!E120</f>
        <v>0</v>
      </c>
      <c r="F111" s="18" t="str">
        <f>_xlfn.XLOOKUP('01. Main'!$B111,[1]Mapping!$D:$D,[1]Mapping!$A:$A,0,0)</f>
        <v>Ashoj 81</v>
      </c>
      <c r="G111" s="20">
        <f>_xlfn.XLOOKUP('01. Main'!$B111,[1]Mapping!D$2:D$24,[1]Mapping!E$2:E$24,0,0)</f>
        <v>2024</v>
      </c>
    </row>
    <row r="112" spans="1:7" x14ac:dyDescent="0.45">
      <c r="A112" s="13">
        <f>'[1]02. Matrix'!A121</f>
        <v>111</v>
      </c>
      <c r="B112" s="14">
        <f>'[1]02. Matrix'!B121</f>
        <v>22</v>
      </c>
      <c r="C112" s="14" t="str">
        <f>'[1]02. Matrix'!C121</f>
        <v>EDUCATIONAL LOAN EMI</v>
      </c>
      <c r="D112" s="14">
        <f>'[1]02. Matrix'!D121</f>
        <v>2</v>
      </c>
      <c r="E112" s="15">
        <f>'[1]02. Matrix'!E121</f>
        <v>0</v>
      </c>
      <c r="F112" s="14" t="str">
        <f>_xlfn.XLOOKUP('01. Main'!$B112,[1]Mapping!$D:$D,[1]Mapping!$A:$A,0,0)</f>
        <v>Ashoj 81</v>
      </c>
      <c r="G112" s="16">
        <f>_xlfn.XLOOKUP('01. Main'!$B112,[1]Mapping!D$2:D$24,[1]Mapping!E$2:E$24,0,0)</f>
        <v>2024</v>
      </c>
    </row>
    <row r="113" spans="1:7" x14ac:dyDescent="0.45">
      <c r="A113" s="17">
        <f>'[1]02. Matrix'!A122</f>
        <v>112</v>
      </c>
      <c r="B113" s="18">
        <f>'[1]02. Matrix'!B122</f>
        <v>22</v>
      </c>
      <c r="C113" s="18" t="str">
        <f>'[1]02. Matrix'!C122</f>
        <v>OVERDRAFT PROFESSION</v>
      </c>
      <c r="D113" s="18">
        <f>'[1]02. Matrix'!D122</f>
        <v>2</v>
      </c>
      <c r="E113" s="19">
        <f>'[1]02. Matrix'!E122</f>
        <v>0</v>
      </c>
      <c r="F113" s="18" t="str">
        <f>_xlfn.XLOOKUP('01. Main'!$B113,[1]Mapping!$D:$D,[1]Mapping!$A:$A,0,0)</f>
        <v>Ashoj 81</v>
      </c>
      <c r="G113" s="20">
        <f>_xlfn.XLOOKUP('01. Main'!$B113,[1]Mapping!D$2:D$24,[1]Mapping!E$2:E$24,0,0)</f>
        <v>2024</v>
      </c>
    </row>
    <row r="114" spans="1:7" x14ac:dyDescent="0.45">
      <c r="A114" s="13">
        <f>'[1]02. Matrix'!A123</f>
        <v>113</v>
      </c>
      <c r="B114" s="14">
        <f>'[1]02. Matrix'!B123</f>
        <v>21</v>
      </c>
      <c r="C114" s="14" t="str">
        <f>'[1]02. Matrix'!C123</f>
        <v>OD PERSONAL LOAN</v>
      </c>
      <c r="D114" s="14">
        <f>'[1]02. Matrix'!D123</f>
        <v>1</v>
      </c>
      <c r="E114" s="15">
        <f>'[1]02. Matrix'!E123</f>
        <v>0.2277883815570548</v>
      </c>
      <c r="F114" s="14" t="str">
        <f>_xlfn.XLOOKUP('01. Main'!$B114,[1]Mapping!$D:$D,[1]Mapping!$A:$A,0,0)</f>
        <v>Asadh 81</v>
      </c>
      <c r="G114" s="16">
        <f>_xlfn.XLOOKUP('01. Main'!$B114,[1]Mapping!D$2:D$24,[1]Mapping!E$2:E$24,0,0)</f>
        <v>2024</v>
      </c>
    </row>
    <row r="115" spans="1:7" x14ac:dyDescent="0.45">
      <c r="A115" s="17">
        <f>'[1]02. Matrix'!A124</f>
        <v>114</v>
      </c>
      <c r="B115" s="18">
        <f>'[1]02. Matrix'!B124</f>
        <v>21</v>
      </c>
      <c r="C115" s="18" t="str">
        <f>'[1]02. Matrix'!C124</f>
        <v>OD BUSINESS LOAN</v>
      </c>
      <c r="D115" s="18">
        <f>'[1]02. Matrix'!D124</f>
        <v>1</v>
      </c>
      <c r="E115" s="19">
        <f>'[1]02. Matrix'!E124</f>
        <v>0.27938790242853773</v>
      </c>
      <c r="F115" s="18" t="str">
        <f>_xlfn.XLOOKUP('01. Main'!$B115,[1]Mapping!$D:$D,[1]Mapping!$A:$A,0,0)</f>
        <v>Asadh 81</v>
      </c>
      <c r="G115" s="20">
        <f>_xlfn.XLOOKUP('01. Main'!$B115,[1]Mapping!D$2:D$24,[1]Mapping!E$2:E$24,0,0)</f>
        <v>2024</v>
      </c>
    </row>
    <row r="116" spans="1:7" x14ac:dyDescent="0.45">
      <c r="A116" s="13">
        <f>'[1]02. Matrix'!A125</f>
        <v>115</v>
      </c>
      <c r="B116" s="14">
        <f>'[1]02. Matrix'!B125</f>
        <v>21</v>
      </c>
      <c r="C116" s="14" t="str">
        <f>'[1]02. Matrix'!C125</f>
        <v>OD STAFF LOAN</v>
      </c>
      <c r="D116" s="14">
        <f>'[1]02. Matrix'!D125</f>
        <v>1</v>
      </c>
      <c r="E116" s="15">
        <f>'[1]02. Matrix'!E125</f>
        <v>0</v>
      </c>
      <c r="F116" s="14" t="str">
        <f>_xlfn.XLOOKUP('01. Main'!$B116,[1]Mapping!$D:$D,[1]Mapping!$A:$A,0,0)</f>
        <v>Asadh 81</v>
      </c>
      <c r="G116" s="16">
        <f>_xlfn.XLOOKUP('01. Main'!$B116,[1]Mapping!D$2:D$24,[1]Mapping!E$2:E$24,0,0)</f>
        <v>2024</v>
      </c>
    </row>
    <row r="117" spans="1:7" x14ac:dyDescent="0.45">
      <c r="A117" s="17">
        <f>'[1]02. Matrix'!A126</f>
        <v>116</v>
      </c>
      <c r="B117" s="18">
        <f>'[1]02. Matrix'!B126</f>
        <v>21</v>
      </c>
      <c r="C117" s="18" t="str">
        <f>'[1]02. Matrix'!C126</f>
        <v>TERM LOAN</v>
      </c>
      <c r="D117" s="18">
        <f>'[1]02. Matrix'!D126</f>
        <v>1</v>
      </c>
      <c r="E117" s="19">
        <f>'[1]02. Matrix'!E126</f>
        <v>3.8252531512235011E-2</v>
      </c>
      <c r="F117" s="18" t="str">
        <f>_xlfn.XLOOKUP('01. Main'!$B117,[1]Mapping!$D:$D,[1]Mapping!$A:$A,0,0)</f>
        <v>Asadh 81</v>
      </c>
      <c r="G117" s="20">
        <f>_xlfn.XLOOKUP('01. Main'!$B117,[1]Mapping!D$2:D$24,[1]Mapping!E$2:E$24,0,0)</f>
        <v>2024</v>
      </c>
    </row>
    <row r="118" spans="1:7" x14ac:dyDescent="0.45">
      <c r="A118" s="13">
        <f>'[1]02. Matrix'!A127</f>
        <v>117</v>
      </c>
      <c r="B118" s="14">
        <f>'[1]02. Matrix'!B127</f>
        <v>21</v>
      </c>
      <c r="C118" s="14" t="str">
        <f>'[1]02. Matrix'!C127</f>
        <v>WC TRADING/IND LOAN</v>
      </c>
      <c r="D118" s="14">
        <f>'[1]02. Matrix'!D127</f>
        <v>1</v>
      </c>
      <c r="E118" s="15">
        <f>'[1]02. Matrix'!E127</f>
        <v>8.9934160810423297E-2</v>
      </c>
      <c r="F118" s="14" t="str">
        <f>_xlfn.XLOOKUP('01. Main'!$B118,[1]Mapping!$D:$D,[1]Mapping!$A:$A,0,0)</f>
        <v>Asadh 81</v>
      </c>
      <c r="G118" s="16">
        <f>_xlfn.XLOOKUP('01. Main'!$B118,[1]Mapping!D$2:D$24,[1]Mapping!E$2:E$24,0,0)</f>
        <v>2024</v>
      </c>
    </row>
    <row r="119" spans="1:7" x14ac:dyDescent="0.45">
      <c r="A119" s="17">
        <f>'[1]02. Matrix'!A128</f>
        <v>118</v>
      </c>
      <c r="B119" s="18">
        <f>'[1]02. Matrix'!B128</f>
        <v>21</v>
      </c>
      <c r="C119" s="18" t="str">
        <f>'[1]02. Matrix'!C128</f>
        <v>HOUSING LOAN</v>
      </c>
      <c r="D119" s="18">
        <f>'[1]02. Matrix'!D128</f>
        <v>1</v>
      </c>
      <c r="E119" s="19">
        <f>'[1]02. Matrix'!E128</f>
        <v>5.2609987778126296E-2</v>
      </c>
      <c r="F119" s="18" t="str">
        <f>_xlfn.XLOOKUP('01. Main'!$B119,[1]Mapping!$D:$D,[1]Mapping!$A:$A,0,0)</f>
        <v>Asadh 81</v>
      </c>
      <c r="G119" s="20">
        <f>_xlfn.XLOOKUP('01. Main'!$B119,[1]Mapping!D$2:D$24,[1]Mapping!E$2:E$24,0,0)</f>
        <v>2024</v>
      </c>
    </row>
    <row r="120" spans="1:7" x14ac:dyDescent="0.45">
      <c r="A120" s="13">
        <f>'[1]02. Matrix'!A129</f>
        <v>119</v>
      </c>
      <c r="B120" s="14">
        <f>'[1]02. Matrix'!B129</f>
        <v>21</v>
      </c>
      <c r="C120" s="14" t="str">
        <f>'[1]02. Matrix'!C129</f>
        <v>RESI REAL EST LOAN</v>
      </c>
      <c r="D120" s="14">
        <f>'[1]02. Matrix'!D129</f>
        <v>1</v>
      </c>
      <c r="E120" s="15">
        <f>'[1]02. Matrix'!E129</f>
        <v>0</v>
      </c>
      <c r="F120" s="14" t="str">
        <f>_xlfn.XLOOKUP('01. Main'!$B120,[1]Mapping!$D:$D,[1]Mapping!$A:$A,0,0)</f>
        <v>Asadh 81</v>
      </c>
      <c r="G120" s="16">
        <f>_xlfn.XLOOKUP('01. Main'!$B120,[1]Mapping!D$2:D$24,[1]Mapping!E$2:E$24,0,0)</f>
        <v>2024</v>
      </c>
    </row>
    <row r="121" spans="1:7" x14ac:dyDescent="0.45">
      <c r="A121" s="17">
        <f>'[1]02. Matrix'!A130</f>
        <v>120</v>
      </c>
      <c r="B121" s="18">
        <f>'[1]02. Matrix'!B130</f>
        <v>21</v>
      </c>
      <c r="C121" s="18" t="str">
        <f>'[1]02. Matrix'!C130</f>
        <v>MARGIN NATURE LOAN</v>
      </c>
      <c r="D121" s="18">
        <f>'[1]02. Matrix'!D130</f>
        <v>1</v>
      </c>
      <c r="E121" s="19">
        <f>'[1]02. Matrix'!E130</f>
        <v>0</v>
      </c>
      <c r="F121" s="18" t="str">
        <f>_xlfn.XLOOKUP('01. Main'!$B121,[1]Mapping!$D:$D,[1]Mapping!$A:$A,0,0)</f>
        <v>Asadh 81</v>
      </c>
      <c r="G121" s="20">
        <f>_xlfn.XLOOKUP('01. Main'!$B121,[1]Mapping!D$2:D$24,[1]Mapping!E$2:E$24,0,0)</f>
        <v>2024</v>
      </c>
    </row>
    <row r="122" spans="1:7" x14ac:dyDescent="0.45">
      <c r="A122" s="13">
        <f>'[1]02. Matrix'!A131</f>
        <v>121</v>
      </c>
      <c r="B122" s="14">
        <f>'[1]02. Matrix'!B131</f>
        <v>21</v>
      </c>
      <c r="C122" s="14" t="str">
        <f>'[1]02. Matrix'!C131</f>
        <v>HIRE PURCHASE LOAN</v>
      </c>
      <c r="D122" s="14">
        <f>'[1]02. Matrix'!D131</f>
        <v>1</v>
      </c>
      <c r="E122" s="15">
        <f>'[1]02. Matrix'!E131</f>
        <v>0</v>
      </c>
      <c r="F122" s="14" t="str">
        <f>_xlfn.XLOOKUP('01. Main'!$B122,[1]Mapping!$D:$D,[1]Mapping!$A:$A,0,0)</f>
        <v>Asadh 81</v>
      </c>
      <c r="G122" s="16">
        <f>_xlfn.XLOOKUP('01. Main'!$B122,[1]Mapping!D$2:D$24,[1]Mapping!E$2:E$24,0,0)</f>
        <v>2024</v>
      </c>
    </row>
    <row r="123" spans="1:7" x14ac:dyDescent="0.45">
      <c r="A123" s="17">
        <f>'[1]02. Matrix'!A132</f>
        <v>122</v>
      </c>
      <c r="B123" s="18">
        <f>'[1]02. Matrix'!B132</f>
        <v>21</v>
      </c>
      <c r="C123" s="18" t="str">
        <f>'[1]02. Matrix'!C132</f>
        <v>DEPRIVED SECTOR LOAN</v>
      </c>
      <c r="D123" s="18">
        <f>'[1]02. Matrix'!D132</f>
        <v>1</v>
      </c>
      <c r="E123" s="19">
        <f>'[1]02. Matrix'!E132</f>
        <v>1.7866060529915066E-2</v>
      </c>
      <c r="F123" s="18" t="str">
        <f>_xlfn.XLOOKUP('01. Main'!$B123,[1]Mapping!$D:$D,[1]Mapping!$A:$A,0,0)</f>
        <v>Asadh 81</v>
      </c>
      <c r="G123" s="20">
        <f>_xlfn.XLOOKUP('01. Main'!$B123,[1]Mapping!D$2:D$24,[1]Mapping!E$2:E$24,0,0)</f>
        <v>2024</v>
      </c>
    </row>
    <row r="124" spans="1:7" x14ac:dyDescent="0.45">
      <c r="A124" s="13">
        <f>'[1]02. Matrix'!A133</f>
        <v>123</v>
      </c>
      <c r="B124" s="14">
        <f>'[1]02. Matrix'!B133</f>
        <v>21</v>
      </c>
      <c r="C124" s="14" t="str">
        <f>'[1]02. Matrix'!C133</f>
        <v>EDUCATIONAL LOAN</v>
      </c>
      <c r="D124" s="14">
        <f>'[1]02. Matrix'!D133</f>
        <v>1</v>
      </c>
      <c r="E124" s="15">
        <f>'[1]02. Matrix'!E133</f>
        <v>0</v>
      </c>
      <c r="F124" s="14" t="str">
        <f>_xlfn.XLOOKUP('01. Main'!$B124,[1]Mapping!$D:$D,[1]Mapping!$A:$A,0,0)</f>
        <v>Asadh 81</v>
      </c>
      <c r="G124" s="16">
        <f>_xlfn.XLOOKUP('01. Main'!$B124,[1]Mapping!D$2:D$24,[1]Mapping!E$2:E$24,0,0)</f>
        <v>2024</v>
      </c>
    </row>
    <row r="125" spans="1:7" x14ac:dyDescent="0.45">
      <c r="A125" s="17">
        <f>'[1]02. Matrix'!A134</f>
        <v>124</v>
      </c>
      <c r="B125" s="18">
        <f>'[1]02. Matrix'!B134</f>
        <v>21</v>
      </c>
      <c r="C125" s="18" t="str">
        <f>'[1]02. Matrix'!C134</f>
        <v>AGRICULTURE LOAN</v>
      </c>
      <c r="D125" s="18">
        <f>'[1]02. Matrix'!D134</f>
        <v>1</v>
      </c>
      <c r="E125" s="19">
        <f>'[1]02. Matrix'!E134</f>
        <v>7.1488491583689667E-2</v>
      </c>
      <c r="F125" s="18" t="str">
        <f>_xlfn.XLOOKUP('01. Main'!$B125,[1]Mapping!$D:$D,[1]Mapping!$A:$A,0,0)</f>
        <v>Asadh 81</v>
      </c>
      <c r="G125" s="20">
        <f>_xlfn.XLOOKUP('01. Main'!$B125,[1]Mapping!D$2:D$24,[1]Mapping!E$2:E$24,0,0)</f>
        <v>2024</v>
      </c>
    </row>
    <row r="126" spans="1:7" x14ac:dyDescent="0.45">
      <c r="A126" s="13">
        <f>'[1]02. Matrix'!A135</f>
        <v>125</v>
      </c>
      <c r="B126" s="14">
        <f>'[1]02. Matrix'!B135</f>
        <v>21</v>
      </c>
      <c r="C126" s="14" t="str">
        <f>'[1]02. Matrix'!C135</f>
        <v>RESI PER.HOME-EMI</v>
      </c>
      <c r="D126" s="14">
        <f>'[1]02. Matrix'!D135</f>
        <v>1</v>
      </c>
      <c r="E126" s="15">
        <f>'[1]02. Matrix'!E135</f>
        <v>5.2167900550347091E-2</v>
      </c>
      <c r="F126" s="14" t="str">
        <f>_xlfn.XLOOKUP('01. Main'!$B126,[1]Mapping!$D:$D,[1]Mapping!$A:$A,0,0)</f>
        <v>Asadh 81</v>
      </c>
      <c r="G126" s="16">
        <f>_xlfn.XLOOKUP('01. Main'!$B126,[1]Mapping!D$2:D$24,[1]Mapping!E$2:E$24,0,0)</f>
        <v>2024</v>
      </c>
    </row>
    <row r="127" spans="1:7" x14ac:dyDescent="0.45">
      <c r="A127" s="17">
        <f>'[1]02. Matrix'!A136</f>
        <v>126</v>
      </c>
      <c r="B127" s="18">
        <f>'[1]02. Matrix'!B136</f>
        <v>21</v>
      </c>
      <c r="C127" s="18" t="str">
        <f>'[1]02. Matrix'!C136</f>
        <v>TERM LOAN - BUSINESS</v>
      </c>
      <c r="D127" s="18">
        <f>'[1]02. Matrix'!D136</f>
        <v>1</v>
      </c>
      <c r="E127" s="19">
        <f>'[1]02. Matrix'!E136</f>
        <v>0</v>
      </c>
      <c r="F127" s="18" t="str">
        <f>_xlfn.XLOOKUP('01. Main'!$B127,[1]Mapping!$D:$D,[1]Mapping!$A:$A,0,0)</f>
        <v>Asadh 81</v>
      </c>
      <c r="G127" s="20">
        <f>_xlfn.XLOOKUP('01. Main'!$B127,[1]Mapping!D$2:D$24,[1]Mapping!E$2:E$24,0,0)</f>
        <v>2024</v>
      </c>
    </row>
    <row r="128" spans="1:7" x14ac:dyDescent="0.45">
      <c r="A128" s="13">
        <f>'[1]02. Matrix'!A137</f>
        <v>127</v>
      </c>
      <c r="B128" s="14">
        <f>'[1]02. Matrix'!B137</f>
        <v>21</v>
      </c>
      <c r="C128" s="14" t="str">
        <f>'[1]02. Matrix'!C137</f>
        <v>CONS FIN BUSN TRM LO</v>
      </c>
      <c r="D128" s="14">
        <f>'[1]02. Matrix'!D137</f>
        <v>1</v>
      </c>
      <c r="E128" s="15">
        <f>'[1]02. Matrix'!E137</f>
        <v>0</v>
      </c>
      <c r="F128" s="14" t="str">
        <f>_xlfn.XLOOKUP('01. Main'!$B128,[1]Mapping!$D:$D,[1]Mapping!$A:$A,0,0)</f>
        <v>Asadh 81</v>
      </c>
      <c r="G128" s="16">
        <f>_xlfn.XLOOKUP('01. Main'!$B128,[1]Mapping!D$2:D$24,[1]Mapping!E$2:E$24,0,0)</f>
        <v>2024</v>
      </c>
    </row>
    <row r="129" spans="1:7" x14ac:dyDescent="0.45">
      <c r="A129" s="17">
        <f>'[1]02. Matrix'!A138</f>
        <v>128</v>
      </c>
      <c r="B129" s="18">
        <f>'[1]02. Matrix'!B138</f>
        <v>21</v>
      </c>
      <c r="C129" s="18" t="str">
        <f>'[1]02. Matrix'!C138</f>
        <v>BIS/PERHIRE PURCHASE</v>
      </c>
      <c r="D129" s="18">
        <f>'[1]02. Matrix'!D138</f>
        <v>1</v>
      </c>
      <c r="E129" s="19">
        <f>'[1]02. Matrix'!E138</f>
        <v>0.162330219300657</v>
      </c>
      <c r="F129" s="18" t="str">
        <f>_xlfn.XLOOKUP('01. Main'!$B129,[1]Mapping!$D:$D,[1]Mapping!$A:$A,0,0)</f>
        <v>Asadh 81</v>
      </c>
      <c r="G129" s="20">
        <f>_xlfn.XLOOKUP('01. Main'!$B129,[1]Mapping!D$2:D$24,[1]Mapping!E$2:E$24,0,0)</f>
        <v>2024</v>
      </c>
    </row>
    <row r="130" spans="1:7" x14ac:dyDescent="0.45">
      <c r="A130" s="13">
        <f>'[1]02. Matrix'!A139</f>
        <v>129</v>
      </c>
      <c r="B130" s="14">
        <f>'[1]02. Matrix'!B139</f>
        <v>21</v>
      </c>
      <c r="C130" s="14" t="str">
        <f>'[1]02. Matrix'!C139</f>
        <v xml:space="preserve">INT CAP TERM LOAN </v>
      </c>
      <c r="D130" s="14">
        <f>'[1]02. Matrix'!D139</f>
        <v>1</v>
      </c>
      <c r="E130" s="15">
        <f>'[1]02. Matrix'!E139</f>
        <v>0</v>
      </c>
      <c r="F130" s="14" t="str">
        <f>_xlfn.XLOOKUP('01. Main'!$B130,[1]Mapping!$D:$D,[1]Mapping!$A:$A,0,0)</f>
        <v>Asadh 81</v>
      </c>
      <c r="G130" s="16">
        <f>_xlfn.XLOOKUP('01. Main'!$B130,[1]Mapping!D$2:D$24,[1]Mapping!E$2:E$24,0,0)</f>
        <v>2024</v>
      </c>
    </row>
    <row r="131" spans="1:7" x14ac:dyDescent="0.45">
      <c r="A131" s="17">
        <f>'[1]02. Matrix'!A140</f>
        <v>130</v>
      </c>
      <c r="B131" s="18">
        <f>'[1]02. Matrix'!B140</f>
        <v>21</v>
      </c>
      <c r="C131" s="18" t="str">
        <f>'[1]02. Matrix'!C140</f>
        <v>PERSONAL LOAN</v>
      </c>
      <c r="D131" s="18">
        <f>'[1]02. Matrix'!D140</f>
        <v>1</v>
      </c>
      <c r="E131" s="19">
        <f>'[1]02. Matrix'!E140</f>
        <v>0.11823937926215786</v>
      </c>
      <c r="F131" s="18" t="str">
        <f>_xlfn.XLOOKUP('01. Main'!$B131,[1]Mapping!$D:$D,[1]Mapping!$A:$A,0,0)</f>
        <v>Asadh 81</v>
      </c>
      <c r="G131" s="20">
        <f>_xlfn.XLOOKUP('01. Main'!$B131,[1]Mapping!D$2:D$24,[1]Mapping!E$2:E$24,0,0)</f>
        <v>2024</v>
      </c>
    </row>
    <row r="132" spans="1:7" x14ac:dyDescent="0.45">
      <c r="A132" s="13">
        <f>'[1]02. Matrix'!A141</f>
        <v>131</v>
      </c>
      <c r="B132" s="14">
        <f>'[1]02. Matrix'!B141</f>
        <v>21</v>
      </c>
      <c r="C132" s="14" t="str">
        <f>'[1]02. Matrix'!C141</f>
        <v>MORTGAGE LOAN</v>
      </c>
      <c r="D132" s="14">
        <f>'[1]02. Matrix'!D141</f>
        <v>1</v>
      </c>
      <c r="E132" s="15">
        <f>'[1]02. Matrix'!E141</f>
        <v>0.1996449727669497</v>
      </c>
      <c r="F132" s="14" t="str">
        <f>_xlfn.XLOOKUP('01. Main'!$B132,[1]Mapping!$D:$D,[1]Mapping!$A:$A,0,0)</f>
        <v>Asadh 81</v>
      </c>
      <c r="G132" s="16">
        <f>_xlfn.XLOOKUP('01. Main'!$B132,[1]Mapping!D$2:D$24,[1]Mapping!E$2:E$24,0,0)</f>
        <v>2024</v>
      </c>
    </row>
    <row r="133" spans="1:7" x14ac:dyDescent="0.45">
      <c r="A133" s="17">
        <f>'[1]02. Matrix'!A142</f>
        <v>132</v>
      </c>
      <c r="B133" s="18">
        <f>'[1]02. Matrix'!B142</f>
        <v>21</v>
      </c>
      <c r="C133" s="18" t="str">
        <f>'[1]02. Matrix'!C142</f>
        <v>LOAN AGAINST FDR</v>
      </c>
      <c r="D133" s="18">
        <f>'[1]02. Matrix'!D142</f>
        <v>1</v>
      </c>
      <c r="E133" s="19">
        <f>'[1]02. Matrix'!E142</f>
        <v>0</v>
      </c>
      <c r="F133" s="18" t="str">
        <f>_xlfn.XLOOKUP('01. Main'!$B133,[1]Mapping!$D:$D,[1]Mapping!$A:$A,0,0)</f>
        <v>Asadh 81</v>
      </c>
      <c r="G133" s="20">
        <f>_xlfn.XLOOKUP('01. Main'!$B133,[1]Mapping!D$2:D$24,[1]Mapping!E$2:E$24,0,0)</f>
        <v>2024</v>
      </c>
    </row>
    <row r="134" spans="1:7" x14ac:dyDescent="0.45">
      <c r="A134" s="13">
        <f>'[1]02. Matrix'!A143</f>
        <v>133</v>
      </c>
      <c r="B134" s="14">
        <f>'[1]02. Matrix'!B143</f>
        <v>21</v>
      </c>
      <c r="C134" s="14" t="str">
        <f>'[1]02. Matrix'!C143</f>
        <v>RECEIVABLE LOAN</v>
      </c>
      <c r="D134" s="14">
        <f>'[1]02. Matrix'!D143</f>
        <v>1</v>
      </c>
      <c r="E134" s="15">
        <f>'[1]02. Matrix'!E143</f>
        <v>9.2085259443766346E-2</v>
      </c>
      <c r="F134" s="14" t="str">
        <f>_xlfn.XLOOKUP('01. Main'!$B134,[1]Mapping!$D:$D,[1]Mapping!$A:$A,0,0)</f>
        <v>Asadh 81</v>
      </c>
      <c r="G134" s="16">
        <f>_xlfn.XLOOKUP('01. Main'!$B134,[1]Mapping!D$2:D$24,[1]Mapping!E$2:E$24,0,0)</f>
        <v>2024</v>
      </c>
    </row>
    <row r="135" spans="1:7" x14ac:dyDescent="0.45">
      <c r="A135" s="17">
        <f>'[1]02. Matrix'!A144</f>
        <v>134</v>
      </c>
      <c r="B135" s="18">
        <f>'[1]02. Matrix'!B144</f>
        <v>21</v>
      </c>
      <c r="C135" s="18" t="str">
        <f>'[1]02. Matrix'!C144</f>
        <v>STAFF LOAN</v>
      </c>
      <c r="D135" s="18">
        <f>'[1]02. Matrix'!D144</f>
        <v>1</v>
      </c>
      <c r="E135" s="19">
        <f>'[1]02. Matrix'!E144</f>
        <v>0</v>
      </c>
      <c r="F135" s="18" t="str">
        <f>_xlfn.XLOOKUP('01. Main'!$B135,[1]Mapping!$D:$D,[1]Mapping!$A:$A,0,0)</f>
        <v>Asadh 81</v>
      </c>
      <c r="G135" s="20">
        <f>_xlfn.XLOOKUP('01. Main'!$B135,[1]Mapping!D$2:D$24,[1]Mapping!E$2:E$24,0,0)</f>
        <v>2024</v>
      </c>
    </row>
    <row r="136" spans="1:7" x14ac:dyDescent="0.45">
      <c r="A136" s="13">
        <f>'[1]02. Matrix'!A145</f>
        <v>135</v>
      </c>
      <c r="B136" s="14">
        <f>'[1]02. Matrix'!B145</f>
        <v>21</v>
      </c>
      <c r="C136" s="14" t="str">
        <f>'[1]02. Matrix'!C145</f>
        <v>AGRICULTURAL LOAN</v>
      </c>
      <c r="D136" s="14">
        <f>'[1]02. Matrix'!D145</f>
        <v>1</v>
      </c>
      <c r="E136" s="15">
        <f>'[1]02. Matrix'!E145</f>
        <v>0.25482952100793271</v>
      </c>
      <c r="F136" s="14" t="str">
        <f>_xlfn.XLOOKUP('01. Main'!$B136,[1]Mapping!$D:$D,[1]Mapping!$A:$A,0,0)</f>
        <v>Asadh 81</v>
      </c>
      <c r="G136" s="16">
        <f>_xlfn.XLOOKUP('01. Main'!$B136,[1]Mapping!D$2:D$24,[1]Mapping!E$2:E$24,0,0)</f>
        <v>2024</v>
      </c>
    </row>
    <row r="137" spans="1:7" x14ac:dyDescent="0.45">
      <c r="A137" s="17">
        <f>'[1]02. Matrix'!A146</f>
        <v>136</v>
      </c>
      <c r="B137" s="18">
        <f>'[1]02. Matrix'!B146</f>
        <v>21</v>
      </c>
      <c r="C137" s="18" t="str">
        <f>'[1]02. Matrix'!C146</f>
        <v>EARTHQUAKE RELIEF LO</v>
      </c>
      <c r="D137" s="18">
        <f>'[1]02. Matrix'!D146</f>
        <v>1</v>
      </c>
      <c r="E137" s="19">
        <f>'[1]02. Matrix'!E146</f>
        <v>0</v>
      </c>
      <c r="F137" s="18" t="str">
        <f>_xlfn.XLOOKUP('01. Main'!$B137,[1]Mapping!$D:$D,[1]Mapping!$A:$A,0,0)</f>
        <v>Asadh 81</v>
      </c>
      <c r="G137" s="20">
        <f>_xlfn.XLOOKUP('01. Main'!$B137,[1]Mapping!D$2:D$24,[1]Mapping!E$2:E$24,0,0)</f>
        <v>2024</v>
      </c>
    </row>
    <row r="138" spans="1:7" x14ac:dyDescent="0.45">
      <c r="A138" s="13">
        <f>'[1]02. Matrix'!A147</f>
        <v>137</v>
      </c>
      <c r="B138" s="14">
        <f>'[1]02. Matrix'!B147</f>
        <v>21</v>
      </c>
      <c r="C138" s="14" t="str">
        <f>'[1]02. Matrix'!C147</f>
        <v>TOURISM SECTOR LOAN</v>
      </c>
      <c r="D138" s="14">
        <f>'[1]02. Matrix'!D147</f>
        <v>1</v>
      </c>
      <c r="E138" s="15">
        <f>'[1]02. Matrix'!E147</f>
        <v>0</v>
      </c>
      <c r="F138" s="14" t="str">
        <f>_xlfn.XLOOKUP('01. Main'!$B138,[1]Mapping!$D:$D,[1]Mapping!$A:$A,0,0)</f>
        <v>Asadh 81</v>
      </c>
      <c r="G138" s="16">
        <f>_xlfn.XLOOKUP('01. Main'!$B138,[1]Mapping!D$2:D$24,[1]Mapping!E$2:E$24,0,0)</f>
        <v>2024</v>
      </c>
    </row>
    <row r="139" spans="1:7" x14ac:dyDescent="0.45">
      <c r="A139" s="17">
        <f>'[1]02. Matrix'!A148</f>
        <v>138</v>
      </c>
      <c r="B139" s="18">
        <f>'[1]02. Matrix'!B148</f>
        <v>21</v>
      </c>
      <c r="C139" s="18" t="str">
        <f>'[1]02. Matrix'!C148</f>
        <v>SME LOAN</v>
      </c>
      <c r="D139" s="18">
        <f>'[1]02. Matrix'!D148</f>
        <v>1</v>
      </c>
      <c r="E139" s="19">
        <f>'[1]02. Matrix'!E148</f>
        <v>0</v>
      </c>
      <c r="F139" s="18" t="str">
        <f>_xlfn.XLOOKUP('01. Main'!$B139,[1]Mapping!$D:$D,[1]Mapping!$A:$A,0,0)</f>
        <v>Asadh 81</v>
      </c>
      <c r="G139" s="20">
        <f>_xlfn.XLOOKUP('01. Main'!$B139,[1]Mapping!D$2:D$24,[1]Mapping!E$2:E$24,0,0)</f>
        <v>2024</v>
      </c>
    </row>
    <row r="140" spans="1:7" x14ac:dyDescent="0.45">
      <c r="A140" s="13">
        <f>'[1]02. Matrix'!A149</f>
        <v>139</v>
      </c>
      <c r="B140" s="14">
        <f>'[1]02. Matrix'!B149</f>
        <v>21</v>
      </c>
      <c r="C140" s="14" t="str">
        <f>'[1]02. Matrix'!C149</f>
        <v>EDUCATIONAL LOAN EMI</v>
      </c>
      <c r="D140" s="14">
        <f>'[1]02. Matrix'!D149</f>
        <v>1</v>
      </c>
      <c r="E140" s="15">
        <f>'[1]02. Matrix'!E149</f>
        <v>0</v>
      </c>
      <c r="F140" s="14" t="str">
        <f>_xlfn.XLOOKUP('01. Main'!$B140,[1]Mapping!$D:$D,[1]Mapping!$A:$A,0,0)</f>
        <v>Asadh 81</v>
      </c>
      <c r="G140" s="16">
        <f>_xlfn.XLOOKUP('01. Main'!$B140,[1]Mapping!D$2:D$24,[1]Mapping!E$2:E$24,0,0)</f>
        <v>2024</v>
      </c>
    </row>
    <row r="141" spans="1:7" x14ac:dyDescent="0.45">
      <c r="A141" s="17">
        <f>'[1]02. Matrix'!A150</f>
        <v>140</v>
      </c>
      <c r="B141" s="18">
        <f>'[1]02. Matrix'!B150</f>
        <v>21</v>
      </c>
      <c r="C141" s="18" t="str">
        <f>'[1]02. Matrix'!C150</f>
        <v>OVERDRAFT PROFESSION</v>
      </c>
      <c r="D141" s="18">
        <f>'[1]02. Matrix'!D150</f>
        <v>1</v>
      </c>
      <c r="E141" s="19">
        <f>'[1]02. Matrix'!E150</f>
        <v>0</v>
      </c>
      <c r="F141" s="18" t="str">
        <f>_xlfn.XLOOKUP('01. Main'!$B141,[1]Mapping!$D:$D,[1]Mapping!$A:$A,0,0)</f>
        <v>Asadh 81</v>
      </c>
      <c r="G141" s="20">
        <f>_xlfn.XLOOKUP('01. Main'!$B141,[1]Mapping!D$2:D$24,[1]Mapping!E$2:E$24,0,0)</f>
        <v>2024</v>
      </c>
    </row>
    <row r="142" spans="1:7" x14ac:dyDescent="0.45">
      <c r="A142" s="13">
        <f>'[1]02. Matrix'!A151</f>
        <v>141</v>
      </c>
      <c r="B142" s="14">
        <f>'[1]02. Matrix'!B151</f>
        <v>21</v>
      </c>
      <c r="C142" s="14" t="str">
        <f>'[1]02. Matrix'!C151</f>
        <v>OD PERSONAL LOAN</v>
      </c>
      <c r="D142" s="14">
        <f>'[1]02. Matrix'!D151</f>
        <v>2</v>
      </c>
      <c r="E142" s="15">
        <f>'[1]02. Matrix'!E151</f>
        <v>0.61990858199989551</v>
      </c>
      <c r="F142" s="14" t="str">
        <f>_xlfn.XLOOKUP('01. Main'!$B142,[1]Mapping!$D:$D,[1]Mapping!$A:$A,0,0)</f>
        <v>Asadh 81</v>
      </c>
      <c r="G142" s="16">
        <f>_xlfn.XLOOKUP('01. Main'!$B142,[1]Mapping!D$2:D$24,[1]Mapping!E$2:E$24,0,0)</f>
        <v>2024</v>
      </c>
    </row>
    <row r="143" spans="1:7" x14ac:dyDescent="0.45">
      <c r="A143" s="17">
        <f>'[1]02. Matrix'!A152</f>
        <v>142</v>
      </c>
      <c r="B143" s="18">
        <f>'[1]02. Matrix'!B152</f>
        <v>21</v>
      </c>
      <c r="C143" s="18" t="str">
        <f>'[1]02. Matrix'!C152</f>
        <v>OD BUSINESS LOAN</v>
      </c>
      <c r="D143" s="18">
        <f>'[1]02. Matrix'!D152</f>
        <v>2</v>
      </c>
      <c r="E143" s="19">
        <f>'[1]02. Matrix'!E152</f>
        <v>0.28086496500895308</v>
      </c>
      <c r="F143" s="18" t="str">
        <f>_xlfn.XLOOKUP('01. Main'!$B143,[1]Mapping!$D:$D,[1]Mapping!$A:$A,0,0)</f>
        <v>Asadh 81</v>
      </c>
      <c r="G143" s="20">
        <f>_xlfn.XLOOKUP('01. Main'!$B143,[1]Mapping!D$2:D$24,[1]Mapping!E$2:E$24,0,0)</f>
        <v>2024</v>
      </c>
    </row>
    <row r="144" spans="1:7" x14ac:dyDescent="0.45">
      <c r="A144" s="13">
        <f>'[1]02. Matrix'!A153</f>
        <v>143</v>
      </c>
      <c r="B144" s="14">
        <f>'[1]02. Matrix'!B153</f>
        <v>21</v>
      </c>
      <c r="C144" s="14" t="str">
        <f>'[1]02. Matrix'!C153</f>
        <v>OD STAFF LOAN</v>
      </c>
      <c r="D144" s="14">
        <f>'[1]02. Matrix'!D153</f>
        <v>2</v>
      </c>
      <c r="E144" s="15">
        <f>'[1]02. Matrix'!E153</f>
        <v>0</v>
      </c>
      <c r="F144" s="14" t="str">
        <f>_xlfn.XLOOKUP('01. Main'!$B144,[1]Mapping!$D:$D,[1]Mapping!$A:$A,0,0)</f>
        <v>Asadh 81</v>
      </c>
      <c r="G144" s="16">
        <f>_xlfn.XLOOKUP('01. Main'!$B144,[1]Mapping!D$2:D$24,[1]Mapping!E$2:E$24,0,0)</f>
        <v>2024</v>
      </c>
    </row>
    <row r="145" spans="1:7" x14ac:dyDescent="0.45">
      <c r="A145" s="17">
        <f>'[1]02. Matrix'!A154</f>
        <v>144</v>
      </c>
      <c r="B145" s="18">
        <f>'[1]02. Matrix'!B154</f>
        <v>21</v>
      </c>
      <c r="C145" s="18" t="str">
        <f>'[1]02. Matrix'!C154</f>
        <v>TERM LOAN</v>
      </c>
      <c r="D145" s="18">
        <f>'[1]02. Matrix'!D154</f>
        <v>2</v>
      </c>
      <c r="E145" s="19">
        <f>'[1]02. Matrix'!E154</f>
        <v>0.15656918407788242</v>
      </c>
      <c r="F145" s="18" t="str">
        <f>_xlfn.XLOOKUP('01. Main'!$B145,[1]Mapping!$D:$D,[1]Mapping!$A:$A,0,0)</f>
        <v>Asadh 81</v>
      </c>
      <c r="G145" s="20">
        <f>_xlfn.XLOOKUP('01. Main'!$B145,[1]Mapping!D$2:D$24,[1]Mapping!E$2:E$24,0,0)</f>
        <v>2024</v>
      </c>
    </row>
    <row r="146" spans="1:7" x14ac:dyDescent="0.45">
      <c r="A146" s="13">
        <f>'[1]02. Matrix'!A155</f>
        <v>145</v>
      </c>
      <c r="B146" s="14">
        <f>'[1]02. Matrix'!B155</f>
        <v>21</v>
      </c>
      <c r="C146" s="14" t="str">
        <f>'[1]02. Matrix'!C155</f>
        <v>WC TRADING/IND LOAN</v>
      </c>
      <c r="D146" s="14">
        <f>'[1]02. Matrix'!D155</f>
        <v>2</v>
      </c>
      <c r="E146" s="15">
        <f>'[1]02. Matrix'!E155</f>
        <v>0.25447945990783827</v>
      </c>
      <c r="F146" s="14" t="str">
        <f>_xlfn.XLOOKUP('01. Main'!$B146,[1]Mapping!$D:$D,[1]Mapping!$A:$A,0,0)</f>
        <v>Asadh 81</v>
      </c>
      <c r="G146" s="16">
        <f>_xlfn.XLOOKUP('01. Main'!$B146,[1]Mapping!D$2:D$24,[1]Mapping!E$2:E$24,0,0)</f>
        <v>2024</v>
      </c>
    </row>
    <row r="147" spans="1:7" x14ac:dyDescent="0.45">
      <c r="A147" s="17">
        <f>'[1]02. Matrix'!A156</f>
        <v>146</v>
      </c>
      <c r="B147" s="18">
        <f>'[1]02. Matrix'!B156</f>
        <v>21</v>
      </c>
      <c r="C147" s="18" t="str">
        <f>'[1]02. Matrix'!C156</f>
        <v>HOUSING LOAN</v>
      </c>
      <c r="D147" s="18">
        <f>'[1]02. Matrix'!D156</f>
        <v>2</v>
      </c>
      <c r="E147" s="19">
        <f>'[1]02. Matrix'!E156</f>
        <v>0.35705716374433244</v>
      </c>
      <c r="F147" s="18" t="str">
        <f>_xlfn.XLOOKUP('01. Main'!$B147,[1]Mapping!$D:$D,[1]Mapping!$A:$A,0,0)</f>
        <v>Asadh 81</v>
      </c>
      <c r="G147" s="20">
        <f>_xlfn.XLOOKUP('01. Main'!$B147,[1]Mapping!D$2:D$24,[1]Mapping!E$2:E$24,0,0)</f>
        <v>2024</v>
      </c>
    </row>
    <row r="148" spans="1:7" x14ac:dyDescent="0.45">
      <c r="A148" s="13">
        <f>'[1]02. Matrix'!A157</f>
        <v>147</v>
      </c>
      <c r="B148" s="14">
        <f>'[1]02. Matrix'!B157</f>
        <v>21</v>
      </c>
      <c r="C148" s="14" t="str">
        <f>'[1]02. Matrix'!C157</f>
        <v>RESI REAL EST LOAN</v>
      </c>
      <c r="D148" s="14">
        <f>'[1]02. Matrix'!D157</f>
        <v>2</v>
      </c>
      <c r="E148" s="15">
        <f>'[1]02. Matrix'!E157</f>
        <v>8.1893763283625132E-2</v>
      </c>
      <c r="F148" s="14" t="str">
        <f>_xlfn.XLOOKUP('01. Main'!$B148,[1]Mapping!$D:$D,[1]Mapping!$A:$A,0,0)</f>
        <v>Asadh 81</v>
      </c>
      <c r="G148" s="16">
        <f>_xlfn.XLOOKUP('01. Main'!$B148,[1]Mapping!D$2:D$24,[1]Mapping!E$2:E$24,0,0)</f>
        <v>2024</v>
      </c>
    </row>
    <row r="149" spans="1:7" x14ac:dyDescent="0.45">
      <c r="A149" s="17">
        <f>'[1]02. Matrix'!A158</f>
        <v>148</v>
      </c>
      <c r="B149" s="18">
        <f>'[1]02. Matrix'!B158</f>
        <v>21</v>
      </c>
      <c r="C149" s="18" t="str">
        <f>'[1]02. Matrix'!C158</f>
        <v>MARGIN NATURE LOAN</v>
      </c>
      <c r="D149" s="18">
        <f>'[1]02. Matrix'!D158</f>
        <v>2</v>
      </c>
      <c r="E149" s="19">
        <f>'[1]02. Matrix'!E158</f>
        <v>0</v>
      </c>
      <c r="F149" s="18" t="str">
        <f>_xlfn.XLOOKUP('01. Main'!$B149,[1]Mapping!$D:$D,[1]Mapping!$A:$A,0,0)</f>
        <v>Asadh 81</v>
      </c>
      <c r="G149" s="20">
        <f>_xlfn.XLOOKUP('01. Main'!$B149,[1]Mapping!D$2:D$24,[1]Mapping!E$2:E$24,0,0)</f>
        <v>2024</v>
      </c>
    </row>
    <row r="150" spans="1:7" x14ac:dyDescent="0.45">
      <c r="A150" s="13">
        <f>'[1]02. Matrix'!A159</f>
        <v>149</v>
      </c>
      <c r="B150" s="14">
        <f>'[1]02. Matrix'!B159</f>
        <v>21</v>
      </c>
      <c r="C150" s="14" t="str">
        <f>'[1]02. Matrix'!C159</f>
        <v>HIRE PURCHASE LOAN</v>
      </c>
      <c r="D150" s="14">
        <f>'[1]02. Matrix'!D159</f>
        <v>2</v>
      </c>
      <c r="E150" s="15">
        <f>'[1]02. Matrix'!E159</f>
        <v>0.38579968151585775</v>
      </c>
      <c r="F150" s="14" t="str">
        <f>_xlfn.XLOOKUP('01. Main'!$B150,[1]Mapping!$D:$D,[1]Mapping!$A:$A,0,0)</f>
        <v>Asadh 81</v>
      </c>
      <c r="G150" s="16">
        <f>_xlfn.XLOOKUP('01. Main'!$B150,[1]Mapping!D$2:D$24,[1]Mapping!E$2:E$24,0,0)</f>
        <v>2024</v>
      </c>
    </row>
    <row r="151" spans="1:7" x14ac:dyDescent="0.45">
      <c r="A151" s="17">
        <f>'[1]02. Matrix'!A160</f>
        <v>150</v>
      </c>
      <c r="B151" s="18">
        <f>'[1]02. Matrix'!B160</f>
        <v>21</v>
      </c>
      <c r="C151" s="18" t="str">
        <f>'[1]02. Matrix'!C160</f>
        <v>DEPRIVED SECTOR LOAN</v>
      </c>
      <c r="D151" s="18">
        <f>'[1]02. Matrix'!D160</f>
        <v>2</v>
      </c>
      <c r="E151" s="19">
        <f>'[1]02. Matrix'!E160</f>
        <v>0.25646527008690895</v>
      </c>
      <c r="F151" s="18" t="str">
        <f>_xlfn.XLOOKUP('01. Main'!$B151,[1]Mapping!$D:$D,[1]Mapping!$A:$A,0,0)</f>
        <v>Asadh 81</v>
      </c>
      <c r="G151" s="20">
        <f>_xlfn.XLOOKUP('01. Main'!$B151,[1]Mapping!D$2:D$24,[1]Mapping!E$2:E$24,0,0)</f>
        <v>2024</v>
      </c>
    </row>
    <row r="152" spans="1:7" x14ac:dyDescent="0.45">
      <c r="A152" s="13">
        <f>'[1]02. Matrix'!A161</f>
        <v>151</v>
      </c>
      <c r="B152" s="14">
        <f>'[1]02. Matrix'!B161</f>
        <v>21</v>
      </c>
      <c r="C152" s="14" t="str">
        <f>'[1]02. Matrix'!C161</f>
        <v>EDUCATIONAL LOAN</v>
      </c>
      <c r="D152" s="14">
        <f>'[1]02. Matrix'!D161</f>
        <v>2</v>
      </c>
      <c r="E152" s="15">
        <f>'[1]02. Matrix'!E161</f>
        <v>0</v>
      </c>
      <c r="F152" s="14" t="str">
        <f>_xlfn.XLOOKUP('01. Main'!$B152,[1]Mapping!$D:$D,[1]Mapping!$A:$A,0,0)</f>
        <v>Asadh 81</v>
      </c>
      <c r="G152" s="16">
        <f>_xlfn.XLOOKUP('01. Main'!$B152,[1]Mapping!D$2:D$24,[1]Mapping!E$2:E$24,0,0)</f>
        <v>2024</v>
      </c>
    </row>
    <row r="153" spans="1:7" x14ac:dyDescent="0.45">
      <c r="A153" s="17">
        <f>'[1]02. Matrix'!A162</f>
        <v>152</v>
      </c>
      <c r="B153" s="18">
        <f>'[1]02. Matrix'!B162</f>
        <v>21</v>
      </c>
      <c r="C153" s="18" t="str">
        <f>'[1]02. Matrix'!C162</f>
        <v>AGRICULTURE LOAN</v>
      </c>
      <c r="D153" s="18">
        <f>'[1]02. Matrix'!D162</f>
        <v>2</v>
      </c>
      <c r="E153" s="19">
        <f>'[1]02. Matrix'!E162</f>
        <v>0.34808462424066772</v>
      </c>
      <c r="F153" s="18" t="str">
        <f>_xlfn.XLOOKUP('01. Main'!$B153,[1]Mapping!$D:$D,[1]Mapping!$A:$A,0,0)</f>
        <v>Asadh 81</v>
      </c>
      <c r="G153" s="20">
        <f>_xlfn.XLOOKUP('01. Main'!$B153,[1]Mapping!D$2:D$24,[1]Mapping!E$2:E$24,0,0)</f>
        <v>2024</v>
      </c>
    </row>
    <row r="154" spans="1:7" x14ac:dyDescent="0.45">
      <c r="A154" s="13">
        <f>'[1]02. Matrix'!A163</f>
        <v>153</v>
      </c>
      <c r="B154" s="14">
        <f>'[1]02. Matrix'!B163</f>
        <v>21</v>
      </c>
      <c r="C154" s="14" t="str">
        <f>'[1]02. Matrix'!C163</f>
        <v>RESI PER.HOME-EMI</v>
      </c>
      <c r="D154" s="14">
        <f>'[1]02. Matrix'!D163</f>
        <v>2</v>
      </c>
      <c r="E154" s="15">
        <f>'[1]02. Matrix'!E163</f>
        <v>0.13691179522490765</v>
      </c>
      <c r="F154" s="14" t="str">
        <f>_xlfn.XLOOKUP('01. Main'!$B154,[1]Mapping!$D:$D,[1]Mapping!$A:$A,0,0)</f>
        <v>Asadh 81</v>
      </c>
      <c r="G154" s="16">
        <f>_xlfn.XLOOKUP('01. Main'!$B154,[1]Mapping!D$2:D$24,[1]Mapping!E$2:E$24,0,0)</f>
        <v>2024</v>
      </c>
    </row>
    <row r="155" spans="1:7" x14ac:dyDescent="0.45">
      <c r="A155" s="17">
        <f>'[1]02. Matrix'!A164</f>
        <v>154</v>
      </c>
      <c r="B155" s="18">
        <f>'[1]02. Matrix'!B164</f>
        <v>21</v>
      </c>
      <c r="C155" s="18" t="str">
        <f>'[1]02. Matrix'!C164</f>
        <v>TERM LOAN - BUSINESS</v>
      </c>
      <c r="D155" s="18">
        <f>'[1]02. Matrix'!D164</f>
        <v>2</v>
      </c>
      <c r="E155" s="19">
        <f>'[1]02. Matrix'!E164</f>
        <v>0</v>
      </c>
      <c r="F155" s="18" t="str">
        <f>_xlfn.XLOOKUP('01. Main'!$B155,[1]Mapping!$D:$D,[1]Mapping!$A:$A,0,0)</f>
        <v>Asadh 81</v>
      </c>
      <c r="G155" s="20">
        <f>_xlfn.XLOOKUP('01. Main'!$B155,[1]Mapping!D$2:D$24,[1]Mapping!E$2:E$24,0,0)</f>
        <v>2024</v>
      </c>
    </row>
    <row r="156" spans="1:7" x14ac:dyDescent="0.45">
      <c r="A156" s="13">
        <f>'[1]02. Matrix'!A165</f>
        <v>155</v>
      </c>
      <c r="B156" s="14">
        <f>'[1]02. Matrix'!B165</f>
        <v>21</v>
      </c>
      <c r="C156" s="14" t="str">
        <f>'[1]02. Matrix'!C165</f>
        <v>CONS FIN BUSN TRM LO</v>
      </c>
      <c r="D156" s="14">
        <f>'[1]02. Matrix'!D165</f>
        <v>2</v>
      </c>
      <c r="E156" s="15">
        <f>'[1]02. Matrix'!E165</f>
        <v>0</v>
      </c>
      <c r="F156" s="14" t="str">
        <f>_xlfn.XLOOKUP('01. Main'!$B156,[1]Mapping!$D:$D,[1]Mapping!$A:$A,0,0)</f>
        <v>Asadh 81</v>
      </c>
      <c r="G156" s="16">
        <f>_xlfn.XLOOKUP('01. Main'!$B156,[1]Mapping!D$2:D$24,[1]Mapping!E$2:E$24,0,0)</f>
        <v>2024</v>
      </c>
    </row>
    <row r="157" spans="1:7" x14ac:dyDescent="0.45">
      <c r="A157" s="17">
        <f>'[1]02. Matrix'!A166</f>
        <v>156</v>
      </c>
      <c r="B157" s="18">
        <f>'[1]02. Matrix'!B166</f>
        <v>21</v>
      </c>
      <c r="C157" s="18" t="str">
        <f>'[1]02. Matrix'!C166</f>
        <v>BIS/PERHIRE PURCHASE</v>
      </c>
      <c r="D157" s="18">
        <f>'[1]02. Matrix'!D166</f>
        <v>2</v>
      </c>
      <c r="E157" s="19">
        <f>'[1]02. Matrix'!E166</f>
        <v>0.14276871879255654</v>
      </c>
      <c r="F157" s="18" t="str">
        <f>_xlfn.XLOOKUP('01. Main'!$B157,[1]Mapping!$D:$D,[1]Mapping!$A:$A,0,0)</f>
        <v>Asadh 81</v>
      </c>
      <c r="G157" s="20">
        <f>_xlfn.XLOOKUP('01. Main'!$B157,[1]Mapping!D$2:D$24,[1]Mapping!E$2:E$24,0,0)</f>
        <v>2024</v>
      </c>
    </row>
    <row r="158" spans="1:7" x14ac:dyDescent="0.45">
      <c r="A158" s="13">
        <f>'[1]02. Matrix'!A167</f>
        <v>157</v>
      </c>
      <c r="B158" s="14">
        <f>'[1]02. Matrix'!B167</f>
        <v>21</v>
      </c>
      <c r="C158" s="14" t="str">
        <f>'[1]02. Matrix'!C167</f>
        <v xml:space="preserve">INT CAP TERM LOAN </v>
      </c>
      <c r="D158" s="14">
        <f>'[1]02. Matrix'!D167</f>
        <v>2</v>
      </c>
      <c r="E158" s="15">
        <f>'[1]02. Matrix'!E167</f>
        <v>0</v>
      </c>
      <c r="F158" s="14" t="str">
        <f>_xlfn.XLOOKUP('01. Main'!$B158,[1]Mapping!$D:$D,[1]Mapping!$A:$A,0,0)</f>
        <v>Asadh 81</v>
      </c>
      <c r="G158" s="16">
        <f>_xlfn.XLOOKUP('01. Main'!$B158,[1]Mapping!D$2:D$24,[1]Mapping!E$2:E$24,0,0)</f>
        <v>2024</v>
      </c>
    </row>
    <row r="159" spans="1:7" x14ac:dyDescent="0.45">
      <c r="A159" s="17">
        <f>'[1]02. Matrix'!A168</f>
        <v>158</v>
      </c>
      <c r="B159" s="18">
        <f>'[1]02. Matrix'!B168</f>
        <v>21</v>
      </c>
      <c r="C159" s="18" t="str">
        <f>'[1]02. Matrix'!C168</f>
        <v>PERSONAL LOAN</v>
      </c>
      <c r="D159" s="18">
        <f>'[1]02. Matrix'!D168</f>
        <v>2</v>
      </c>
      <c r="E159" s="19">
        <f>'[1]02. Matrix'!E168</f>
        <v>0.25143303622968649</v>
      </c>
      <c r="F159" s="18" t="str">
        <f>_xlfn.XLOOKUP('01. Main'!$B159,[1]Mapping!$D:$D,[1]Mapping!$A:$A,0,0)</f>
        <v>Asadh 81</v>
      </c>
      <c r="G159" s="20">
        <f>_xlfn.XLOOKUP('01. Main'!$B159,[1]Mapping!D$2:D$24,[1]Mapping!E$2:E$24,0,0)</f>
        <v>2024</v>
      </c>
    </row>
    <row r="160" spans="1:7" x14ac:dyDescent="0.45">
      <c r="A160" s="13">
        <f>'[1]02. Matrix'!A169</f>
        <v>159</v>
      </c>
      <c r="B160" s="14">
        <f>'[1]02. Matrix'!B169</f>
        <v>21</v>
      </c>
      <c r="C160" s="14" t="str">
        <f>'[1]02. Matrix'!C169</f>
        <v>MORTGAGE LOAN</v>
      </c>
      <c r="D160" s="14">
        <f>'[1]02. Matrix'!D169</f>
        <v>2</v>
      </c>
      <c r="E160" s="15">
        <f>'[1]02. Matrix'!E169</f>
        <v>0.33184249928914611</v>
      </c>
      <c r="F160" s="14" t="str">
        <f>_xlfn.XLOOKUP('01. Main'!$B160,[1]Mapping!$D:$D,[1]Mapping!$A:$A,0,0)</f>
        <v>Asadh 81</v>
      </c>
      <c r="G160" s="16">
        <f>_xlfn.XLOOKUP('01. Main'!$B160,[1]Mapping!D$2:D$24,[1]Mapping!E$2:E$24,0,0)</f>
        <v>2024</v>
      </c>
    </row>
    <row r="161" spans="1:7" x14ac:dyDescent="0.45">
      <c r="A161" s="17">
        <f>'[1]02. Matrix'!A170</f>
        <v>160</v>
      </c>
      <c r="B161" s="18">
        <f>'[1]02. Matrix'!B170</f>
        <v>21</v>
      </c>
      <c r="C161" s="18" t="str">
        <f>'[1]02. Matrix'!C170</f>
        <v>LOAN AGAINST FDR</v>
      </c>
      <c r="D161" s="18">
        <f>'[1]02. Matrix'!D170</f>
        <v>2</v>
      </c>
      <c r="E161" s="19">
        <f>'[1]02. Matrix'!E170</f>
        <v>0</v>
      </c>
      <c r="F161" s="18" t="str">
        <f>_xlfn.XLOOKUP('01. Main'!$B161,[1]Mapping!$D:$D,[1]Mapping!$A:$A,0,0)</f>
        <v>Asadh 81</v>
      </c>
      <c r="G161" s="20">
        <f>_xlfn.XLOOKUP('01. Main'!$B161,[1]Mapping!D$2:D$24,[1]Mapping!E$2:E$24,0,0)</f>
        <v>2024</v>
      </c>
    </row>
    <row r="162" spans="1:7" x14ac:dyDescent="0.45">
      <c r="A162" s="13">
        <f>'[1]02. Matrix'!A171</f>
        <v>161</v>
      </c>
      <c r="B162" s="14">
        <f>'[1]02. Matrix'!B171</f>
        <v>21</v>
      </c>
      <c r="C162" s="14" t="str">
        <f>'[1]02. Matrix'!C171</f>
        <v>RECEIVABLE LOAN</v>
      </c>
      <c r="D162" s="14">
        <f>'[1]02. Matrix'!D171</f>
        <v>2</v>
      </c>
      <c r="E162" s="15">
        <f>'[1]02. Matrix'!E171</f>
        <v>0</v>
      </c>
      <c r="F162" s="14" t="str">
        <f>_xlfn.XLOOKUP('01. Main'!$B162,[1]Mapping!$D:$D,[1]Mapping!$A:$A,0,0)</f>
        <v>Asadh 81</v>
      </c>
      <c r="G162" s="16">
        <f>_xlfn.XLOOKUP('01. Main'!$B162,[1]Mapping!D$2:D$24,[1]Mapping!E$2:E$24,0,0)</f>
        <v>2024</v>
      </c>
    </row>
    <row r="163" spans="1:7" x14ac:dyDescent="0.45">
      <c r="A163" s="17">
        <f>'[1]02. Matrix'!A172</f>
        <v>162</v>
      </c>
      <c r="B163" s="18">
        <f>'[1]02. Matrix'!B172</f>
        <v>21</v>
      </c>
      <c r="C163" s="18" t="str">
        <f>'[1]02. Matrix'!C172</f>
        <v>STAFF LOAN</v>
      </c>
      <c r="D163" s="18">
        <f>'[1]02. Matrix'!D172</f>
        <v>2</v>
      </c>
      <c r="E163" s="19">
        <f>'[1]02. Matrix'!E172</f>
        <v>0</v>
      </c>
      <c r="F163" s="18" t="str">
        <f>_xlfn.XLOOKUP('01. Main'!$B163,[1]Mapping!$D:$D,[1]Mapping!$A:$A,0,0)</f>
        <v>Asadh 81</v>
      </c>
      <c r="G163" s="20">
        <f>_xlfn.XLOOKUP('01. Main'!$B163,[1]Mapping!D$2:D$24,[1]Mapping!E$2:E$24,0,0)</f>
        <v>2024</v>
      </c>
    </row>
    <row r="164" spans="1:7" x14ac:dyDescent="0.45">
      <c r="A164" s="13">
        <f>'[1]02. Matrix'!A173</f>
        <v>163</v>
      </c>
      <c r="B164" s="14">
        <f>'[1]02. Matrix'!B173</f>
        <v>21</v>
      </c>
      <c r="C164" s="14" t="str">
        <f>'[1]02. Matrix'!C173</f>
        <v>AGRICULTURAL LOAN</v>
      </c>
      <c r="D164" s="14">
        <f>'[1]02. Matrix'!D173</f>
        <v>2</v>
      </c>
      <c r="E164" s="15">
        <f>'[1]02. Matrix'!E173</f>
        <v>0.73945076759430672</v>
      </c>
      <c r="F164" s="14" t="str">
        <f>_xlfn.XLOOKUP('01. Main'!$B164,[1]Mapping!$D:$D,[1]Mapping!$A:$A,0,0)</f>
        <v>Asadh 81</v>
      </c>
      <c r="G164" s="16">
        <f>_xlfn.XLOOKUP('01. Main'!$B164,[1]Mapping!D$2:D$24,[1]Mapping!E$2:E$24,0,0)</f>
        <v>2024</v>
      </c>
    </row>
    <row r="165" spans="1:7" x14ac:dyDescent="0.45">
      <c r="A165" s="17">
        <f>'[1]02. Matrix'!A174</f>
        <v>164</v>
      </c>
      <c r="B165" s="18">
        <f>'[1]02. Matrix'!B174</f>
        <v>21</v>
      </c>
      <c r="C165" s="18" t="str">
        <f>'[1]02. Matrix'!C174</f>
        <v>EARTHQUAKE RELIEF LO</v>
      </c>
      <c r="D165" s="18">
        <f>'[1]02. Matrix'!D174</f>
        <v>2</v>
      </c>
      <c r="E165" s="19">
        <f>'[1]02. Matrix'!E174</f>
        <v>0</v>
      </c>
      <c r="F165" s="18" t="str">
        <f>_xlfn.XLOOKUP('01. Main'!$B165,[1]Mapping!$D:$D,[1]Mapping!$A:$A,0,0)</f>
        <v>Asadh 81</v>
      </c>
      <c r="G165" s="20">
        <f>_xlfn.XLOOKUP('01. Main'!$B165,[1]Mapping!D$2:D$24,[1]Mapping!E$2:E$24,0,0)</f>
        <v>2024</v>
      </c>
    </row>
    <row r="166" spans="1:7" x14ac:dyDescent="0.45">
      <c r="A166" s="13">
        <f>'[1]02. Matrix'!A175</f>
        <v>165</v>
      </c>
      <c r="B166" s="14">
        <f>'[1]02. Matrix'!B175</f>
        <v>21</v>
      </c>
      <c r="C166" s="14" t="str">
        <f>'[1]02. Matrix'!C175</f>
        <v>TOURISM SECTOR LOAN</v>
      </c>
      <c r="D166" s="14">
        <f>'[1]02. Matrix'!D175</f>
        <v>2</v>
      </c>
      <c r="E166" s="15">
        <f>'[1]02. Matrix'!E175</f>
        <v>0</v>
      </c>
      <c r="F166" s="14" t="str">
        <f>_xlfn.XLOOKUP('01. Main'!$B166,[1]Mapping!$D:$D,[1]Mapping!$A:$A,0,0)</f>
        <v>Asadh 81</v>
      </c>
      <c r="G166" s="16">
        <f>_xlfn.XLOOKUP('01. Main'!$B166,[1]Mapping!D$2:D$24,[1]Mapping!E$2:E$24,0,0)</f>
        <v>2024</v>
      </c>
    </row>
    <row r="167" spans="1:7" x14ac:dyDescent="0.45">
      <c r="A167" s="17">
        <f>'[1]02. Matrix'!A176</f>
        <v>166</v>
      </c>
      <c r="B167" s="18">
        <f>'[1]02. Matrix'!B176</f>
        <v>21</v>
      </c>
      <c r="C167" s="18" t="str">
        <f>'[1]02. Matrix'!C176</f>
        <v>SME LOAN</v>
      </c>
      <c r="D167" s="18">
        <f>'[1]02. Matrix'!D176</f>
        <v>2</v>
      </c>
      <c r="E167" s="19">
        <f>'[1]02. Matrix'!E176</f>
        <v>0</v>
      </c>
      <c r="F167" s="18" t="str">
        <f>_xlfn.XLOOKUP('01. Main'!$B167,[1]Mapping!$D:$D,[1]Mapping!$A:$A,0,0)</f>
        <v>Asadh 81</v>
      </c>
      <c r="G167" s="20">
        <f>_xlfn.XLOOKUP('01. Main'!$B167,[1]Mapping!D$2:D$24,[1]Mapping!E$2:E$24,0,0)</f>
        <v>2024</v>
      </c>
    </row>
    <row r="168" spans="1:7" x14ac:dyDescent="0.45">
      <c r="A168" s="13">
        <f>'[1]02. Matrix'!A177</f>
        <v>167</v>
      </c>
      <c r="B168" s="14">
        <f>'[1]02. Matrix'!B177</f>
        <v>21</v>
      </c>
      <c r="C168" s="14" t="str">
        <f>'[1]02. Matrix'!C177</f>
        <v>EDUCATIONAL LOAN EMI</v>
      </c>
      <c r="D168" s="14">
        <f>'[1]02. Matrix'!D177</f>
        <v>2</v>
      </c>
      <c r="E168" s="15">
        <f>'[1]02. Matrix'!E177</f>
        <v>0</v>
      </c>
      <c r="F168" s="14" t="str">
        <f>_xlfn.XLOOKUP('01. Main'!$B168,[1]Mapping!$D:$D,[1]Mapping!$A:$A,0,0)</f>
        <v>Asadh 81</v>
      </c>
      <c r="G168" s="16">
        <f>_xlfn.XLOOKUP('01. Main'!$B168,[1]Mapping!D$2:D$24,[1]Mapping!E$2:E$24,0,0)</f>
        <v>2024</v>
      </c>
    </row>
    <row r="169" spans="1:7" x14ac:dyDescent="0.45">
      <c r="A169" s="17">
        <f>'[1]02. Matrix'!A178</f>
        <v>168</v>
      </c>
      <c r="B169" s="18">
        <f>'[1]02. Matrix'!B178</f>
        <v>21</v>
      </c>
      <c r="C169" s="18" t="str">
        <f>'[1]02. Matrix'!C178</f>
        <v>OVERDRAFT PROFESSION</v>
      </c>
      <c r="D169" s="18">
        <f>'[1]02. Matrix'!D178</f>
        <v>2</v>
      </c>
      <c r="E169" s="19">
        <f>'[1]02. Matrix'!E178</f>
        <v>0</v>
      </c>
      <c r="F169" s="18" t="str">
        <f>_xlfn.XLOOKUP('01. Main'!$B169,[1]Mapping!$D:$D,[1]Mapping!$A:$A,0,0)</f>
        <v>Asadh 81</v>
      </c>
      <c r="G169" s="20">
        <f>_xlfn.XLOOKUP('01. Main'!$B169,[1]Mapping!D$2:D$24,[1]Mapping!E$2:E$24,0,0)</f>
        <v>2024</v>
      </c>
    </row>
    <row r="170" spans="1:7" x14ac:dyDescent="0.45">
      <c r="A170" s="13">
        <f>'[1]02. Matrix'!A179</f>
        <v>169</v>
      </c>
      <c r="B170" s="14">
        <f>'[1]02. Matrix'!B179</f>
        <v>20</v>
      </c>
      <c r="C170" s="14" t="str">
        <f>'[1]02. Matrix'!C179</f>
        <v>OD PERSONAL LOAN</v>
      </c>
      <c r="D170" s="14">
        <f>'[1]02. Matrix'!D179</f>
        <v>1</v>
      </c>
      <c r="E170" s="15">
        <f>'[1]02. Matrix'!E179</f>
        <v>0.13560894186644379</v>
      </c>
      <c r="F170" s="14" t="str">
        <f>_xlfn.XLOOKUP('01. Main'!$B170,[1]Mapping!$D:$D,[1]Mapping!$A:$A,0,0)</f>
        <v>Chaitra 80</v>
      </c>
      <c r="G170" s="16">
        <f>_xlfn.XLOOKUP('01. Main'!$B170,[1]Mapping!D$2:D$24,[1]Mapping!E$2:E$24,0,0)</f>
        <v>2024</v>
      </c>
    </row>
    <row r="171" spans="1:7" x14ac:dyDescent="0.45">
      <c r="A171" s="17">
        <f>'[1]02. Matrix'!A180</f>
        <v>170</v>
      </c>
      <c r="B171" s="18">
        <f>'[1]02. Matrix'!B180</f>
        <v>20</v>
      </c>
      <c r="C171" s="18" t="str">
        <f>'[1]02. Matrix'!C180</f>
        <v>OD BUSINESS LOAN</v>
      </c>
      <c r="D171" s="18">
        <f>'[1]02. Matrix'!D180</f>
        <v>1</v>
      </c>
      <c r="E171" s="19">
        <f>'[1]02. Matrix'!E180</f>
        <v>9.3124170899224007E-2</v>
      </c>
      <c r="F171" s="18" t="str">
        <f>_xlfn.XLOOKUP('01. Main'!$B171,[1]Mapping!$D:$D,[1]Mapping!$A:$A,0,0)</f>
        <v>Chaitra 80</v>
      </c>
      <c r="G171" s="20">
        <f>_xlfn.XLOOKUP('01. Main'!$B171,[1]Mapping!D$2:D$24,[1]Mapping!E$2:E$24,0,0)</f>
        <v>2024</v>
      </c>
    </row>
    <row r="172" spans="1:7" x14ac:dyDescent="0.45">
      <c r="A172" s="13">
        <f>'[1]02. Matrix'!A181</f>
        <v>171</v>
      </c>
      <c r="B172" s="14">
        <f>'[1]02. Matrix'!B181</f>
        <v>20</v>
      </c>
      <c r="C172" s="14" t="str">
        <f>'[1]02. Matrix'!C181</f>
        <v>OD STAFF LOAN</v>
      </c>
      <c r="D172" s="14">
        <f>'[1]02. Matrix'!D181</f>
        <v>1</v>
      </c>
      <c r="E172" s="15">
        <f>'[1]02. Matrix'!E181</f>
        <v>0</v>
      </c>
      <c r="F172" s="14" t="str">
        <f>_xlfn.XLOOKUP('01. Main'!$B172,[1]Mapping!$D:$D,[1]Mapping!$A:$A,0,0)</f>
        <v>Chaitra 80</v>
      </c>
      <c r="G172" s="16">
        <f>_xlfn.XLOOKUP('01. Main'!$B172,[1]Mapping!D$2:D$24,[1]Mapping!E$2:E$24,0,0)</f>
        <v>2024</v>
      </c>
    </row>
    <row r="173" spans="1:7" x14ac:dyDescent="0.45">
      <c r="A173" s="17">
        <f>'[1]02. Matrix'!A182</f>
        <v>172</v>
      </c>
      <c r="B173" s="18">
        <f>'[1]02. Matrix'!B182</f>
        <v>20</v>
      </c>
      <c r="C173" s="18" t="str">
        <f>'[1]02. Matrix'!C182</f>
        <v>TERM LOAN</v>
      </c>
      <c r="D173" s="18">
        <f>'[1]02. Matrix'!D182</f>
        <v>1</v>
      </c>
      <c r="E173" s="19">
        <f>'[1]02. Matrix'!E182</f>
        <v>0.22373924301568221</v>
      </c>
      <c r="F173" s="18" t="str">
        <f>_xlfn.XLOOKUP('01. Main'!$B173,[1]Mapping!$D:$D,[1]Mapping!$A:$A,0,0)</f>
        <v>Chaitra 80</v>
      </c>
      <c r="G173" s="20">
        <f>_xlfn.XLOOKUP('01. Main'!$B173,[1]Mapping!D$2:D$24,[1]Mapping!E$2:E$24,0,0)</f>
        <v>2024</v>
      </c>
    </row>
    <row r="174" spans="1:7" x14ac:dyDescent="0.45">
      <c r="A174" s="13">
        <f>'[1]02. Matrix'!A183</f>
        <v>173</v>
      </c>
      <c r="B174" s="14">
        <f>'[1]02. Matrix'!B183</f>
        <v>20</v>
      </c>
      <c r="C174" s="14" t="str">
        <f>'[1]02. Matrix'!C183</f>
        <v>WC TRADING/IND LOAN</v>
      </c>
      <c r="D174" s="14">
        <f>'[1]02. Matrix'!D183</f>
        <v>1</v>
      </c>
      <c r="E174" s="15">
        <f>'[1]02. Matrix'!E183</f>
        <v>0.30918347145708697</v>
      </c>
      <c r="F174" s="14" t="str">
        <f>_xlfn.XLOOKUP('01. Main'!$B174,[1]Mapping!$D:$D,[1]Mapping!$A:$A,0,0)</f>
        <v>Chaitra 80</v>
      </c>
      <c r="G174" s="16">
        <f>_xlfn.XLOOKUP('01. Main'!$B174,[1]Mapping!D$2:D$24,[1]Mapping!E$2:E$24,0,0)</f>
        <v>2024</v>
      </c>
    </row>
    <row r="175" spans="1:7" x14ac:dyDescent="0.45">
      <c r="A175" s="17">
        <f>'[1]02. Matrix'!A184</f>
        <v>174</v>
      </c>
      <c r="B175" s="18">
        <f>'[1]02. Matrix'!B184</f>
        <v>20</v>
      </c>
      <c r="C175" s="18" t="str">
        <f>'[1]02. Matrix'!C184</f>
        <v>HOUSING LOAN</v>
      </c>
      <c r="D175" s="18">
        <f>'[1]02. Matrix'!D184</f>
        <v>1</v>
      </c>
      <c r="E175" s="19">
        <f>'[1]02. Matrix'!E184</f>
        <v>0.15804668504198863</v>
      </c>
      <c r="F175" s="18" t="str">
        <f>_xlfn.XLOOKUP('01. Main'!$B175,[1]Mapping!$D:$D,[1]Mapping!$A:$A,0,0)</f>
        <v>Chaitra 80</v>
      </c>
      <c r="G175" s="20">
        <f>_xlfn.XLOOKUP('01. Main'!$B175,[1]Mapping!D$2:D$24,[1]Mapping!E$2:E$24,0,0)</f>
        <v>2024</v>
      </c>
    </row>
    <row r="176" spans="1:7" x14ac:dyDescent="0.45">
      <c r="A176" s="13">
        <f>'[1]02. Matrix'!A185</f>
        <v>175</v>
      </c>
      <c r="B176" s="14">
        <f>'[1]02. Matrix'!B185</f>
        <v>20</v>
      </c>
      <c r="C176" s="14" t="str">
        <f>'[1]02. Matrix'!C185</f>
        <v>RESI REAL EST LOAN</v>
      </c>
      <c r="D176" s="14">
        <f>'[1]02. Matrix'!D185</f>
        <v>1</v>
      </c>
      <c r="E176" s="15">
        <f>'[1]02. Matrix'!E185</f>
        <v>0.19328886932580022</v>
      </c>
      <c r="F176" s="14" t="str">
        <f>_xlfn.XLOOKUP('01. Main'!$B176,[1]Mapping!$D:$D,[1]Mapping!$A:$A,0,0)</f>
        <v>Chaitra 80</v>
      </c>
      <c r="G176" s="16">
        <f>_xlfn.XLOOKUP('01. Main'!$B176,[1]Mapping!D$2:D$24,[1]Mapping!E$2:E$24,0,0)</f>
        <v>2024</v>
      </c>
    </row>
    <row r="177" spans="1:7" x14ac:dyDescent="0.45">
      <c r="A177" s="17">
        <f>'[1]02. Matrix'!A186</f>
        <v>176</v>
      </c>
      <c r="B177" s="18">
        <f>'[1]02. Matrix'!B186</f>
        <v>20</v>
      </c>
      <c r="C177" s="18" t="str">
        <f>'[1]02. Matrix'!C186</f>
        <v>MARGIN NATURE LOAN</v>
      </c>
      <c r="D177" s="18">
        <f>'[1]02. Matrix'!D186</f>
        <v>1</v>
      </c>
      <c r="E177" s="19">
        <f>'[1]02. Matrix'!E186</f>
        <v>0</v>
      </c>
      <c r="F177" s="18" t="str">
        <f>_xlfn.XLOOKUP('01. Main'!$B177,[1]Mapping!$D:$D,[1]Mapping!$A:$A,0,0)</f>
        <v>Chaitra 80</v>
      </c>
      <c r="G177" s="20">
        <f>_xlfn.XLOOKUP('01. Main'!$B177,[1]Mapping!D$2:D$24,[1]Mapping!E$2:E$24,0,0)</f>
        <v>2024</v>
      </c>
    </row>
    <row r="178" spans="1:7" x14ac:dyDescent="0.45">
      <c r="A178" s="13">
        <f>'[1]02. Matrix'!A187</f>
        <v>177</v>
      </c>
      <c r="B178" s="14">
        <f>'[1]02. Matrix'!B187</f>
        <v>20</v>
      </c>
      <c r="C178" s="14" t="str">
        <f>'[1]02. Matrix'!C187</f>
        <v>HIRE PURCHASE LOAN</v>
      </c>
      <c r="D178" s="14">
        <f>'[1]02. Matrix'!D187</f>
        <v>1</v>
      </c>
      <c r="E178" s="15">
        <f>'[1]02. Matrix'!E187</f>
        <v>0.35355507257966112</v>
      </c>
      <c r="F178" s="14" t="str">
        <f>_xlfn.XLOOKUP('01. Main'!$B178,[1]Mapping!$D:$D,[1]Mapping!$A:$A,0,0)</f>
        <v>Chaitra 80</v>
      </c>
      <c r="G178" s="16">
        <f>_xlfn.XLOOKUP('01. Main'!$B178,[1]Mapping!D$2:D$24,[1]Mapping!E$2:E$24,0,0)</f>
        <v>2024</v>
      </c>
    </row>
    <row r="179" spans="1:7" x14ac:dyDescent="0.45">
      <c r="A179" s="17">
        <f>'[1]02. Matrix'!A188</f>
        <v>178</v>
      </c>
      <c r="B179" s="18">
        <f>'[1]02. Matrix'!B188</f>
        <v>20</v>
      </c>
      <c r="C179" s="18" t="str">
        <f>'[1]02. Matrix'!C188</f>
        <v>DEPRIVED SECTOR LOAN</v>
      </c>
      <c r="D179" s="18">
        <f>'[1]02. Matrix'!D188</f>
        <v>1</v>
      </c>
      <c r="E179" s="19">
        <f>'[1]02. Matrix'!E188</f>
        <v>3.3476887175885074E-3</v>
      </c>
      <c r="F179" s="18" t="str">
        <f>_xlfn.XLOOKUP('01. Main'!$B179,[1]Mapping!$D:$D,[1]Mapping!$A:$A,0,0)</f>
        <v>Chaitra 80</v>
      </c>
      <c r="G179" s="20">
        <f>_xlfn.XLOOKUP('01. Main'!$B179,[1]Mapping!D$2:D$24,[1]Mapping!E$2:E$24,0,0)</f>
        <v>2024</v>
      </c>
    </row>
    <row r="180" spans="1:7" x14ac:dyDescent="0.45">
      <c r="A180" s="13">
        <f>'[1]02. Matrix'!A189</f>
        <v>179</v>
      </c>
      <c r="B180" s="14">
        <f>'[1]02. Matrix'!B189</f>
        <v>20</v>
      </c>
      <c r="C180" s="14" t="str">
        <f>'[1]02. Matrix'!C189</f>
        <v>EDUCATIONAL LOAN</v>
      </c>
      <c r="D180" s="14">
        <f>'[1]02. Matrix'!D189</f>
        <v>1</v>
      </c>
      <c r="E180" s="15">
        <f>'[1]02. Matrix'!E189</f>
        <v>0</v>
      </c>
      <c r="F180" s="14" t="str">
        <f>_xlfn.XLOOKUP('01. Main'!$B180,[1]Mapping!$D:$D,[1]Mapping!$A:$A,0,0)</f>
        <v>Chaitra 80</v>
      </c>
      <c r="G180" s="16">
        <f>_xlfn.XLOOKUP('01. Main'!$B180,[1]Mapping!D$2:D$24,[1]Mapping!E$2:E$24,0,0)</f>
        <v>2024</v>
      </c>
    </row>
    <row r="181" spans="1:7" x14ac:dyDescent="0.45">
      <c r="A181" s="17">
        <f>'[1]02. Matrix'!A190</f>
        <v>180</v>
      </c>
      <c r="B181" s="18">
        <f>'[1]02. Matrix'!B190</f>
        <v>20</v>
      </c>
      <c r="C181" s="18" t="str">
        <f>'[1]02. Matrix'!C190</f>
        <v>AGRICULTURE LOAN</v>
      </c>
      <c r="D181" s="18">
        <f>'[1]02. Matrix'!D190</f>
        <v>1</v>
      </c>
      <c r="E181" s="19">
        <f>'[1]02. Matrix'!E190</f>
        <v>0.23058020026408518</v>
      </c>
      <c r="F181" s="18" t="str">
        <f>_xlfn.XLOOKUP('01. Main'!$B181,[1]Mapping!$D:$D,[1]Mapping!$A:$A,0,0)</f>
        <v>Chaitra 80</v>
      </c>
      <c r="G181" s="20">
        <f>_xlfn.XLOOKUP('01. Main'!$B181,[1]Mapping!D$2:D$24,[1]Mapping!E$2:E$24,0,0)</f>
        <v>2024</v>
      </c>
    </row>
    <row r="182" spans="1:7" x14ac:dyDescent="0.45">
      <c r="A182" s="13">
        <f>'[1]02. Matrix'!A191</f>
        <v>181</v>
      </c>
      <c r="B182" s="14">
        <f>'[1]02. Matrix'!B191</f>
        <v>20</v>
      </c>
      <c r="C182" s="14" t="str">
        <f>'[1]02. Matrix'!C191</f>
        <v>RESI PER.HOME-EMI</v>
      </c>
      <c r="D182" s="14">
        <f>'[1]02. Matrix'!D191</f>
        <v>1</v>
      </c>
      <c r="E182" s="15">
        <f>'[1]02. Matrix'!E191</f>
        <v>7.7130445039635495E-2</v>
      </c>
      <c r="F182" s="14" t="str">
        <f>_xlfn.XLOOKUP('01. Main'!$B182,[1]Mapping!$D:$D,[1]Mapping!$A:$A,0,0)</f>
        <v>Chaitra 80</v>
      </c>
      <c r="G182" s="16">
        <f>_xlfn.XLOOKUP('01. Main'!$B182,[1]Mapping!D$2:D$24,[1]Mapping!E$2:E$24,0,0)</f>
        <v>2024</v>
      </c>
    </row>
    <row r="183" spans="1:7" x14ac:dyDescent="0.45">
      <c r="A183" s="17">
        <f>'[1]02. Matrix'!A192</f>
        <v>182</v>
      </c>
      <c r="B183" s="18">
        <f>'[1]02. Matrix'!B192</f>
        <v>20</v>
      </c>
      <c r="C183" s="18" t="str">
        <f>'[1]02. Matrix'!C192</f>
        <v>TERM LOAN - BUSINESS</v>
      </c>
      <c r="D183" s="18">
        <f>'[1]02. Matrix'!D192</f>
        <v>1</v>
      </c>
      <c r="E183" s="19">
        <f>'[1]02. Matrix'!E192</f>
        <v>1.8361436110444929E-2</v>
      </c>
      <c r="F183" s="18" t="str">
        <f>_xlfn.XLOOKUP('01. Main'!$B183,[1]Mapping!$D:$D,[1]Mapping!$A:$A,0,0)</f>
        <v>Chaitra 80</v>
      </c>
      <c r="G183" s="20">
        <f>_xlfn.XLOOKUP('01. Main'!$B183,[1]Mapping!D$2:D$24,[1]Mapping!E$2:E$24,0,0)</f>
        <v>2024</v>
      </c>
    </row>
    <row r="184" spans="1:7" x14ac:dyDescent="0.45">
      <c r="A184" s="13">
        <f>'[1]02. Matrix'!A193</f>
        <v>183</v>
      </c>
      <c r="B184" s="14">
        <f>'[1]02. Matrix'!B193</f>
        <v>20</v>
      </c>
      <c r="C184" s="14" t="str">
        <f>'[1]02. Matrix'!C193</f>
        <v>CONS FIN BUSN TRM LO</v>
      </c>
      <c r="D184" s="14">
        <f>'[1]02. Matrix'!D193</f>
        <v>1</v>
      </c>
      <c r="E184" s="15">
        <f>'[1]02. Matrix'!E193</f>
        <v>0</v>
      </c>
      <c r="F184" s="14" t="str">
        <f>_xlfn.XLOOKUP('01. Main'!$B184,[1]Mapping!$D:$D,[1]Mapping!$A:$A,0,0)</f>
        <v>Chaitra 80</v>
      </c>
      <c r="G184" s="16">
        <f>_xlfn.XLOOKUP('01. Main'!$B184,[1]Mapping!D$2:D$24,[1]Mapping!E$2:E$24,0,0)</f>
        <v>2024</v>
      </c>
    </row>
    <row r="185" spans="1:7" x14ac:dyDescent="0.45">
      <c r="A185" s="17">
        <f>'[1]02. Matrix'!A194</f>
        <v>184</v>
      </c>
      <c r="B185" s="18">
        <f>'[1]02. Matrix'!B194</f>
        <v>20</v>
      </c>
      <c r="C185" s="18" t="str">
        <f>'[1]02. Matrix'!C194</f>
        <v>BIS/PERHIRE PURCHASE</v>
      </c>
      <c r="D185" s="18">
        <f>'[1]02. Matrix'!D194</f>
        <v>1</v>
      </c>
      <c r="E185" s="19">
        <f>'[1]02. Matrix'!E194</f>
        <v>0.34312557545472194</v>
      </c>
      <c r="F185" s="18" t="str">
        <f>_xlfn.XLOOKUP('01. Main'!$B185,[1]Mapping!$D:$D,[1]Mapping!$A:$A,0,0)</f>
        <v>Chaitra 80</v>
      </c>
      <c r="G185" s="20">
        <f>_xlfn.XLOOKUP('01. Main'!$B185,[1]Mapping!D$2:D$24,[1]Mapping!E$2:E$24,0,0)</f>
        <v>2024</v>
      </c>
    </row>
    <row r="186" spans="1:7" x14ac:dyDescent="0.45">
      <c r="A186" s="13">
        <f>'[1]02. Matrix'!A195</f>
        <v>185</v>
      </c>
      <c r="B186" s="14">
        <f>'[1]02. Matrix'!B195</f>
        <v>20</v>
      </c>
      <c r="C186" s="14" t="str">
        <f>'[1]02. Matrix'!C195</f>
        <v xml:space="preserve">INT CAP TERM LOAN </v>
      </c>
      <c r="D186" s="14">
        <f>'[1]02. Matrix'!D195</f>
        <v>1</v>
      </c>
      <c r="E186" s="15">
        <f>'[1]02. Matrix'!E195</f>
        <v>0</v>
      </c>
      <c r="F186" s="14" t="str">
        <f>_xlfn.XLOOKUP('01. Main'!$B186,[1]Mapping!$D:$D,[1]Mapping!$A:$A,0,0)</f>
        <v>Chaitra 80</v>
      </c>
      <c r="G186" s="16">
        <f>_xlfn.XLOOKUP('01. Main'!$B186,[1]Mapping!D$2:D$24,[1]Mapping!E$2:E$24,0,0)</f>
        <v>2024</v>
      </c>
    </row>
    <row r="187" spans="1:7" x14ac:dyDescent="0.45">
      <c r="A187" s="17">
        <f>'[1]02. Matrix'!A196</f>
        <v>186</v>
      </c>
      <c r="B187" s="18">
        <f>'[1]02. Matrix'!B196</f>
        <v>20</v>
      </c>
      <c r="C187" s="18" t="str">
        <f>'[1]02. Matrix'!C196</f>
        <v>PERSONAL LOAN</v>
      </c>
      <c r="D187" s="18">
        <f>'[1]02. Matrix'!D196</f>
        <v>1</v>
      </c>
      <c r="E187" s="19">
        <f>'[1]02. Matrix'!E196</f>
        <v>0.17132330333363938</v>
      </c>
      <c r="F187" s="18" t="str">
        <f>_xlfn.XLOOKUP('01. Main'!$B187,[1]Mapping!$D:$D,[1]Mapping!$A:$A,0,0)</f>
        <v>Chaitra 80</v>
      </c>
      <c r="G187" s="20">
        <f>_xlfn.XLOOKUP('01. Main'!$B187,[1]Mapping!D$2:D$24,[1]Mapping!E$2:E$24,0,0)</f>
        <v>2024</v>
      </c>
    </row>
    <row r="188" spans="1:7" x14ac:dyDescent="0.45">
      <c r="A188" s="13">
        <f>'[1]02. Matrix'!A197</f>
        <v>187</v>
      </c>
      <c r="B188" s="14">
        <f>'[1]02. Matrix'!B197</f>
        <v>20</v>
      </c>
      <c r="C188" s="14" t="str">
        <f>'[1]02. Matrix'!C197</f>
        <v>MORTGAGE LOAN</v>
      </c>
      <c r="D188" s="14">
        <f>'[1]02. Matrix'!D197</f>
        <v>1</v>
      </c>
      <c r="E188" s="15">
        <f>'[1]02. Matrix'!E197</f>
        <v>9.2405366794877708E-2</v>
      </c>
      <c r="F188" s="14" t="str">
        <f>_xlfn.XLOOKUP('01. Main'!$B188,[1]Mapping!$D:$D,[1]Mapping!$A:$A,0,0)</f>
        <v>Chaitra 80</v>
      </c>
      <c r="G188" s="16">
        <f>_xlfn.XLOOKUP('01. Main'!$B188,[1]Mapping!D$2:D$24,[1]Mapping!E$2:E$24,0,0)</f>
        <v>2024</v>
      </c>
    </row>
    <row r="189" spans="1:7" x14ac:dyDescent="0.45">
      <c r="A189" s="17">
        <f>'[1]02. Matrix'!A198</f>
        <v>188</v>
      </c>
      <c r="B189" s="18">
        <f>'[1]02. Matrix'!B198</f>
        <v>20</v>
      </c>
      <c r="C189" s="18" t="str">
        <f>'[1]02. Matrix'!C198</f>
        <v>LOAN AGAINST FDR</v>
      </c>
      <c r="D189" s="18">
        <f>'[1]02. Matrix'!D198</f>
        <v>1</v>
      </c>
      <c r="E189" s="19">
        <f>'[1]02. Matrix'!E198</f>
        <v>0</v>
      </c>
      <c r="F189" s="18" t="str">
        <f>_xlfn.XLOOKUP('01. Main'!$B189,[1]Mapping!$D:$D,[1]Mapping!$A:$A,0,0)</f>
        <v>Chaitra 80</v>
      </c>
      <c r="G189" s="20">
        <f>_xlfn.XLOOKUP('01. Main'!$B189,[1]Mapping!D$2:D$24,[1]Mapping!E$2:E$24,0,0)</f>
        <v>2024</v>
      </c>
    </row>
    <row r="190" spans="1:7" x14ac:dyDescent="0.45">
      <c r="A190" s="13">
        <f>'[1]02. Matrix'!A199</f>
        <v>189</v>
      </c>
      <c r="B190" s="14">
        <f>'[1]02. Matrix'!B199</f>
        <v>20</v>
      </c>
      <c r="C190" s="14" t="str">
        <f>'[1]02. Matrix'!C199</f>
        <v>RECEIVABLE LOAN</v>
      </c>
      <c r="D190" s="14">
        <f>'[1]02. Matrix'!D199</f>
        <v>1</v>
      </c>
      <c r="E190" s="15">
        <f>'[1]02. Matrix'!E199</f>
        <v>5.1890962850575886E-2</v>
      </c>
      <c r="F190" s="14" t="str">
        <f>_xlfn.XLOOKUP('01. Main'!$B190,[1]Mapping!$D:$D,[1]Mapping!$A:$A,0,0)</f>
        <v>Chaitra 80</v>
      </c>
      <c r="G190" s="16">
        <f>_xlfn.XLOOKUP('01. Main'!$B190,[1]Mapping!D$2:D$24,[1]Mapping!E$2:E$24,0,0)</f>
        <v>2024</v>
      </c>
    </row>
    <row r="191" spans="1:7" x14ac:dyDescent="0.45">
      <c r="A191" s="17">
        <f>'[1]02. Matrix'!A200</f>
        <v>190</v>
      </c>
      <c r="B191" s="18">
        <f>'[1]02. Matrix'!B200</f>
        <v>20</v>
      </c>
      <c r="C191" s="18" t="str">
        <f>'[1]02. Matrix'!C200</f>
        <v>STAFF LOAN</v>
      </c>
      <c r="D191" s="18">
        <f>'[1]02. Matrix'!D200</f>
        <v>1</v>
      </c>
      <c r="E191" s="19">
        <f>'[1]02. Matrix'!E200</f>
        <v>0</v>
      </c>
      <c r="F191" s="18" t="str">
        <f>_xlfn.XLOOKUP('01. Main'!$B191,[1]Mapping!$D:$D,[1]Mapping!$A:$A,0,0)</f>
        <v>Chaitra 80</v>
      </c>
      <c r="G191" s="20">
        <f>_xlfn.XLOOKUP('01. Main'!$B191,[1]Mapping!D$2:D$24,[1]Mapping!E$2:E$24,0,0)</f>
        <v>2024</v>
      </c>
    </row>
    <row r="192" spans="1:7" x14ac:dyDescent="0.45">
      <c r="A192" s="13">
        <f>'[1]02. Matrix'!A201</f>
        <v>191</v>
      </c>
      <c r="B192" s="14">
        <f>'[1]02. Matrix'!B201</f>
        <v>20</v>
      </c>
      <c r="C192" s="14" t="str">
        <f>'[1]02. Matrix'!C201</f>
        <v>AGRICULTURAL LOAN</v>
      </c>
      <c r="D192" s="14">
        <f>'[1]02. Matrix'!D201</f>
        <v>1</v>
      </c>
      <c r="E192" s="15">
        <f>'[1]02. Matrix'!E201</f>
        <v>0</v>
      </c>
      <c r="F192" s="14" t="str">
        <f>_xlfn.XLOOKUP('01. Main'!$B192,[1]Mapping!$D:$D,[1]Mapping!$A:$A,0,0)</f>
        <v>Chaitra 80</v>
      </c>
      <c r="G192" s="16">
        <f>_xlfn.XLOOKUP('01. Main'!$B192,[1]Mapping!D$2:D$24,[1]Mapping!E$2:E$24,0,0)</f>
        <v>2024</v>
      </c>
    </row>
    <row r="193" spans="1:7" x14ac:dyDescent="0.45">
      <c r="A193" s="17">
        <f>'[1]02. Matrix'!A202</f>
        <v>192</v>
      </c>
      <c r="B193" s="18">
        <f>'[1]02. Matrix'!B202</f>
        <v>20</v>
      </c>
      <c r="C193" s="18" t="str">
        <f>'[1]02. Matrix'!C202</f>
        <v>EARTHQUAKE RELIEF LO</v>
      </c>
      <c r="D193" s="18">
        <f>'[1]02. Matrix'!D202</f>
        <v>1</v>
      </c>
      <c r="E193" s="19">
        <f>'[1]02. Matrix'!E202</f>
        <v>0</v>
      </c>
      <c r="F193" s="18" t="str">
        <f>_xlfn.XLOOKUP('01. Main'!$B193,[1]Mapping!$D:$D,[1]Mapping!$A:$A,0,0)</f>
        <v>Chaitra 80</v>
      </c>
      <c r="G193" s="20">
        <f>_xlfn.XLOOKUP('01. Main'!$B193,[1]Mapping!D$2:D$24,[1]Mapping!E$2:E$24,0,0)</f>
        <v>2024</v>
      </c>
    </row>
    <row r="194" spans="1:7" x14ac:dyDescent="0.45">
      <c r="A194" s="13">
        <f>'[1]02. Matrix'!A203</f>
        <v>193</v>
      </c>
      <c r="B194" s="14">
        <f>'[1]02. Matrix'!B203</f>
        <v>20</v>
      </c>
      <c r="C194" s="14" t="str">
        <f>'[1]02. Matrix'!C203</f>
        <v>TOURISM SECTOR LOAN</v>
      </c>
      <c r="D194" s="14">
        <f>'[1]02. Matrix'!D203</f>
        <v>1</v>
      </c>
      <c r="E194" s="15">
        <f>'[1]02. Matrix'!E203</f>
        <v>0</v>
      </c>
      <c r="F194" s="14" t="str">
        <f>_xlfn.XLOOKUP('01. Main'!$B194,[1]Mapping!$D:$D,[1]Mapping!$A:$A,0,0)</f>
        <v>Chaitra 80</v>
      </c>
      <c r="G194" s="16">
        <f>_xlfn.XLOOKUP('01. Main'!$B194,[1]Mapping!D$2:D$24,[1]Mapping!E$2:E$24,0,0)</f>
        <v>2024</v>
      </c>
    </row>
    <row r="195" spans="1:7" x14ac:dyDescent="0.45">
      <c r="A195" s="17">
        <f>'[1]02. Matrix'!A204</f>
        <v>194</v>
      </c>
      <c r="B195" s="18">
        <f>'[1]02. Matrix'!B204</f>
        <v>20</v>
      </c>
      <c r="C195" s="18" t="str">
        <f>'[1]02. Matrix'!C204</f>
        <v>SME LOAN</v>
      </c>
      <c r="D195" s="18">
        <f>'[1]02. Matrix'!D204</f>
        <v>1</v>
      </c>
      <c r="E195" s="19">
        <f>'[1]02. Matrix'!E204</f>
        <v>0</v>
      </c>
      <c r="F195" s="18" t="str">
        <f>_xlfn.XLOOKUP('01. Main'!$B195,[1]Mapping!$D:$D,[1]Mapping!$A:$A,0,0)</f>
        <v>Chaitra 80</v>
      </c>
      <c r="G195" s="20">
        <f>_xlfn.XLOOKUP('01. Main'!$B195,[1]Mapping!D$2:D$24,[1]Mapping!E$2:E$24,0,0)</f>
        <v>2024</v>
      </c>
    </row>
    <row r="196" spans="1:7" x14ac:dyDescent="0.45">
      <c r="A196" s="13">
        <f>'[1]02. Matrix'!A205</f>
        <v>195</v>
      </c>
      <c r="B196" s="14">
        <f>'[1]02. Matrix'!B205</f>
        <v>20</v>
      </c>
      <c r="C196" s="14" t="str">
        <f>'[1]02. Matrix'!C205</f>
        <v>EDUCATIONAL LOAN EMI</v>
      </c>
      <c r="D196" s="14">
        <f>'[1]02. Matrix'!D205</f>
        <v>1</v>
      </c>
      <c r="E196" s="15">
        <f>'[1]02. Matrix'!E205</f>
        <v>0</v>
      </c>
      <c r="F196" s="14" t="str">
        <f>_xlfn.XLOOKUP('01. Main'!$B196,[1]Mapping!$D:$D,[1]Mapping!$A:$A,0,0)</f>
        <v>Chaitra 80</v>
      </c>
      <c r="G196" s="16">
        <f>_xlfn.XLOOKUP('01. Main'!$B196,[1]Mapping!D$2:D$24,[1]Mapping!E$2:E$24,0,0)</f>
        <v>2024</v>
      </c>
    </row>
    <row r="197" spans="1:7" x14ac:dyDescent="0.45">
      <c r="A197" s="17">
        <f>'[1]02. Matrix'!A206</f>
        <v>196</v>
      </c>
      <c r="B197" s="18">
        <f>'[1]02. Matrix'!B206</f>
        <v>20</v>
      </c>
      <c r="C197" s="18" t="str">
        <f>'[1]02. Matrix'!C206</f>
        <v>OVERDRAFT PROFESSION</v>
      </c>
      <c r="D197" s="18">
        <f>'[1]02. Matrix'!D206</f>
        <v>1</v>
      </c>
      <c r="E197" s="19">
        <f>'[1]02. Matrix'!E206</f>
        <v>0</v>
      </c>
      <c r="F197" s="18" t="str">
        <f>_xlfn.XLOOKUP('01. Main'!$B197,[1]Mapping!$D:$D,[1]Mapping!$A:$A,0,0)</f>
        <v>Chaitra 80</v>
      </c>
      <c r="G197" s="20">
        <f>_xlfn.XLOOKUP('01. Main'!$B197,[1]Mapping!D$2:D$24,[1]Mapping!E$2:E$24,0,0)</f>
        <v>2024</v>
      </c>
    </row>
    <row r="198" spans="1:7" x14ac:dyDescent="0.45">
      <c r="A198" s="13">
        <f>'[1]02. Matrix'!A207</f>
        <v>197</v>
      </c>
      <c r="B198" s="14">
        <f>'[1]02. Matrix'!B207</f>
        <v>20</v>
      </c>
      <c r="C198" s="14" t="str">
        <f>'[1]02. Matrix'!C207</f>
        <v>OD PERSONAL LOAN</v>
      </c>
      <c r="D198" s="14">
        <f>'[1]02. Matrix'!D207</f>
        <v>2</v>
      </c>
      <c r="E198" s="15">
        <f>'[1]02. Matrix'!E207</f>
        <v>0.57822000317118905</v>
      </c>
      <c r="F198" s="14" t="str">
        <f>_xlfn.XLOOKUP('01. Main'!$B198,[1]Mapping!$D:$D,[1]Mapping!$A:$A,0,0)</f>
        <v>Chaitra 80</v>
      </c>
      <c r="G198" s="16">
        <f>_xlfn.XLOOKUP('01. Main'!$B198,[1]Mapping!D$2:D$24,[1]Mapping!E$2:E$24,0,0)</f>
        <v>2024</v>
      </c>
    </row>
    <row r="199" spans="1:7" x14ac:dyDescent="0.45">
      <c r="A199" s="17">
        <f>'[1]02. Matrix'!A208</f>
        <v>198</v>
      </c>
      <c r="B199" s="18">
        <f>'[1]02. Matrix'!B208</f>
        <v>20</v>
      </c>
      <c r="C199" s="18" t="str">
        <f>'[1]02. Matrix'!C208</f>
        <v>OD BUSINESS LOAN</v>
      </c>
      <c r="D199" s="18">
        <f>'[1]02. Matrix'!D208</f>
        <v>2</v>
      </c>
      <c r="E199" s="19">
        <f>'[1]02. Matrix'!E208</f>
        <v>0.5356626345153741</v>
      </c>
      <c r="F199" s="18" t="str">
        <f>_xlfn.XLOOKUP('01. Main'!$B199,[1]Mapping!$D:$D,[1]Mapping!$A:$A,0,0)</f>
        <v>Chaitra 80</v>
      </c>
      <c r="G199" s="20">
        <f>_xlfn.XLOOKUP('01. Main'!$B199,[1]Mapping!D$2:D$24,[1]Mapping!E$2:E$24,0,0)</f>
        <v>2024</v>
      </c>
    </row>
    <row r="200" spans="1:7" x14ac:dyDescent="0.45">
      <c r="A200" s="13">
        <f>'[1]02. Matrix'!A209</f>
        <v>199</v>
      </c>
      <c r="B200" s="14">
        <f>'[1]02. Matrix'!B209</f>
        <v>20</v>
      </c>
      <c r="C200" s="14" t="str">
        <f>'[1]02. Matrix'!C209</f>
        <v>OD STAFF LOAN</v>
      </c>
      <c r="D200" s="14">
        <f>'[1]02. Matrix'!D209</f>
        <v>2</v>
      </c>
      <c r="E200" s="15">
        <f>'[1]02. Matrix'!E209</f>
        <v>0</v>
      </c>
      <c r="F200" s="14" t="str">
        <f>_xlfn.XLOOKUP('01. Main'!$B200,[1]Mapping!$D:$D,[1]Mapping!$A:$A,0,0)</f>
        <v>Chaitra 80</v>
      </c>
      <c r="G200" s="16">
        <f>_xlfn.XLOOKUP('01. Main'!$B200,[1]Mapping!D$2:D$24,[1]Mapping!E$2:E$24,0,0)</f>
        <v>2024</v>
      </c>
    </row>
    <row r="201" spans="1:7" x14ac:dyDescent="0.45">
      <c r="A201" s="17">
        <f>'[1]02. Matrix'!A210</f>
        <v>200</v>
      </c>
      <c r="B201" s="18">
        <f>'[1]02. Matrix'!B210</f>
        <v>20</v>
      </c>
      <c r="C201" s="18" t="str">
        <f>'[1]02. Matrix'!C210</f>
        <v>TERM LOAN</v>
      </c>
      <c r="D201" s="18">
        <f>'[1]02. Matrix'!D210</f>
        <v>2</v>
      </c>
      <c r="E201" s="19">
        <f>'[1]02. Matrix'!E210</f>
        <v>0.61494886095745915</v>
      </c>
      <c r="F201" s="18" t="str">
        <f>_xlfn.XLOOKUP('01. Main'!$B201,[1]Mapping!$D:$D,[1]Mapping!$A:$A,0,0)</f>
        <v>Chaitra 80</v>
      </c>
      <c r="G201" s="20">
        <f>_xlfn.XLOOKUP('01. Main'!$B201,[1]Mapping!D$2:D$24,[1]Mapping!E$2:E$24,0,0)</f>
        <v>2024</v>
      </c>
    </row>
    <row r="202" spans="1:7" x14ac:dyDescent="0.45">
      <c r="A202" s="13">
        <f>'[1]02. Matrix'!A211</f>
        <v>201</v>
      </c>
      <c r="B202" s="14">
        <f>'[1]02. Matrix'!B211</f>
        <v>20</v>
      </c>
      <c r="C202" s="14" t="str">
        <f>'[1]02. Matrix'!C211</f>
        <v>WC TRADING/IND LOAN</v>
      </c>
      <c r="D202" s="14">
        <f>'[1]02. Matrix'!D211</f>
        <v>2</v>
      </c>
      <c r="E202" s="15">
        <f>'[1]02. Matrix'!E211</f>
        <v>0.81350714670694879</v>
      </c>
      <c r="F202" s="14" t="str">
        <f>_xlfn.XLOOKUP('01. Main'!$B202,[1]Mapping!$D:$D,[1]Mapping!$A:$A,0,0)</f>
        <v>Chaitra 80</v>
      </c>
      <c r="G202" s="16">
        <f>_xlfn.XLOOKUP('01. Main'!$B202,[1]Mapping!D$2:D$24,[1]Mapping!E$2:E$24,0,0)</f>
        <v>2024</v>
      </c>
    </row>
    <row r="203" spans="1:7" x14ac:dyDescent="0.45">
      <c r="A203" s="17">
        <f>'[1]02. Matrix'!A212</f>
        <v>202</v>
      </c>
      <c r="B203" s="18">
        <f>'[1]02. Matrix'!B212</f>
        <v>20</v>
      </c>
      <c r="C203" s="18" t="str">
        <f>'[1]02. Matrix'!C212</f>
        <v>HOUSING LOAN</v>
      </c>
      <c r="D203" s="18">
        <f>'[1]02. Matrix'!D212</f>
        <v>2</v>
      </c>
      <c r="E203" s="19">
        <f>'[1]02. Matrix'!E212</f>
        <v>0.42679379682116869</v>
      </c>
      <c r="F203" s="18" t="str">
        <f>_xlfn.XLOOKUP('01. Main'!$B203,[1]Mapping!$D:$D,[1]Mapping!$A:$A,0,0)</f>
        <v>Chaitra 80</v>
      </c>
      <c r="G203" s="20">
        <f>_xlfn.XLOOKUP('01. Main'!$B203,[1]Mapping!D$2:D$24,[1]Mapping!E$2:E$24,0,0)</f>
        <v>2024</v>
      </c>
    </row>
    <row r="204" spans="1:7" x14ac:dyDescent="0.45">
      <c r="A204" s="13">
        <f>'[1]02. Matrix'!A213</f>
        <v>203</v>
      </c>
      <c r="B204" s="14">
        <f>'[1]02. Matrix'!B213</f>
        <v>20</v>
      </c>
      <c r="C204" s="14" t="str">
        <f>'[1]02. Matrix'!C213</f>
        <v>RESI REAL EST LOAN</v>
      </c>
      <c r="D204" s="14">
        <f>'[1]02. Matrix'!D213</f>
        <v>2</v>
      </c>
      <c r="E204" s="15">
        <f>'[1]02. Matrix'!E213</f>
        <v>0.98706966990971379</v>
      </c>
      <c r="F204" s="14" t="str">
        <f>_xlfn.XLOOKUP('01. Main'!$B204,[1]Mapping!$D:$D,[1]Mapping!$A:$A,0,0)</f>
        <v>Chaitra 80</v>
      </c>
      <c r="G204" s="16">
        <f>_xlfn.XLOOKUP('01. Main'!$B204,[1]Mapping!D$2:D$24,[1]Mapping!E$2:E$24,0,0)</f>
        <v>2024</v>
      </c>
    </row>
    <row r="205" spans="1:7" x14ac:dyDescent="0.45">
      <c r="A205" s="17">
        <f>'[1]02. Matrix'!A214</f>
        <v>204</v>
      </c>
      <c r="B205" s="18">
        <f>'[1]02. Matrix'!B214</f>
        <v>20</v>
      </c>
      <c r="C205" s="18" t="str">
        <f>'[1]02. Matrix'!C214</f>
        <v>MARGIN NATURE LOAN</v>
      </c>
      <c r="D205" s="18">
        <f>'[1]02. Matrix'!D214</f>
        <v>2</v>
      </c>
      <c r="E205" s="19">
        <f>'[1]02. Matrix'!E214</f>
        <v>0</v>
      </c>
      <c r="F205" s="18" t="str">
        <f>_xlfn.XLOOKUP('01. Main'!$B205,[1]Mapping!$D:$D,[1]Mapping!$A:$A,0,0)</f>
        <v>Chaitra 80</v>
      </c>
      <c r="G205" s="20">
        <f>_xlfn.XLOOKUP('01. Main'!$B205,[1]Mapping!D$2:D$24,[1]Mapping!E$2:E$24,0,0)</f>
        <v>2024</v>
      </c>
    </row>
    <row r="206" spans="1:7" x14ac:dyDescent="0.45">
      <c r="A206" s="13">
        <f>'[1]02. Matrix'!A215</f>
        <v>205</v>
      </c>
      <c r="B206" s="14">
        <f>'[1]02. Matrix'!B215</f>
        <v>20</v>
      </c>
      <c r="C206" s="14" t="str">
        <f>'[1]02. Matrix'!C215</f>
        <v>HIRE PURCHASE LOAN</v>
      </c>
      <c r="D206" s="14">
        <f>'[1]02. Matrix'!D215</f>
        <v>2</v>
      </c>
      <c r="E206" s="15">
        <f>'[1]02. Matrix'!E215</f>
        <v>0.85431584217378231</v>
      </c>
      <c r="F206" s="14" t="str">
        <f>_xlfn.XLOOKUP('01. Main'!$B206,[1]Mapping!$D:$D,[1]Mapping!$A:$A,0,0)</f>
        <v>Chaitra 80</v>
      </c>
      <c r="G206" s="16">
        <f>_xlfn.XLOOKUP('01. Main'!$B206,[1]Mapping!D$2:D$24,[1]Mapping!E$2:E$24,0,0)</f>
        <v>2024</v>
      </c>
    </row>
    <row r="207" spans="1:7" x14ac:dyDescent="0.45">
      <c r="A207" s="17">
        <f>'[1]02. Matrix'!A216</f>
        <v>206</v>
      </c>
      <c r="B207" s="18">
        <f>'[1]02. Matrix'!B216</f>
        <v>20</v>
      </c>
      <c r="C207" s="18" t="str">
        <f>'[1]02. Matrix'!C216</f>
        <v>DEPRIVED SECTOR LOAN</v>
      </c>
      <c r="D207" s="18">
        <f>'[1]02. Matrix'!D216</f>
        <v>2</v>
      </c>
      <c r="E207" s="19">
        <f>'[1]02. Matrix'!E216</f>
        <v>0.79160363529383382</v>
      </c>
      <c r="F207" s="18" t="str">
        <f>_xlfn.XLOOKUP('01. Main'!$B207,[1]Mapping!$D:$D,[1]Mapping!$A:$A,0,0)</f>
        <v>Chaitra 80</v>
      </c>
      <c r="G207" s="20">
        <f>_xlfn.XLOOKUP('01. Main'!$B207,[1]Mapping!D$2:D$24,[1]Mapping!E$2:E$24,0,0)</f>
        <v>2024</v>
      </c>
    </row>
    <row r="208" spans="1:7" x14ac:dyDescent="0.45">
      <c r="A208" s="13">
        <f>'[1]02. Matrix'!A217</f>
        <v>207</v>
      </c>
      <c r="B208" s="14">
        <f>'[1]02. Matrix'!B217</f>
        <v>20</v>
      </c>
      <c r="C208" s="14" t="str">
        <f>'[1]02. Matrix'!C217</f>
        <v>EDUCATIONAL LOAN</v>
      </c>
      <c r="D208" s="14">
        <f>'[1]02. Matrix'!D217</f>
        <v>2</v>
      </c>
      <c r="E208" s="15">
        <f>'[1]02. Matrix'!E217</f>
        <v>0</v>
      </c>
      <c r="F208" s="14" t="str">
        <f>_xlfn.XLOOKUP('01. Main'!$B208,[1]Mapping!$D:$D,[1]Mapping!$A:$A,0,0)</f>
        <v>Chaitra 80</v>
      </c>
      <c r="G208" s="16">
        <f>_xlfn.XLOOKUP('01. Main'!$B208,[1]Mapping!D$2:D$24,[1]Mapping!E$2:E$24,0,0)</f>
        <v>2024</v>
      </c>
    </row>
    <row r="209" spans="1:7" x14ac:dyDescent="0.45">
      <c r="A209" s="17">
        <f>'[1]02. Matrix'!A218</f>
        <v>208</v>
      </c>
      <c r="B209" s="18">
        <f>'[1]02. Matrix'!B218</f>
        <v>20</v>
      </c>
      <c r="C209" s="18" t="str">
        <f>'[1]02. Matrix'!C218</f>
        <v>AGRICULTURE LOAN</v>
      </c>
      <c r="D209" s="18">
        <f>'[1]02. Matrix'!D218</f>
        <v>2</v>
      </c>
      <c r="E209" s="19">
        <f>'[1]02. Matrix'!E218</f>
        <v>0.75908817735479994</v>
      </c>
      <c r="F209" s="18" t="str">
        <f>_xlfn.XLOOKUP('01. Main'!$B209,[1]Mapping!$D:$D,[1]Mapping!$A:$A,0,0)</f>
        <v>Chaitra 80</v>
      </c>
      <c r="G209" s="20">
        <f>_xlfn.XLOOKUP('01. Main'!$B209,[1]Mapping!D$2:D$24,[1]Mapping!E$2:E$24,0,0)</f>
        <v>2024</v>
      </c>
    </row>
    <row r="210" spans="1:7" x14ac:dyDescent="0.45">
      <c r="A210" s="13">
        <f>'[1]02. Matrix'!A219</f>
        <v>209</v>
      </c>
      <c r="B210" s="14">
        <f>'[1]02. Matrix'!B219</f>
        <v>20</v>
      </c>
      <c r="C210" s="14" t="str">
        <f>'[1]02. Matrix'!C219</f>
        <v>RESI PER.HOME-EMI</v>
      </c>
      <c r="D210" s="14">
        <f>'[1]02. Matrix'!D219</f>
        <v>2</v>
      </c>
      <c r="E210" s="15">
        <f>'[1]02. Matrix'!E219</f>
        <v>0.1410123142849882</v>
      </c>
      <c r="F210" s="14" t="str">
        <f>_xlfn.XLOOKUP('01. Main'!$B210,[1]Mapping!$D:$D,[1]Mapping!$A:$A,0,0)</f>
        <v>Chaitra 80</v>
      </c>
      <c r="G210" s="16">
        <f>_xlfn.XLOOKUP('01. Main'!$B210,[1]Mapping!D$2:D$24,[1]Mapping!E$2:E$24,0,0)</f>
        <v>2024</v>
      </c>
    </row>
    <row r="211" spans="1:7" x14ac:dyDescent="0.45">
      <c r="A211" s="17">
        <f>'[1]02. Matrix'!A220</f>
        <v>210</v>
      </c>
      <c r="B211" s="18">
        <f>'[1]02. Matrix'!B220</f>
        <v>20</v>
      </c>
      <c r="C211" s="18" t="str">
        <f>'[1]02. Matrix'!C220</f>
        <v>TERM LOAN - BUSINESS</v>
      </c>
      <c r="D211" s="18">
        <f>'[1]02. Matrix'!D220</f>
        <v>2</v>
      </c>
      <c r="E211" s="19">
        <f>'[1]02. Matrix'!E220</f>
        <v>0.49862861152737853</v>
      </c>
      <c r="F211" s="18" t="str">
        <f>_xlfn.XLOOKUP('01. Main'!$B211,[1]Mapping!$D:$D,[1]Mapping!$A:$A,0,0)</f>
        <v>Chaitra 80</v>
      </c>
      <c r="G211" s="20">
        <f>_xlfn.XLOOKUP('01. Main'!$B211,[1]Mapping!D$2:D$24,[1]Mapping!E$2:E$24,0,0)</f>
        <v>2024</v>
      </c>
    </row>
    <row r="212" spans="1:7" x14ac:dyDescent="0.45">
      <c r="A212" s="13">
        <f>'[1]02. Matrix'!A221</f>
        <v>211</v>
      </c>
      <c r="B212" s="14">
        <f>'[1]02. Matrix'!B221</f>
        <v>20</v>
      </c>
      <c r="C212" s="14" t="str">
        <f>'[1]02. Matrix'!C221</f>
        <v>CONS FIN BUSN TRM LO</v>
      </c>
      <c r="D212" s="14">
        <f>'[1]02. Matrix'!D221</f>
        <v>2</v>
      </c>
      <c r="E212" s="15">
        <f>'[1]02. Matrix'!E221</f>
        <v>0</v>
      </c>
      <c r="F212" s="14" t="str">
        <f>_xlfn.XLOOKUP('01. Main'!$B212,[1]Mapping!$D:$D,[1]Mapping!$A:$A,0,0)</f>
        <v>Chaitra 80</v>
      </c>
      <c r="G212" s="16">
        <f>_xlfn.XLOOKUP('01. Main'!$B212,[1]Mapping!D$2:D$24,[1]Mapping!E$2:E$24,0,0)</f>
        <v>2024</v>
      </c>
    </row>
    <row r="213" spans="1:7" x14ac:dyDescent="0.45">
      <c r="A213" s="17">
        <f>'[1]02. Matrix'!A222</f>
        <v>212</v>
      </c>
      <c r="B213" s="18">
        <f>'[1]02. Matrix'!B222</f>
        <v>20</v>
      </c>
      <c r="C213" s="18" t="str">
        <f>'[1]02. Matrix'!C222</f>
        <v>BIS/PERHIRE PURCHASE</v>
      </c>
      <c r="D213" s="18">
        <f>'[1]02. Matrix'!D222</f>
        <v>2</v>
      </c>
      <c r="E213" s="19">
        <f>'[1]02. Matrix'!E222</f>
        <v>0.60913548767263426</v>
      </c>
      <c r="F213" s="18" t="str">
        <f>_xlfn.XLOOKUP('01. Main'!$B213,[1]Mapping!$D:$D,[1]Mapping!$A:$A,0,0)</f>
        <v>Chaitra 80</v>
      </c>
      <c r="G213" s="20">
        <f>_xlfn.XLOOKUP('01. Main'!$B213,[1]Mapping!D$2:D$24,[1]Mapping!E$2:E$24,0,0)</f>
        <v>2024</v>
      </c>
    </row>
    <row r="214" spans="1:7" x14ac:dyDescent="0.45">
      <c r="A214" s="13">
        <f>'[1]02. Matrix'!A223</f>
        <v>213</v>
      </c>
      <c r="B214" s="14">
        <f>'[1]02. Matrix'!B223</f>
        <v>20</v>
      </c>
      <c r="C214" s="14" t="str">
        <f>'[1]02. Matrix'!C223</f>
        <v xml:space="preserve">INT CAP TERM LOAN </v>
      </c>
      <c r="D214" s="14">
        <f>'[1]02. Matrix'!D223</f>
        <v>2</v>
      </c>
      <c r="E214" s="15">
        <f>'[1]02. Matrix'!E223</f>
        <v>0</v>
      </c>
      <c r="F214" s="14" t="str">
        <f>_xlfn.XLOOKUP('01. Main'!$B214,[1]Mapping!$D:$D,[1]Mapping!$A:$A,0,0)</f>
        <v>Chaitra 80</v>
      </c>
      <c r="G214" s="16">
        <f>_xlfn.XLOOKUP('01. Main'!$B214,[1]Mapping!D$2:D$24,[1]Mapping!E$2:E$24,0,0)</f>
        <v>2024</v>
      </c>
    </row>
    <row r="215" spans="1:7" x14ac:dyDescent="0.45">
      <c r="A215" s="17">
        <f>'[1]02. Matrix'!A224</f>
        <v>214</v>
      </c>
      <c r="B215" s="18">
        <f>'[1]02. Matrix'!B224</f>
        <v>20</v>
      </c>
      <c r="C215" s="18" t="str">
        <f>'[1]02. Matrix'!C224</f>
        <v>PERSONAL LOAN</v>
      </c>
      <c r="D215" s="18">
        <f>'[1]02. Matrix'!D224</f>
        <v>2</v>
      </c>
      <c r="E215" s="19">
        <f>'[1]02. Matrix'!E224</f>
        <v>0.32390185462103555</v>
      </c>
      <c r="F215" s="18" t="str">
        <f>_xlfn.XLOOKUP('01. Main'!$B215,[1]Mapping!$D:$D,[1]Mapping!$A:$A,0,0)</f>
        <v>Chaitra 80</v>
      </c>
      <c r="G215" s="20">
        <f>_xlfn.XLOOKUP('01. Main'!$B215,[1]Mapping!D$2:D$24,[1]Mapping!E$2:E$24,0,0)</f>
        <v>2024</v>
      </c>
    </row>
    <row r="216" spans="1:7" x14ac:dyDescent="0.45">
      <c r="A216" s="13">
        <f>'[1]02. Matrix'!A225</f>
        <v>215</v>
      </c>
      <c r="B216" s="14">
        <f>'[1]02. Matrix'!B225</f>
        <v>20</v>
      </c>
      <c r="C216" s="14" t="str">
        <f>'[1]02. Matrix'!C225</f>
        <v>MORTGAGE LOAN</v>
      </c>
      <c r="D216" s="14">
        <f>'[1]02. Matrix'!D225</f>
        <v>2</v>
      </c>
      <c r="E216" s="15">
        <f>'[1]02. Matrix'!E225</f>
        <v>0.18175977026195164</v>
      </c>
      <c r="F216" s="14" t="str">
        <f>_xlfn.XLOOKUP('01. Main'!$B216,[1]Mapping!$D:$D,[1]Mapping!$A:$A,0,0)</f>
        <v>Chaitra 80</v>
      </c>
      <c r="G216" s="16">
        <f>_xlfn.XLOOKUP('01. Main'!$B216,[1]Mapping!D$2:D$24,[1]Mapping!E$2:E$24,0,0)</f>
        <v>2024</v>
      </c>
    </row>
    <row r="217" spans="1:7" x14ac:dyDescent="0.45">
      <c r="A217" s="17">
        <f>'[1]02. Matrix'!A226</f>
        <v>216</v>
      </c>
      <c r="B217" s="18">
        <f>'[1]02. Matrix'!B226</f>
        <v>20</v>
      </c>
      <c r="C217" s="18" t="str">
        <f>'[1]02. Matrix'!C226</f>
        <v>LOAN AGAINST FDR</v>
      </c>
      <c r="D217" s="18">
        <f>'[1]02. Matrix'!D226</f>
        <v>2</v>
      </c>
      <c r="E217" s="19">
        <f>'[1]02. Matrix'!E226</f>
        <v>0</v>
      </c>
      <c r="F217" s="18" t="str">
        <f>_xlfn.XLOOKUP('01. Main'!$B217,[1]Mapping!$D:$D,[1]Mapping!$A:$A,0,0)</f>
        <v>Chaitra 80</v>
      </c>
      <c r="G217" s="20">
        <f>_xlfn.XLOOKUP('01. Main'!$B217,[1]Mapping!D$2:D$24,[1]Mapping!E$2:E$24,0,0)</f>
        <v>2024</v>
      </c>
    </row>
    <row r="218" spans="1:7" x14ac:dyDescent="0.45">
      <c r="A218" s="13">
        <f>'[1]02. Matrix'!A227</f>
        <v>217</v>
      </c>
      <c r="B218" s="14">
        <f>'[1]02. Matrix'!B227</f>
        <v>20</v>
      </c>
      <c r="C218" s="14" t="str">
        <f>'[1]02. Matrix'!C227</f>
        <v>RECEIVABLE LOAN</v>
      </c>
      <c r="D218" s="14">
        <f>'[1]02. Matrix'!D227</f>
        <v>2</v>
      </c>
      <c r="E218" s="15">
        <f>'[1]02. Matrix'!E227</f>
        <v>0</v>
      </c>
      <c r="F218" s="14" t="str">
        <f>_xlfn.XLOOKUP('01. Main'!$B218,[1]Mapping!$D:$D,[1]Mapping!$A:$A,0,0)</f>
        <v>Chaitra 80</v>
      </c>
      <c r="G218" s="16">
        <f>_xlfn.XLOOKUP('01. Main'!$B218,[1]Mapping!D$2:D$24,[1]Mapping!E$2:E$24,0,0)</f>
        <v>2024</v>
      </c>
    </row>
    <row r="219" spans="1:7" x14ac:dyDescent="0.45">
      <c r="A219" s="17">
        <f>'[1]02. Matrix'!A228</f>
        <v>218</v>
      </c>
      <c r="B219" s="18">
        <f>'[1]02. Matrix'!B228</f>
        <v>20</v>
      </c>
      <c r="C219" s="18" t="str">
        <f>'[1]02. Matrix'!C228</f>
        <v>STAFF LOAN</v>
      </c>
      <c r="D219" s="18">
        <f>'[1]02. Matrix'!D228</f>
        <v>2</v>
      </c>
      <c r="E219" s="19">
        <f>'[1]02. Matrix'!E228</f>
        <v>0</v>
      </c>
      <c r="F219" s="18" t="str">
        <f>_xlfn.XLOOKUP('01. Main'!$B219,[1]Mapping!$D:$D,[1]Mapping!$A:$A,0,0)</f>
        <v>Chaitra 80</v>
      </c>
      <c r="G219" s="20">
        <f>_xlfn.XLOOKUP('01. Main'!$B219,[1]Mapping!D$2:D$24,[1]Mapping!E$2:E$24,0,0)</f>
        <v>2024</v>
      </c>
    </row>
    <row r="220" spans="1:7" x14ac:dyDescent="0.45">
      <c r="A220" s="13">
        <f>'[1]02. Matrix'!A229</f>
        <v>219</v>
      </c>
      <c r="B220" s="14">
        <f>'[1]02. Matrix'!B229</f>
        <v>20</v>
      </c>
      <c r="C220" s="14" t="str">
        <f>'[1]02. Matrix'!C229</f>
        <v>AGRICULTURAL LOAN</v>
      </c>
      <c r="D220" s="14">
        <f>'[1]02. Matrix'!D229</f>
        <v>2</v>
      </c>
      <c r="E220" s="15">
        <f>'[1]02. Matrix'!E229</f>
        <v>0</v>
      </c>
      <c r="F220" s="14" t="str">
        <f>_xlfn.XLOOKUP('01. Main'!$B220,[1]Mapping!$D:$D,[1]Mapping!$A:$A,0,0)</f>
        <v>Chaitra 80</v>
      </c>
      <c r="G220" s="16">
        <f>_xlfn.XLOOKUP('01. Main'!$B220,[1]Mapping!D$2:D$24,[1]Mapping!E$2:E$24,0,0)</f>
        <v>2024</v>
      </c>
    </row>
    <row r="221" spans="1:7" x14ac:dyDescent="0.45">
      <c r="A221" s="17">
        <f>'[1]02. Matrix'!A230</f>
        <v>220</v>
      </c>
      <c r="B221" s="18">
        <f>'[1]02. Matrix'!B230</f>
        <v>20</v>
      </c>
      <c r="C221" s="18" t="str">
        <f>'[1]02. Matrix'!C230</f>
        <v>EARTHQUAKE RELIEF LO</v>
      </c>
      <c r="D221" s="18">
        <f>'[1]02. Matrix'!D230</f>
        <v>2</v>
      </c>
      <c r="E221" s="19">
        <f>'[1]02. Matrix'!E230</f>
        <v>0</v>
      </c>
      <c r="F221" s="18" t="str">
        <f>_xlfn.XLOOKUP('01. Main'!$B221,[1]Mapping!$D:$D,[1]Mapping!$A:$A,0,0)</f>
        <v>Chaitra 80</v>
      </c>
      <c r="G221" s="20">
        <f>_xlfn.XLOOKUP('01. Main'!$B221,[1]Mapping!D$2:D$24,[1]Mapping!E$2:E$24,0,0)</f>
        <v>2024</v>
      </c>
    </row>
    <row r="222" spans="1:7" x14ac:dyDescent="0.45">
      <c r="A222" s="13">
        <f>'[1]02. Matrix'!A231</f>
        <v>221</v>
      </c>
      <c r="B222" s="14">
        <f>'[1]02. Matrix'!B231</f>
        <v>20</v>
      </c>
      <c r="C222" s="14" t="str">
        <f>'[1]02. Matrix'!C231</f>
        <v>TOURISM SECTOR LOAN</v>
      </c>
      <c r="D222" s="14">
        <f>'[1]02. Matrix'!D231</f>
        <v>2</v>
      </c>
      <c r="E222" s="15">
        <f>'[1]02. Matrix'!E231</f>
        <v>0</v>
      </c>
      <c r="F222" s="14" t="str">
        <f>_xlfn.XLOOKUP('01. Main'!$B222,[1]Mapping!$D:$D,[1]Mapping!$A:$A,0,0)</f>
        <v>Chaitra 80</v>
      </c>
      <c r="G222" s="16">
        <f>_xlfn.XLOOKUP('01. Main'!$B222,[1]Mapping!D$2:D$24,[1]Mapping!E$2:E$24,0,0)</f>
        <v>2024</v>
      </c>
    </row>
    <row r="223" spans="1:7" x14ac:dyDescent="0.45">
      <c r="A223" s="17">
        <f>'[1]02. Matrix'!A232</f>
        <v>222</v>
      </c>
      <c r="B223" s="18">
        <f>'[1]02. Matrix'!B232</f>
        <v>20</v>
      </c>
      <c r="C223" s="18" t="str">
        <f>'[1]02. Matrix'!C232</f>
        <v>SME LOAN</v>
      </c>
      <c r="D223" s="18">
        <f>'[1]02. Matrix'!D232</f>
        <v>2</v>
      </c>
      <c r="E223" s="19">
        <f>'[1]02. Matrix'!E232</f>
        <v>0</v>
      </c>
      <c r="F223" s="18" t="str">
        <f>_xlfn.XLOOKUP('01. Main'!$B223,[1]Mapping!$D:$D,[1]Mapping!$A:$A,0,0)</f>
        <v>Chaitra 80</v>
      </c>
      <c r="G223" s="20">
        <f>_xlfn.XLOOKUP('01. Main'!$B223,[1]Mapping!D$2:D$24,[1]Mapping!E$2:E$24,0,0)</f>
        <v>2024</v>
      </c>
    </row>
    <row r="224" spans="1:7" x14ac:dyDescent="0.45">
      <c r="A224" s="13">
        <f>'[1]02. Matrix'!A233</f>
        <v>223</v>
      </c>
      <c r="B224" s="14">
        <f>'[1]02. Matrix'!B233</f>
        <v>20</v>
      </c>
      <c r="C224" s="14" t="str">
        <f>'[1]02. Matrix'!C233</f>
        <v>EDUCATIONAL LOAN EMI</v>
      </c>
      <c r="D224" s="14">
        <f>'[1]02. Matrix'!D233</f>
        <v>2</v>
      </c>
      <c r="E224" s="15">
        <f>'[1]02. Matrix'!E233</f>
        <v>0</v>
      </c>
      <c r="F224" s="14" t="str">
        <f>_xlfn.XLOOKUP('01. Main'!$B224,[1]Mapping!$D:$D,[1]Mapping!$A:$A,0,0)</f>
        <v>Chaitra 80</v>
      </c>
      <c r="G224" s="16">
        <f>_xlfn.XLOOKUP('01. Main'!$B224,[1]Mapping!D$2:D$24,[1]Mapping!E$2:E$24,0,0)</f>
        <v>2024</v>
      </c>
    </row>
    <row r="225" spans="1:7" x14ac:dyDescent="0.45">
      <c r="A225" s="17">
        <f>'[1]02. Matrix'!A234</f>
        <v>224</v>
      </c>
      <c r="B225" s="18">
        <f>'[1]02. Matrix'!B234</f>
        <v>20</v>
      </c>
      <c r="C225" s="18" t="str">
        <f>'[1]02. Matrix'!C234</f>
        <v>OVERDRAFT PROFESSION</v>
      </c>
      <c r="D225" s="18">
        <f>'[1]02. Matrix'!D234</f>
        <v>2</v>
      </c>
      <c r="E225" s="19">
        <f>'[1]02. Matrix'!E234</f>
        <v>0</v>
      </c>
      <c r="F225" s="18" t="str">
        <f>_xlfn.XLOOKUP('01. Main'!$B225,[1]Mapping!$D:$D,[1]Mapping!$A:$A,0,0)</f>
        <v>Chaitra 80</v>
      </c>
      <c r="G225" s="20">
        <f>_xlfn.XLOOKUP('01. Main'!$B225,[1]Mapping!D$2:D$24,[1]Mapping!E$2:E$24,0,0)</f>
        <v>2024</v>
      </c>
    </row>
    <row r="226" spans="1:7" x14ac:dyDescent="0.45">
      <c r="A226" s="13">
        <f>'[1]02. Matrix'!A235</f>
        <v>225</v>
      </c>
      <c r="B226" s="14">
        <f>'[1]02. Matrix'!B235</f>
        <v>19</v>
      </c>
      <c r="C226" s="14" t="str">
        <f>'[1]02. Matrix'!C235</f>
        <v>OD PERSONAL LOAN</v>
      </c>
      <c r="D226" s="14">
        <f>'[1]02. Matrix'!D235</f>
        <v>1</v>
      </c>
      <c r="E226" s="15">
        <f>'[1]02. Matrix'!E235</f>
        <v>0.24855209889701646</v>
      </c>
      <c r="F226" s="14" t="str">
        <f>_xlfn.XLOOKUP('01. Main'!$B226,[1]Mapping!$D:$D,[1]Mapping!$A:$A,0,0)</f>
        <v>Poush 80</v>
      </c>
      <c r="G226" s="16">
        <f>_xlfn.XLOOKUP('01. Main'!$B226,[1]Mapping!D$2:D$24,[1]Mapping!E$2:E$24,0,0)</f>
        <v>2023</v>
      </c>
    </row>
    <row r="227" spans="1:7" x14ac:dyDescent="0.45">
      <c r="A227" s="17">
        <f>'[1]02. Matrix'!A236</f>
        <v>226</v>
      </c>
      <c r="B227" s="18">
        <f>'[1]02. Matrix'!B236</f>
        <v>19</v>
      </c>
      <c r="C227" s="18" t="str">
        <f>'[1]02. Matrix'!C236</f>
        <v>OD BUSINESS LOAN</v>
      </c>
      <c r="D227" s="18">
        <f>'[1]02. Matrix'!D236</f>
        <v>1</v>
      </c>
      <c r="E227" s="19">
        <f>'[1]02. Matrix'!E236</f>
        <v>0.13986063032117141</v>
      </c>
      <c r="F227" s="18" t="str">
        <f>_xlfn.XLOOKUP('01. Main'!$B227,[1]Mapping!$D:$D,[1]Mapping!$A:$A,0,0)</f>
        <v>Poush 80</v>
      </c>
      <c r="G227" s="20">
        <f>_xlfn.XLOOKUP('01. Main'!$B227,[1]Mapping!D$2:D$24,[1]Mapping!E$2:E$24,0,0)</f>
        <v>2023</v>
      </c>
    </row>
    <row r="228" spans="1:7" x14ac:dyDescent="0.45">
      <c r="A228" s="13">
        <f>'[1]02. Matrix'!A237</f>
        <v>227</v>
      </c>
      <c r="B228" s="14">
        <f>'[1]02. Matrix'!B237</f>
        <v>19</v>
      </c>
      <c r="C228" s="14" t="str">
        <f>'[1]02. Matrix'!C237</f>
        <v>OD STAFF LOAN</v>
      </c>
      <c r="D228" s="14">
        <f>'[1]02. Matrix'!D237</f>
        <v>1</v>
      </c>
      <c r="E228" s="15">
        <f>'[1]02. Matrix'!E237</f>
        <v>0</v>
      </c>
      <c r="F228" s="14" t="str">
        <f>_xlfn.XLOOKUP('01. Main'!$B228,[1]Mapping!$D:$D,[1]Mapping!$A:$A,0,0)</f>
        <v>Poush 80</v>
      </c>
      <c r="G228" s="16">
        <f>_xlfn.XLOOKUP('01. Main'!$B228,[1]Mapping!D$2:D$24,[1]Mapping!E$2:E$24,0,0)</f>
        <v>2023</v>
      </c>
    </row>
    <row r="229" spans="1:7" x14ac:dyDescent="0.45">
      <c r="A229" s="17">
        <f>'[1]02. Matrix'!A238</f>
        <v>228</v>
      </c>
      <c r="B229" s="18">
        <f>'[1]02. Matrix'!B238</f>
        <v>19</v>
      </c>
      <c r="C229" s="18" t="str">
        <f>'[1]02. Matrix'!C238</f>
        <v>TERM LOAN</v>
      </c>
      <c r="D229" s="18">
        <f>'[1]02. Matrix'!D238</f>
        <v>1</v>
      </c>
      <c r="E229" s="19">
        <f>'[1]02. Matrix'!E238</f>
        <v>0.13215414863259209</v>
      </c>
      <c r="F229" s="18" t="str">
        <f>_xlfn.XLOOKUP('01. Main'!$B229,[1]Mapping!$D:$D,[1]Mapping!$A:$A,0,0)</f>
        <v>Poush 80</v>
      </c>
      <c r="G229" s="20">
        <f>_xlfn.XLOOKUP('01. Main'!$B229,[1]Mapping!D$2:D$24,[1]Mapping!E$2:E$24,0,0)</f>
        <v>2023</v>
      </c>
    </row>
    <row r="230" spans="1:7" x14ac:dyDescent="0.45">
      <c r="A230" s="13">
        <f>'[1]02. Matrix'!A239</f>
        <v>229</v>
      </c>
      <c r="B230" s="14">
        <f>'[1]02. Matrix'!B239</f>
        <v>19</v>
      </c>
      <c r="C230" s="14" t="str">
        <f>'[1]02. Matrix'!C239</f>
        <v>WC TRADING/IND LOAN</v>
      </c>
      <c r="D230" s="14">
        <f>'[1]02. Matrix'!D239</f>
        <v>1</v>
      </c>
      <c r="E230" s="15">
        <f>'[1]02. Matrix'!E239</f>
        <v>0.33017545741837506</v>
      </c>
      <c r="F230" s="14" t="str">
        <f>_xlfn.XLOOKUP('01. Main'!$B230,[1]Mapping!$D:$D,[1]Mapping!$A:$A,0,0)</f>
        <v>Poush 80</v>
      </c>
      <c r="G230" s="16">
        <f>_xlfn.XLOOKUP('01. Main'!$B230,[1]Mapping!D$2:D$24,[1]Mapping!E$2:E$24,0,0)</f>
        <v>2023</v>
      </c>
    </row>
    <row r="231" spans="1:7" x14ac:dyDescent="0.45">
      <c r="A231" s="17">
        <f>'[1]02. Matrix'!A240</f>
        <v>230</v>
      </c>
      <c r="B231" s="18">
        <f>'[1]02. Matrix'!B240</f>
        <v>19</v>
      </c>
      <c r="C231" s="18" t="str">
        <f>'[1]02. Matrix'!C240</f>
        <v>HOUSING LOAN</v>
      </c>
      <c r="D231" s="18">
        <f>'[1]02. Matrix'!D240</f>
        <v>1</v>
      </c>
      <c r="E231" s="19">
        <f>'[1]02. Matrix'!E240</f>
        <v>0.18365449655914115</v>
      </c>
      <c r="F231" s="18" t="str">
        <f>_xlfn.XLOOKUP('01. Main'!$B231,[1]Mapping!$D:$D,[1]Mapping!$A:$A,0,0)</f>
        <v>Poush 80</v>
      </c>
      <c r="G231" s="20">
        <f>_xlfn.XLOOKUP('01. Main'!$B231,[1]Mapping!D$2:D$24,[1]Mapping!E$2:E$24,0,0)</f>
        <v>2023</v>
      </c>
    </row>
    <row r="232" spans="1:7" x14ac:dyDescent="0.45">
      <c r="A232" s="13">
        <f>'[1]02. Matrix'!A241</f>
        <v>231</v>
      </c>
      <c r="B232" s="14">
        <f>'[1]02. Matrix'!B241</f>
        <v>19</v>
      </c>
      <c r="C232" s="14" t="str">
        <f>'[1]02. Matrix'!C241</f>
        <v>RESI REAL EST LOAN</v>
      </c>
      <c r="D232" s="14">
        <f>'[1]02. Matrix'!D241</f>
        <v>1</v>
      </c>
      <c r="E232" s="15">
        <f>'[1]02. Matrix'!E241</f>
        <v>6.2855123336410412E-2</v>
      </c>
      <c r="F232" s="14" t="str">
        <f>_xlfn.XLOOKUP('01. Main'!$B232,[1]Mapping!$D:$D,[1]Mapping!$A:$A,0,0)</f>
        <v>Poush 80</v>
      </c>
      <c r="G232" s="16">
        <f>_xlfn.XLOOKUP('01. Main'!$B232,[1]Mapping!D$2:D$24,[1]Mapping!E$2:E$24,0,0)</f>
        <v>2023</v>
      </c>
    </row>
    <row r="233" spans="1:7" x14ac:dyDescent="0.45">
      <c r="A233" s="17">
        <f>'[1]02. Matrix'!A242</f>
        <v>232</v>
      </c>
      <c r="B233" s="18">
        <f>'[1]02. Matrix'!B242</f>
        <v>19</v>
      </c>
      <c r="C233" s="18" t="str">
        <f>'[1]02. Matrix'!C242</f>
        <v>MARGIN NATURE LOAN</v>
      </c>
      <c r="D233" s="18">
        <f>'[1]02. Matrix'!D242</f>
        <v>1</v>
      </c>
      <c r="E233" s="19">
        <f>'[1]02. Matrix'!E242</f>
        <v>0</v>
      </c>
      <c r="F233" s="18" t="str">
        <f>_xlfn.XLOOKUP('01. Main'!$B233,[1]Mapping!$D:$D,[1]Mapping!$A:$A,0,0)</f>
        <v>Poush 80</v>
      </c>
      <c r="G233" s="20">
        <f>_xlfn.XLOOKUP('01. Main'!$B233,[1]Mapping!D$2:D$24,[1]Mapping!E$2:E$24,0,0)</f>
        <v>2023</v>
      </c>
    </row>
    <row r="234" spans="1:7" x14ac:dyDescent="0.45">
      <c r="A234" s="13">
        <f>'[1]02. Matrix'!A243</f>
        <v>233</v>
      </c>
      <c r="B234" s="14">
        <f>'[1]02. Matrix'!B243</f>
        <v>19</v>
      </c>
      <c r="C234" s="14" t="str">
        <f>'[1]02. Matrix'!C243</f>
        <v>HIRE PURCHASE LOAN</v>
      </c>
      <c r="D234" s="14">
        <f>'[1]02. Matrix'!D243</f>
        <v>1</v>
      </c>
      <c r="E234" s="15">
        <f>'[1]02. Matrix'!E243</f>
        <v>0.29428334042869797</v>
      </c>
      <c r="F234" s="14" t="str">
        <f>_xlfn.XLOOKUP('01. Main'!$B234,[1]Mapping!$D:$D,[1]Mapping!$A:$A,0,0)</f>
        <v>Poush 80</v>
      </c>
      <c r="G234" s="16">
        <f>_xlfn.XLOOKUP('01. Main'!$B234,[1]Mapping!D$2:D$24,[1]Mapping!E$2:E$24,0,0)</f>
        <v>2023</v>
      </c>
    </row>
    <row r="235" spans="1:7" x14ac:dyDescent="0.45">
      <c r="A235" s="17">
        <f>'[1]02. Matrix'!A244</f>
        <v>234</v>
      </c>
      <c r="B235" s="18">
        <f>'[1]02. Matrix'!B244</f>
        <v>19</v>
      </c>
      <c r="C235" s="18" t="str">
        <f>'[1]02. Matrix'!C244</f>
        <v>DEPRIVED SECTOR LOAN</v>
      </c>
      <c r="D235" s="18">
        <f>'[1]02. Matrix'!D244</f>
        <v>1</v>
      </c>
      <c r="E235" s="19">
        <f>'[1]02. Matrix'!E244</f>
        <v>1.3412929094780885E-2</v>
      </c>
      <c r="F235" s="18" t="str">
        <f>_xlfn.XLOOKUP('01. Main'!$B235,[1]Mapping!$D:$D,[1]Mapping!$A:$A,0,0)</f>
        <v>Poush 80</v>
      </c>
      <c r="G235" s="20">
        <f>_xlfn.XLOOKUP('01. Main'!$B235,[1]Mapping!D$2:D$24,[1]Mapping!E$2:E$24,0,0)</f>
        <v>2023</v>
      </c>
    </row>
    <row r="236" spans="1:7" x14ac:dyDescent="0.45">
      <c r="A236" s="13">
        <f>'[1]02. Matrix'!A245</f>
        <v>235</v>
      </c>
      <c r="B236" s="14">
        <f>'[1]02. Matrix'!B245</f>
        <v>19</v>
      </c>
      <c r="C236" s="14" t="str">
        <f>'[1]02. Matrix'!C245</f>
        <v>EDUCATIONAL LOAN</v>
      </c>
      <c r="D236" s="14">
        <f>'[1]02. Matrix'!D245</f>
        <v>1</v>
      </c>
      <c r="E236" s="15">
        <f>'[1]02. Matrix'!E245</f>
        <v>0</v>
      </c>
      <c r="F236" s="14" t="str">
        <f>_xlfn.XLOOKUP('01. Main'!$B236,[1]Mapping!$D:$D,[1]Mapping!$A:$A,0,0)</f>
        <v>Poush 80</v>
      </c>
      <c r="G236" s="16">
        <f>_xlfn.XLOOKUP('01. Main'!$B236,[1]Mapping!D$2:D$24,[1]Mapping!E$2:E$24,0,0)</f>
        <v>2023</v>
      </c>
    </row>
    <row r="237" spans="1:7" x14ac:dyDescent="0.45">
      <c r="A237" s="17">
        <f>'[1]02. Matrix'!A246</f>
        <v>236</v>
      </c>
      <c r="B237" s="18">
        <f>'[1]02. Matrix'!B246</f>
        <v>19</v>
      </c>
      <c r="C237" s="18" t="str">
        <f>'[1]02. Matrix'!C246</f>
        <v>AGRICULTURE LOAN</v>
      </c>
      <c r="D237" s="18">
        <f>'[1]02. Matrix'!D246</f>
        <v>1</v>
      </c>
      <c r="E237" s="19">
        <f>'[1]02. Matrix'!E246</f>
        <v>0.23477147848222291</v>
      </c>
      <c r="F237" s="18" t="str">
        <f>_xlfn.XLOOKUP('01. Main'!$B237,[1]Mapping!$D:$D,[1]Mapping!$A:$A,0,0)</f>
        <v>Poush 80</v>
      </c>
      <c r="G237" s="20">
        <f>_xlfn.XLOOKUP('01. Main'!$B237,[1]Mapping!D$2:D$24,[1]Mapping!E$2:E$24,0,0)</f>
        <v>2023</v>
      </c>
    </row>
    <row r="238" spans="1:7" x14ac:dyDescent="0.45">
      <c r="A238" s="13">
        <f>'[1]02. Matrix'!A247</f>
        <v>237</v>
      </c>
      <c r="B238" s="14">
        <f>'[1]02. Matrix'!B247</f>
        <v>19</v>
      </c>
      <c r="C238" s="14" t="str">
        <f>'[1]02. Matrix'!C247</f>
        <v>RESI PER.HOME-EMI</v>
      </c>
      <c r="D238" s="14">
        <f>'[1]02. Matrix'!D247</f>
        <v>1</v>
      </c>
      <c r="E238" s="15">
        <f>'[1]02. Matrix'!E247</f>
        <v>0.21982934702454374</v>
      </c>
      <c r="F238" s="14" t="str">
        <f>_xlfn.XLOOKUP('01. Main'!$B238,[1]Mapping!$D:$D,[1]Mapping!$A:$A,0,0)</f>
        <v>Poush 80</v>
      </c>
      <c r="G238" s="16">
        <f>_xlfn.XLOOKUP('01. Main'!$B238,[1]Mapping!D$2:D$24,[1]Mapping!E$2:E$24,0,0)</f>
        <v>2023</v>
      </c>
    </row>
    <row r="239" spans="1:7" x14ac:dyDescent="0.45">
      <c r="A239" s="17">
        <f>'[1]02. Matrix'!A248</f>
        <v>238</v>
      </c>
      <c r="B239" s="18">
        <f>'[1]02. Matrix'!B248</f>
        <v>19</v>
      </c>
      <c r="C239" s="18" t="str">
        <f>'[1]02. Matrix'!C248</f>
        <v>TERM LOAN - BUSINESS</v>
      </c>
      <c r="D239" s="18">
        <f>'[1]02. Matrix'!D248</f>
        <v>1</v>
      </c>
      <c r="E239" s="19">
        <f>'[1]02. Matrix'!E248</f>
        <v>0.19476763642741166</v>
      </c>
      <c r="F239" s="18" t="str">
        <f>_xlfn.XLOOKUP('01. Main'!$B239,[1]Mapping!$D:$D,[1]Mapping!$A:$A,0,0)</f>
        <v>Poush 80</v>
      </c>
      <c r="G239" s="20">
        <f>_xlfn.XLOOKUP('01. Main'!$B239,[1]Mapping!D$2:D$24,[1]Mapping!E$2:E$24,0,0)</f>
        <v>2023</v>
      </c>
    </row>
    <row r="240" spans="1:7" x14ac:dyDescent="0.45">
      <c r="A240" s="13">
        <f>'[1]02. Matrix'!A249</f>
        <v>239</v>
      </c>
      <c r="B240" s="14">
        <f>'[1]02. Matrix'!B249</f>
        <v>19</v>
      </c>
      <c r="C240" s="14" t="str">
        <f>'[1]02. Matrix'!C249</f>
        <v>CONS FIN BUSN TRM LO</v>
      </c>
      <c r="D240" s="14">
        <f>'[1]02. Matrix'!D249</f>
        <v>1</v>
      </c>
      <c r="E240" s="15">
        <f>'[1]02. Matrix'!E249</f>
        <v>0</v>
      </c>
      <c r="F240" s="14" t="str">
        <f>_xlfn.XLOOKUP('01. Main'!$B240,[1]Mapping!$D:$D,[1]Mapping!$A:$A,0,0)</f>
        <v>Poush 80</v>
      </c>
      <c r="G240" s="16">
        <f>_xlfn.XLOOKUP('01. Main'!$B240,[1]Mapping!D$2:D$24,[1]Mapping!E$2:E$24,0,0)</f>
        <v>2023</v>
      </c>
    </row>
    <row r="241" spans="1:7" x14ac:dyDescent="0.45">
      <c r="A241" s="17">
        <f>'[1]02. Matrix'!A250</f>
        <v>240</v>
      </c>
      <c r="B241" s="18">
        <f>'[1]02. Matrix'!B250</f>
        <v>19</v>
      </c>
      <c r="C241" s="18" t="str">
        <f>'[1]02. Matrix'!C250</f>
        <v>BIS/PERHIRE PURCHASE</v>
      </c>
      <c r="D241" s="18">
        <f>'[1]02. Matrix'!D250</f>
        <v>1</v>
      </c>
      <c r="E241" s="19">
        <f>'[1]02. Matrix'!E250</f>
        <v>0.39426865371306768</v>
      </c>
      <c r="F241" s="18" t="str">
        <f>_xlfn.XLOOKUP('01. Main'!$B241,[1]Mapping!$D:$D,[1]Mapping!$A:$A,0,0)</f>
        <v>Poush 80</v>
      </c>
      <c r="G241" s="20">
        <f>_xlfn.XLOOKUP('01. Main'!$B241,[1]Mapping!D$2:D$24,[1]Mapping!E$2:E$24,0,0)</f>
        <v>2023</v>
      </c>
    </row>
    <row r="242" spans="1:7" x14ac:dyDescent="0.45">
      <c r="A242" s="13">
        <f>'[1]02. Matrix'!A251</f>
        <v>241</v>
      </c>
      <c r="B242" s="14">
        <f>'[1]02. Matrix'!B251</f>
        <v>19</v>
      </c>
      <c r="C242" s="14" t="str">
        <f>'[1]02. Matrix'!C251</f>
        <v xml:space="preserve">INT CAP TERM LOAN </v>
      </c>
      <c r="D242" s="14">
        <f>'[1]02. Matrix'!D251</f>
        <v>1</v>
      </c>
      <c r="E242" s="15">
        <f>'[1]02. Matrix'!E251</f>
        <v>0</v>
      </c>
      <c r="F242" s="14" t="str">
        <f>_xlfn.XLOOKUP('01. Main'!$B242,[1]Mapping!$D:$D,[1]Mapping!$A:$A,0,0)</f>
        <v>Poush 80</v>
      </c>
      <c r="G242" s="16">
        <f>_xlfn.XLOOKUP('01. Main'!$B242,[1]Mapping!D$2:D$24,[1]Mapping!E$2:E$24,0,0)</f>
        <v>2023</v>
      </c>
    </row>
    <row r="243" spans="1:7" x14ac:dyDescent="0.45">
      <c r="A243" s="17">
        <f>'[1]02. Matrix'!A252</f>
        <v>242</v>
      </c>
      <c r="B243" s="18">
        <f>'[1]02. Matrix'!B252</f>
        <v>19</v>
      </c>
      <c r="C243" s="18" t="str">
        <f>'[1]02. Matrix'!C252</f>
        <v>PERSONAL LOAN</v>
      </c>
      <c r="D243" s="18">
        <f>'[1]02. Matrix'!D252</f>
        <v>1</v>
      </c>
      <c r="E243" s="19">
        <f>'[1]02. Matrix'!E252</f>
        <v>0.15216309350310464</v>
      </c>
      <c r="F243" s="18" t="str">
        <f>_xlfn.XLOOKUP('01. Main'!$B243,[1]Mapping!$D:$D,[1]Mapping!$A:$A,0,0)</f>
        <v>Poush 80</v>
      </c>
      <c r="G243" s="20">
        <f>_xlfn.XLOOKUP('01. Main'!$B243,[1]Mapping!D$2:D$24,[1]Mapping!E$2:E$24,0,0)</f>
        <v>2023</v>
      </c>
    </row>
    <row r="244" spans="1:7" x14ac:dyDescent="0.45">
      <c r="A244" s="13">
        <f>'[1]02. Matrix'!A253</f>
        <v>243</v>
      </c>
      <c r="B244" s="14">
        <f>'[1]02. Matrix'!B253</f>
        <v>19</v>
      </c>
      <c r="C244" s="14" t="str">
        <f>'[1]02. Matrix'!C253</f>
        <v>MORTGAGE LOAN</v>
      </c>
      <c r="D244" s="14">
        <f>'[1]02. Matrix'!D253</f>
        <v>1</v>
      </c>
      <c r="E244" s="15">
        <f>'[1]02. Matrix'!E253</f>
        <v>2.1206798283260428E-2</v>
      </c>
      <c r="F244" s="14" t="str">
        <f>_xlfn.XLOOKUP('01. Main'!$B244,[1]Mapping!$D:$D,[1]Mapping!$A:$A,0,0)</f>
        <v>Poush 80</v>
      </c>
      <c r="G244" s="16">
        <f>_xlfn.XLOOKUP('01. Main'!$B244,[1]Mapping!D$2:D$24,[1]Mapping!E$2:E$24,0,0)</f>
        <v>2023</v>
      </c>
    </row>
    <row r="245" spans="1:7" x14ac:dyDescent="0.45">
      <c r="A245" s="17">
        <f>'[1]02. Matrix'!A254</f>
        <v>244</v>
      </c>
      <c r="B245" s="18">
        <f>'[1]02. Matrix'!B254</f>
        <v>19</v>
      </c>
      <c r="C245" s="18" t="str">
        <f>'[1]02. Matrix'!C254</f>
        <v>LOAN AGAINST FDR</v>
      </c>
      <c r="D245" s="18">
        <f>'[1]02. Matrix'!D254</f>
        <v>1</v>
      </c>
      <c r="E245" s="19">
        <f>'[1]02. Matrix'!E254</f>
        <v>0</v>
      </c>
      <c r="F245" s="18" t="str">
        <f>_xlfn.XLOOKUP('01. Main'!$B245,[1]Mapping!$D:$D,[1]Mapping!$A:$A,0,0)</f>
        <v>Poush 80</v>
      </c>
      <c r="G245" s="20">
        <f>_xlfn.XLOOKUP('01. Main'!$B245,[1]Mapping!D$2:D$24,[1]Mapping!E$2:E$24,0,0)</f>
        <v>2023</v>
      </c>
    </row>
    <row r="246" spans="1:7" x14ac:dyDescent="0.45">
      <c r="A246" s="13">
        <f>'[1]02. Matrix'!A255</f>
        <v>245</v>
      </c>
      <c r="B246" s="14">
        <f>'[1]02. Matrix'!B255</f>
        <v>19</v>
      </c>
      <c r="C246" s="14" t="str">
        <f>'[1]02. Matrix'!C255</f>
        <v>RECEIVABLE LOAN</v>
      </c>
      <c r="D246" s="14">
        <f>'[1]02. Matrix'!D255</f>
        <v>1</v>
      </c>
      <c r="E246" s="15">
        <f>'[1]02. Matrix'!E255</f>
        <v>0</v>
      </c>
      <c r="F246" s="14" t="str">
        <f>_xlfn.XLOOKUP('01. Main'!$B246,[1]Mapping!$D:$D,[1]Mapping!$A:$A,0,0)</f>
        <v>Poush 80</v>
      </c>
      <c r="G246" s="16">
        <f>_xlfn.XLOOKUP('01. Main'!$B246,[1]Mapping!D$2:D$24,[1]Mapping!E$2:E$24,0,0)</f>
        <v>2023</v>
      </c>
    </row>
    <row r="247" spans="1:7" x14ac:dyDescent="0.45">
      <c r="A247" s="17">
        <f>'[1]02. Matrix'!A256</f>
        <v>246</v>
      </c>
      <c r="B247" s="18">
        <f>'[1]02. Matrix'!B256</f>
        <v>19</v>
      </c>
      <c r="C247" s="18" t="str">
        <f>'[1]02. Matrix'!C256</f>
        <v>STAFF LOAN</v>
      </c>
      <c r="D247" s="18">
        <f>'[1]02. Matrix'!D256</f>
        <v>1</v>
      </c>
      <c r="E247" s="19">
        <f>'[1]02. Matrix'!E256</f>
        <v>0</v>
      </c>
      <c r="F247" s="18" t="str">
        <f>_xlfn.XLOOKUP('01. Main'!$B247,[1]Mapping!$D:$D,[1]Mapping!$A:$A,0,0)</f>
        <v>Poush 80</v>
      </c>
      <c r="G247" s="20">
        <f>_xlfn.XLOOKUP('01. Main'!$B247,[1]Mapping!D$2:D$24,[1]Mapping!E$2:E$24,0,0)</f>
        <v>2023</v>
      </c>
    </row>
    <row r="248" spans="1:7" x14ac:dyDescent="0.45">
      <c r="A248" s="13">
        <f>'[1]02. Matrix'!A257</f>
        <v>247</v>
      </c>
      <c r="B248" s="14">
        <f>'[1]02. Matrix'!B257</f>
        <v>19</v>
      </c>
      <c r="C248" s="14" t="str">
        <f>'[1]02. Matrix'!C257</f>
        <v>AGRICULTURAL LOAN</v>
      </c>
      <c r="D248" s="14">
        <f>'[1]02. Matrix'!D257</f>
        <v>1</v>
      </c>
      <c r="E248" s="15">
        <f>'[1]02. Matrix'!E257</f>
        <v>0</v>
      </c>
      <c r="F248" s="14" t="str">
        <f>_xlfn.XLOOKUP('01. Main'!$B248,[1]Mapping!$D:$D,[1]Mapping!$A:$A,0,0)</f>
        <v>Poush 80</v>
      </c>
      <c r="G248" s="16">
        <f>_xlfn.XLOOKUP('01. Main'!$B248,[1]Mapping!D$2:D$24,[1]Mapping!E$2:E$24,0,0)</f>
        <v>2023</v>
      </c>
    </row>
    <row r="249" spans="1:7" x14ac:dyDescent="0.45">
      <c r="A249" s="17">
        <f>'[1]02. Matrix'!A258</f>
        <v>248</v>
      </c>
      <c r="B249" s="18">
        <f>'[1]02. Matrix'!B258</f>
        <v>19</v>
      </c>
      <c r="C249" s="18" t="str">
        <f>'[1]02. Matrix'!C258</f>
        <v>EARTHQUAKE RELIEF LO</v>
      </c>
      <c r="D249" s="18">
        <f>'[1]02. Matrix'!D258</f>
        <v>1</v>
      </c>
      <c r="E249" s="19">
        <f>'[1]02. Matrix'!E258</f>
        <v>0</v>
      </c>
      <c r="F249" s="18" t="str">
        <f>_xlfn.XLOOKUP('01. Main'!$B249,[1]Mapping!$D:$D,[1]Mapping!$A:$A,0,0)</f>
        <v>Poush 80</v>
      </c>
      <c r="G249" s="20">
        <f>_xlfn.XLOOKUP('01. Main'!$B249,[1]Mapping!D$2:D$24,[1]Mapping!E$2:E$24,0,0)</f>
        <v>2023</v>
      </c>
    </row>
    <row r="250" spans="1:7" x14ac:dyDescent="0.45">
      <c r="A250" s="13">
        <f>'[1]02. Matrix'!A259</f>
        <v>249</v>
      </c>
      <c r="B250" s="14">
        <f>'[1]02. Matrix'!B259</f>
        <v>19</v>
      </c>
      <c r="C250" s="14" t="str">
        <f>'[1]02. Matrix'!C259</f>
        <v>TOURISM SECTOR LOAN</v>
      </c>
      <c r="D250" s="14">
        <f>'[1]02. Matrix'!D259</f>
        <v>1</v>
      </c>
      <c r="E250" s="15">
        <f>'[1]02. Matrix'!E259</f>
        <v>0</v>
      </c>
      <c r="F250" s="14" t="str">
        <f>_xlfn.XLOOKUP('01. Main'!$B250,[1]Mapping!$D:$D,[1]Mapping!$A:$A,0,0)</f>
        <v>Poush 80</v>
      </c>
      <c r="G250" s="16">
        <f>_xlfn.XLOOKUP('01. Main'!$B250,[1]Mapping!D$2:D$24,[1]Mapping!E$2:E$24,0,0)</f>
        <v>2023</v>
      </c>
    </row>
    <row r="251" spans="1:7" x14ac:dyDescent="0.45">
      <c r="A251" s="17">
        <f>'[1]02. Matrix'!A260</f>
        <v>250</v>
      </c>
      <c r="B251" s="18">
        <f>'[1]02. Matrix'!B260</f>
        <v>19</v>
      </c>
      <c r="C251" s="18" t="str">
        <f>'[1]02. Matrix'!C260</f>
        <v>SME LOAN</v>
      </c>
      <c r="D251" s="18">
        <f>'[1]02. Matrix'!D260</f>
        <v>1</v>
      </c>
      <c r="E251" s="19">
        <f>'[1]02. Matrix'!E260</f>
        <v>0</v>
      </c>
      <c r="F251" s="18" t="str">
        <f>_xlfn.XLOOKUP('01. Main'!$B251,[1]Mapping!$D:$D,[1]Mapping!$A:$A,0,0)</f>
        <v>Poush 80</v>
      </c>
      <c r="G251" s="20">
        <f>_xlfn.XLOOKUP('01. Main'!$B251,[1]Mapping!D$2:D$24,[1]Mapping!E$2:E$24,0,0)</f>
        <v>2023</v>
      </c>
    </row>
    <row r="252" spans="1:7" x14ac:dyDescent="0.45">
      <c r="A252" s="13">
        <f>'[1]02. Matrix'!A261</f>
        <v>251</v>
      </c>
      <c r="B252" s="14">
        <f>'[1]02. Matrix'!B261</f>
        <v>19</v>
      </c>
      <c r="C252" s="14" t="str">
        <f>'[1]02. Matrix'!C261</f>
        <v>EDUCATIONAL LOAN EMI</v>
      </c>
      <c r="D252" s="14">
        <f>'[1]02. Matrix'!D261</f>
        <v>1</v>
      </c>
      <c r="E252" s="15">
        <f>'[1]02. Matrix'!E261</f>
        <v>0</v>
      </c>
      <c r="F252" s="14" t="str">
        <f>_xlfn.XLOOKUP('01. Main'!$B252,[1]Mapping!$D:$D,[1]Mapping!$A:$A,0,0)</f>
        <v>Poush 80</v>
      </c>
      <c r="G252" s="16">
        <f>_xlfn.XLOOKUP('01. Main'!$B252,[1]Mapping!D$2:D$24,[1]Mapping!E$2:E$24,0,0)</f>
        <v>2023</v>
      </c>
    </row>
    <row r="253" spans="1:7" x14ac:dyDescent="0.45">
      <c r="A253" s="17">
        <f>'[1]02. Matrix'!A262</f>
        <v>252</v>
      </c>
      <c r="B253" s="18">
        <f>'[1]02. Matrix'!B262</f>
        <v>19</v>
      </c>
      <c r="C253" s="18" t="str">
        <f>'[1]02. Matrix'!C262</f>
        <v>OVERDRAFT PROFESSION</v>
      </c>
      <c r="D253" s="18">
        <f>'[1]02. Matrix'!D262</f>
        <v>1</v>
      </c>
      <c r="E253" s="19">
        <f>'[1]02. Matrix'!E262</f>
        <v>0</v>
      </c>
      <c r="F253" s="18" t="str">
        <f>_xlfn.XLOOKUP('01. Main'!$B253,[1]Mapping!$D:$D,[1]Mapping!$A:$A,0,0)</f>
        <v>Poush 80</v>
      </c>
      <c r="G253" s="20">
        <f>_xlfn.XLOOKUP('01. Main'!$B253,[1]Mapping!D$2:D$24,[1]Mapping!E$2:E$24,0,0)</f>
        <v>2023</v>
      </c>
    </row>
    <row r="254" spans="1:7" x14ac:dyDescent="0.45">
      <c r="A254" s="13">
        <f>'[1]02. Matrix'!A263</f>
        <v>253</v>
      </c>
      <c r="B254" s="14">
        <f>'[1]02. Matrix'!B263</f>
        <v>19</v>
      </c>
      <c r="C254" s="14" t="str">
        <f>'[1]02. Matrix'!C263</f>
        <v>OD PERSONAL LOAN</v>
      </c>
      <c r="D254" s="14">
        <f>'[1]02. Matrix'!D263</f>
        <v>2</v>
      </c>
      <c r="E254" s="15">
        <f>'[1]02. Matrix'!E263</f>
        <v>0.25411132574026196</v>
      </c>
      <c r="F254" s="14" t="str">
        <f>_xlfn.XLOOKUP('01. Main'!$B254,[1]Mapping!$D:$D,[1]Mapping!$A:$A,0,0)</f>
        <v>Poush 80</v>
      </c>
      <c r="G254" s="16">
        <f>_xlfn.XLOOKUP('01. Main'!$B254,[1]Mapping!D$2:D$24,[1]Mapping!E$2:E$24,0,0)</f>
        <v>2023</v>
      </c>
    </row>
    <row r="255" spans="1:7" x14ac:dyDescent="0.45">
      <c r="A255" s="17">
        <f>'[1]02. Matrix'!A264</f>
        <v>254</v>
      </c>
      <c r="B255" s="18">
        <f>'[1]02. Matrix'!B264</f>
        <v>19</v>
      </c>
      <c r="C255" s="18" t="str">
        <f>'[1]02. Matrix'!C264</f>
        <v>OD BUSINESS LOAN</v>
      </c>
      <c r="D255" s="18">
        <f>'[1]02. Matrix'!D264</f>
        <v>2</v>
      </c>
      <c r="E255" s="19">
        <f>'[1]02. Matrix'!E264</f>
        <v>0.5673860589246198</v>
      </c>
      <c r="F255" s="18" t="str">
        <f>_xlfn.XLOOKUP('01. Main'!$B255,[1]Mapping!$D:$D,[1]Mapping!$A:$A,0,0)</f>
        <v>Poush 80</v>
      </c>
      <c r="G255" s="20">
        <f>_xlfn.XLOOKUP('01. Main'!$B255,[1]Mapping!D$2:D$24,[1]Mapping!E$2:E$24,0,0)</f>
        <v>2023</v>
      </c>
    </row>
    <row r="256" spans="1:7" x14ac:dyDescent="0.45">
      <c r="A256" s="13">
        <f>'[1]02. Matrix'!A265</f>
        <v>255</v>
      </c>
      <c r="B256" s="14">
        <f>'[1]02. Matrix'!B265</f>
        <v>19</v>
      </c>
      <c r="C256" s="14" t="str">
        <f>'[1]02. Matrix'!C265</f>
        <v>OD STAFF LOAN</v>
      </c>
      <c r="D256" s="14">
        <f>'[1]02. Matrix'!D265</f>
        <v>2</v>
      </c>
      <c r="E256" s="15">
        <f>'[1]02. Matrix'!E265</f>
        <v>0</v>
      </c>
      <c r="F256" s="14" t="str">
        <f>_xlfn.XLOOKUP('01. Main'!$B256,[1]Mapping!$D:$D,[1]Mapping!$A:$A,0,0)</f>
        <v>Poush 80</v>
      </c>
      <c r="G256" s="16">
        <f>_xlfn.XLOOKUP('01. Main'!$B256,[1]Mapping!D$2:D$24,[1]Mapping!E$2:E$24,0,0)</f>
        <v>2023</v>
      </c>
    </row>
    <row r="257" spans="1:7" x14ac:dyDescent="0.45">
      <c r="A257" s="17">
        <f>'[1]02. Matrix'!A266</f>
        <v>256</v>
      </c>
      <c r="B257" s="18">
        <f>'[1]02. Matrix'!B266</f>
        <v>19</v>
      </c>
      <c r="C257" s="18" t="str">
        <f>'[1]02. Matrix'!C266</f>
        <v>TERM LOAN</v>
      </c>
      <c r="D257" s="18">
        <f>'[1]02. Matrix'!D266</f>
        <v>2</v>
      </c>
      <c r="E257" s="19">
        <f>'[1]02. Matrix'!E266</f>
        <v>0.46206754789816262</v>
      </c>
      <c r="F257" s="18" t="str">
        <f>_xlfn.XLOOKUP('01. Main'!$B257,[1]Mapping!$D:$D,[1]Mapping!$A:$A,0,0)</f>
        <v>Poush 80</v>
      </c>
      <c r="G257" s="20">
        <f>_xlfn.XLOOKUP('01. Main'!$B257,[1]Mapping!D$2:D$24,[1]Mapping!E$2:E$24,0,0)</f>
        <v>2023</v>
      </c>
    </row>
    <row r="258" spans="1:7" x14ac:dyDescent="0.45">
      <c r="A258" s="13">
        <f>'[1]02. Matrix'!A267</f>
        <v>257</v>
      </c>
      <c r="B258" s="14">
        <f>'[1]02. Matrix'!B267</f>
        <v>19</v>
      </c>
      <c r="C258" s="14" t="str">
        <f>'[1]02. Matrix'!C267</f>
        <v>WC TRADING/IND LOAN</v>
      </c>
      <c r="D258" s="14">
        <f>'[1]02. Matrix'!D267</f>
        <v>2</v>
      </c>
      <c r="E258" s="15">
        <f>'[1]02. Matrix'!E267</f>
        <v>0.49774259389177211</v>
      </c>
      <c r="F258" s="14" t="str">
        <f>_xlfn.XLOOKUP('01. Main'!$B258,[1]Mapping!$D:$D,[1]Mapping!$A:$A,0,0)</f>
        <v>Poush 80</v>
      </c>
      <c r="G258" s="16">
        <f>_xlfn.XLOOKUP('01. Main'!$B258,[1]Mapping!D$2:D$24,[1]Mapping!E$2:E$24,0,0)</f>
        <v>2023</v>
      </c>
    </row>
    <row r="259" spans="1:7" x14ac:dyDescent="0.45">
      <c r="A259" s="17">
        <f>'[1]02. Matrix'!A268</f>
        <v>258</v>
      </c>
      <c r="B259" s="18">
        <f>'[1]02. Matrix'!B268</f>
        <v>19</v>
      </c>
      <c r="C259" s="18" t="str">
        <f>'[1]02. Matrix'!C268</f>
        <v>HOUSING LOAN</v>
      </c>
      <c r="D259" s="18">
        <f>'[1]02. Matrix'!D268</f>
        <v>2</v>
      </c>
      <c r="E259" s="19">
        <f>'[1]02. Matrix'!E268</f>
        <v>0.44213080875867872</v>
      </c>
      <c r="F259" s="18" t="str">
        <f>_xlfn.XLOOKUP('01. Main'!$B259,[1]Mapping!$D:$D,[1]Mapping!$A:$A,0,0)</f>
        <v>Poush 80</v>
      </c>
      <c r="G259" s="20">
        <f>_xlfn.XLOOKUP('01. Main'!$B259,[1]Mapping!D$2:D$24,[1]Mapping!E$2:E$24,0,0)</f>
        <v>2023</v>
      </c>
    </row>
    <row r="260" spans="1:7" x14ac:dyDescent="0.45">
      <c r="A260" s="13">
        <f>'[1]02. Matrix'!A269</f>
        <v>259</v>
      </c>
      <c r="B260" s="14">
        <f>'[1]02. Matrix'!B269</f>
        <v>19</v>
      </c>
      <c r="C260" s="14" t="str">
        <f>'[1]02. Matrix'!C269</f>
        <v>RESI REAL EST LOAN</v>
      </c>
      <c r="D260" s="14">
        <f>'[1]02. Matrix'!D269</f>
        <v>2</v>
      </c>
      <c r="E260" s="15">
        <f>'[1]02. Matrix'!E269</f>
        <v>6.4383910891994869E-2</v>
      </c>
      <c r="F260" s="14" t="str">
        <f>_xlfn.XLOOKUP('01. Main'!$B260,[1]Mapping!$D:$D,[1]Mapping!$A:$A,0,0)</f>
        <v>Poush 80</v>
      </c>
      <c r="G260" s="16">
        <f>_xlfn.XLOOKUP('01. Main'!$B260,[1]Mapping!D$2:D$24,[1]Mapping!E$2:E$24,0,0)</f>
        <v>2023</v>
      </c>
    </row>
    <row r="261" spans="1:7" x14ac:dyDescent="0.45">
      <c r="A261" s="17">
        <f>'[1]02. Matrix'!A270</f>
        <v>260</v>
      </c>
      <c r="B261" s="18">
        <f>'[1]02. Matrix'!B270</f>
        <v>19</v>
      </c>
      <c r="C261" s="18" t="str">
        <f>'[1]02. Matrix'!C270</f>
        <v>MARGIN NATURE LOAN</v>
      </c>
      <c r="D261" s="18">
        <f>'[1]02. Matrix'!D270</f>
        <v>2</v>
      </c>
      <c r="E261" s="19">
        <f>'[1]02. Matrix'!E270</f>
        <v>0</v>
      </c>
      <c r="F261" s="18" t="str">
        <f>_xlfn.XLOOKUP('01. Main'!$B261,[1]Mapping!$D:$D,[1]Mapping!$A:$A,0,0)</f>
        <v>Poush 80</v>
      </c>
      <c r="G261" s="20">
        <f>_xlfn.XLOOKUP('01. Main'!$B261,[1]Mapping!D$2:D$24,[1]Mapping!E$2:E$24,0,0)</f>
        <v>2023</v>
      </c>
    </row>
    <row r="262" spans="1:7" x14ac:dyDescent="0.45">
      <c r="A262" s="13">
        <f>'[1]02. Matrix'!A271</f>
        <v>261</v>
      </c>
      <c r="B262" s="14">
        <f>'[1]02. Matrix'!B271</f>
        <v>19</v>
      </c>
      <c r="C262" s="14" t="str">
        <f>'[1]02. Matrix'!C271</f>
        <v>HIRE PURCHASE LOAN</v>
      </c>
      <c r="D262" s="14">
        <f>'[1]02. Matrix'!D271</f>
        <v>2</v>
      </c>
      <c r="E262" s="15">
        <f>'[1]02. Matrix'!E271</f>
        <v>0.65292712031449629</v>
      </c>
      <c r="F262" s="14" t="str">
        <f>_xlfn.XLOOKUP('01. Main'!$B262,[1]Mapping!$D:$D,[1]Mapping!$A:$A,0,0)</f>
        <v>Poush 80</v>
      </c>
      <c r="G262" s="16">
        <f>_xlfn.XLOOKUP('01. Main'!$B262,[1]Mapping!D$2:D$24,[1]Mapping!E$2:E$24,0,0)</f>
        <v>2023</v>
      </c>
    </row>
    <row r="263" spans="1:7" x14ac:dyDescent="0.45">
      <c r="A263" s="17">
        <f>'[1]02. Matrix'!A272</f>
        <v>262</v>
      </c>
      <c r="B263" s="18">
        <f>'[1]02. Matrix'!B272</f>
        <v>19</v>
      </c>
      <c r="C263" s="18" t="str">
        <f>'[1]02. Matrix'!C272</f>
        <v>DEPRIVED SECTOR LOAN</v>
      </c>
      <c r="D263" s="18">
        <f>'[1]02. Matrix'!D272</f>
        <v>2</v>
      </c>
      <c r="E263" s="19">
        <f>'[1]02. Matrix'!E272</f>
        <v>0.29460455987793033</v>
      </c>
      <c r="F263" s="18" t="str">
        <f>_xlfn.XLOOKUP('01. Main'!$B263,[1]Mapping!$D:$D,[1]Mapping!$A:$A,0,0)</f>
        <v>Poush 80</v>
      </c>
      <c r="G263" s="20">
        <f>_xlfn.XLOOKUP('01. Main'!$B263,[1]Mapping!D$2:D$24,[1]Mapping!E$2:E$24,0,0)</f>
        <v>2023</v>
      </c>
    </row>
    <row r="264" spans="1:7" x14ac:dyDescent="0.45">
      <c r="A264" s="13">
        <f>'[1]02. Matrix'!A273</f>
        <v>263</v>
      </c>
      <c r="B264" s="14">
        <f>'[1]02. Matrix'!B273</f>
        <v>19</v>
      </c>
      <c r="C264" s="14" t="str">
        <f>'[1]02. Matrix'!C273</f>
        <v>EDUCATIONAL LOAN</v>
      </c>
      <c r="D264" s="14">
        <f>'[1]02. Matrix'!D273</f>
        <v>2</v>
      </c>
      <c r="E264" s="15">
        <f>'[1]02. Matrix'!E273</f>
        <v>0.25107138368789617</v>
      </c>
      <c r="F264" s="14" t="str">
        <f>_xlfn.XLOOKUP('01. Main'!$B264,[1]Mapping!$D:$D,[1]Mapping!$A:$A,0,0)</f>
        <v>Poush 80</v>
      </c>
      <c r="G264" s="16">
        <f>_xlfn.XLOOKUP('01. Main'!$B264,[1]Mapping!D$2:D$24,[1]Mapping!E$2:E$24,0,0)</f>
        <v>2023</v>
      </c>
    </row>
    <row r="265" spans="1:7" x14ac:dyDescent="0.45">
      <c r="A265" s="17">
        <f>'[1]02. Matrix'!A274</f>
        <v>264</v>
      </c>
      <c r="B265" s="18">
        <f>'[1]02. Matrix'!B274</f>
        <v>19</v>
      </c>
      <c r="C265" s="18" t="str">
        <f>'[1]02. Matrix'!C274</f>
        <v>AGRICULTURE LOAN</v>
      </c>
      <c r="D265" s="18">
        <f>'[1]02. Matrix'!D274</f>
        <v>2</v>
      </c>
      <c r="E265" s="19">
        <f>'[1]02. Matrix'!E274</f>
        <v>0.73223466860459274</v>
      </c>
      <c r="F265" s="18" t="str">
        <f>_xlfn.XLOOKUP('01. Main'!$B265,[1]Mapping!$D:$D,[1]Mapping!$A:$A,0,0)</f>
        <v>Poush 80</v>
      </c>
      <c r="G265" s="20">
        <f>_xlfn.XLOOKUP('01. Main'!$B265,[1]Mapping!D$2:D$24,[1]Mapping!E$2:E$24,0,0)</f>
        <v>2023</v>
      </c>
    </row>
    <row r="266" spans="1:7" x14ac:dyDescent="0.45">
      <c r="A266" s="13">
        <f>'[1]02. Matrix'!A275</f>
        <v>265</v>
      </c>
      <c r="B266" s="14">
        <f>'[1]02. Matrix'!B275</f>
        <v>19</v>
      </c>
      <c r="C266" s="14" t="str">
        <f>'[1]02. Matrix'!C275</f>
        <v>RESI PER.HOME-EMI</v>
      </c>
      <c r="D266" s="14">
        <f>'[1]02. Matrix'!D275</f>
        <v>2</v>
      </c>
      <c r="E266" s="15">
        <f>'[1]02. Matrix'!E275</f>
        <v>0.48699854436995321</v>
      </c>
      <c r="F266" s="14" t="str">
        <f>_xlfn.XLOOKUP('01. Main'!$B266,[1]Mapping!$D:$D,[1]Mapping!$A:$A,0,0)</f>
        <v>Poush 80</v>
      </c>
      <c r="G266" s="16">
        <f>_xlfn.XLOOKUP('01. Main'!$B266,[1]Mapping!D$2:D$24,[1]Mapping!E$2:E$24,0,0)</f>
        <v>2023</v>
      </c>
    </row>
    <row r="267" spans="1:7" x14ac:dyDescent="0.45">
      <c r="A267" s="17">
        <f>'[1]02. Matrix'!A276</f>
        <v>266</v>
      </c>
      <c r="B267" s="18">
        <f>'[1]02. Matrix'!B276</f>
        <v>19</v>
      </c>
      <c r="C267" s="18" t="str">
        <f>'[1]02. Matrix'!C276</f>
        <v>TERM LOAN - BUSINESS</v>
      </c>
      <c r="D267" s="18">
        <f>'[1]02. Matrix'!D276</f>
        <v>2</v>
      </c>
      <c r="E267" s="19">
        <f>'[1]02. Matrix'!E276</f>
        <v>0.55183300462129625</v>
      </c>
      <c r="F267" s="18" t="str">
        <f>_xlfn.XLOOKUP('01. Main'!$B267,[1]Mapping!$D:$D,[1]Mapping!$A:$A,0,0)</f>
        <v>Poush 80</v>
      </c>
      <c r="G267" s="20">
        <f>_xlfn.XLOOKUP('01. Main'!$B267,[1]Mapping!D$2:D$24,[1]Mapping!E$2:E$24,0,0)</f>
        <v>2023</v>
      </c>
    </row>
    <row r="268" spans="1:7" x14ac:dyDescent="0.45">
      <c r="A268" s="13">
        <f>'[1]02. Matrix'!A277</f>
        <v>267</v>
      </c>
      <c r="B268" s="14">
        <f>'[1]02. Matrix'!B277</f>
        <v>19</v>
      </c>
      <c r="C268" s="14" t="str">
        <f>'[1]02. Matrix'!C277</f>
        <v>CONS FIN BUSN TRM LO</v>
      </c>
      <c r="D268" s="14">
        <f>'[1]02. Matrix'!D277</f>
        <v>2</v>
      </c>
      <c r="E268" s="15">
        <f>'[1]02. Matrix'!E277</f>
        <v>0</v>
      </c>
      <c r="F268" s="14" t="str">
        <f>_xlfn.XLOOKUP('01. Main'!$B268,[1]Mapping!$D:$D,[1]Mapping!$A:$A,0,0)</f>
        <v>Poush 80</v>
      </c>
      <c r="G268" s="16">
        <f>_xlfn.XLOOKUP('01. Main'!$B268,[1]Mapping!D$2:D$24,[1]Mapping!E$2:E$24,0,0)</f>
        <v>2023</v>
      </c>
    </row>
    <row r="269" spans="1:7" x14ac:dyDescent="0.45">
      <c r="A269" s="17">
        <f>'[1]02. Matrix'!A278</f>
        <v>268</v>
      </c>
      <c r="B269" s="18">
        <f>'[1]02. Matrix'!B278</f>
        <v>19</v>
      </c>
      <c r="C269" s="18" t="str">
        <f>'[1]02. Matrix'!C278</f>
        <v>BIS/PERHIRE PURCHASE</v>
      </c>
      <c r="D269" s="18">
        <f>'[1]02. Matrix'!D278</f>
        <v>2</v>
      </c>
      <c r="E269" s="19">
        <f>'[1]02. Matrix'!E278</f>
        <v>0.78361913215174228</v>
      </c>
      <c r="F269" s="18" t="str">
        <f>_xlfn.XLOOKUP('01. Main'!$B269,[1]Mapping!$D:$D,[1]Mapping!$A:$A,0,0)</f>
        <v>Poush 80</v>
      </c>
      <c r="G269" s="20">
        <f>_xlfn.XLOOKUP('01. Main'!$B269,[1]Mapping!D$2:D$24,[1]Mapping!E$2:E$24,0,0)</f>
        <v>2023</v>
      </c>
    </row>
    <row r="270" spans="1:7" x14ac:dyDescent="0.45">
      <c r="A270" s="13">
        <f>'[1]02. Matrix'!A279</f>
        <v>269</v>
      </c>
      <c r="B270" s="14">
        <f>'[1]02. Matrix'!B279</f>
        <v>19</v>
      </c>
      <c r="C270" s="14" t="str">
        <f>'[1]02. Matrix'!C279</f>
        <v xml:space="preserve">INT CAP TERM LOAN </v>
      </c>
      <c r="D270" s="14">
        <f>'[1]02. Matrix'!D279</f>
        <v>2</v>
      </c>
      <c r="E270" s="15">
        <f>'[1]02. Matrix'!E279</f>
        <v>0</v>
      </c>
      <c r="F270" s="14" t="str">
        <f>_xlfn.XLOOKUP('01. Main'!$B270,[1]Mapping!$D:$D,[1]Mapping!$A:$A,0,0)</f>
        <v>Poush 80</v>
      </c>
      <c r="G270" s="16">
        <f>_xlfn.XLOOKUP('01. Main'!$B270,[1]Mapping!D$2:D$24,[1]Mapping!E$2:E$24,0,0)</f>
        <v>2023</v>
      </c>
    </row>
    <row r="271" spans="1:7" x14ac:dyDescent="0.45">
      <c r="A271" s="17">
        <f>'[1]02. Matrix'!A280</f>
        <v>270</v>
      </c>
      <c r="B271" s="18">
        <f>'[1]02. Matrix'!B280</f>
        <v>19</v>
      </c>
      <c r="C271" s="18" t="str">
        <f>'[1]02. Matrix'!C280</f>
        <v>PERSONAL LOAN</v>
      </c>
      <c r="D271" s="18">
        <f>'[1]02. Matrix'!D280</f>
        <v>2</v>
      </c>
      <c r="E271" s="19">
        <f>'[1]02. Matrix'!E280</f>
        <v>0.29306487444288426</v>
      </c>
      <c r="F271" s="18" t="str">
        <f>_xlfn.XLOOKUP('01. Main'!$B271,[1]Mapping!$D:$D,[1]Mapping!$A:$A,0,0)</f>
        <v>Poush 80</v>
      </c>
      <c r="G271" s="20">
        <f>_xlfn.XLOOKUP('01. Main'!$B271,[1]Mapping!D$2:D$24,[1]Mapping!E$2:E$24,0,0)</f>
        <v>2023</v>
      </c>
    </row>
    <row r="272" spans="1:7" x14ac:dyDescent="0.45">
      <c r="A272" s="13">
        <f>'[1]02. Matrix'!A281</f>
        <v>271</v>
      </c>
      <c r="B272" s="14">
        <f>'[1]02. Matrix'!B281</f>
        <v>19</v>
      </c>
      <c r="C272" s="14" t="str">
        <f>'[1]02. Matrix'!C281</f>
        <v>MORTGAGE LOAN</v>
      </c>
      <c r="D272" s="14">
        <f>'[1]02. Matrix'!D281</f>
        <v>2</v>
      </c>
      <c r="E272" s="15">
        <f>'[1]02. Matrix'!E281</f>
        <v>6.477618321031485E-2</v>
      </c>
      <c r="F272" s="14" t="str">
        <f>_xlfn.XLOOKUP('01. Main'!$B272,[1]Mapping!$D:$D,[1]Mapping!$A:$A,0,0)</f>
        <v>Poush 80</v>
      </c>
      <c r="G272" s="16">
        <f>_xlfn.XLOOKUP('01. Main'!$B272,[1]Mapping!D$2:D$24,[1]Mapping!E$2:E$24,0,0)</f>
        <v>2023</v>
      </c>
    </row>
    <row r="273" spans="1:7" x14ac:dyDescent="0.45">
      <c r="A273" s="17">
        <f>'[1]02. Matrix'!A282</f>
        <v>272</v>
      </c>
      <c r="B273" s="18">
        <f>'[1]02. Matrix'!B282</f>
        <v>19</v>
      </c>
      <c r="C273" s="18" t="str">
        <f>'[1]02. Matrix'!C282</f>
        <v>LOAN AGAINST FDR</v>
      </c>
      <c r="D273" s="18">
        <f>'[1]02. Matrix'!D282</f>
        <v>2</v>
      </c>
      <c r="E273" s="19">
        <f>'[1]02. Matrix'!E282</f>
        <v>0</v>
      </c>
      <c r="F273" s="18" t="str">
        <f>_xlfn.XLOOKUP('01. Main'!$B273,[1]Mapping!$D:$D,[1]Mapping!$A:$A,0,0)</f>
        <v>Poush 80</v>
      </c>
      <c r="G273" s="20">
        <f>_xlfn.XLOOKUP('01. Main'!$B273,[1]Mapping!D$2:D$24,[1]Mapping!E$2:E$24,0,0)</f>
        <v>2023</v>
      </c>
    </row>
    <row r="274" spans="1:7" x14ac:dyDescent="0.45">
      <c r="A274" s="13">
        <f>'[1]02. Matrix'!A283</f>
        <v>273</v>
      </c>
      <c r="B274" s="14">
        <f>'[1]02. Matrix'!B283</f>
        <v>19</v>
      </c>
      <c r="C274" s="14" t="str">
        <f>'[1]02. Matrix'!C283</f>
        <v>RECEIVABLE LOAN</v>
      </c>
      <c r="D274" s="14">
        <f>'[1]02. Matrix'!D283</f>
        <v>2</v>
      </c>
      <c r="E274" s="15">
        <f>'[1]02. Matrix'!E283</f>
        <v>0</v>
      </c>
      <c r="F274" s="14" t="str">
        <f>_xlfn.XLOOKUP('01. Main'!$B274,[1]Mapping!$D:$D,[1]Mapping!$A:$A,0,0)</f>
        <v>Poush 80</v>
      </c>
      <c r="G274" s="16">
        <f>_xlfn.XLOOKUP('01. Main'!$B274,[1]Mapping!D$2:D$24,[1]Mapping!E$2:E$24,0,0)</f>
        <v>2023</v>
      </c>
    </row>
    <row r="275" spans="1:7" x14ac:dyDescent="0.45">
      <c r="A275" s="17">
        <f>'[1]02. Matrix'!A284</f>
        <v>274</v>
      </c>
      <c r="B275" s="18">
        <f>'[1]02. Matrix'!B284</f>
        <v>19</v>
      </c>
      <c r="C275" s="18" t="str">
        <f>'[1]02. Matrix'!C284</f>
        <v>STAFF LOAN</v>
      </c>
      <c r="D275" s="18">
        <f>'[1]02. Matrix'!D284</f>
        <v>2</v>
      </c>
      <c r="E275" s="19">
        <f>'[1]02. Matrix'!E284</f>
        <v>0</v>
      </c>
      <c r="F275" s="18" t="str">
        <f>_xlfn.XLOOKUP('01. Main'!$B275,[1]Mapping!$D:$D,[1]Mapping!$A:$A,0,0)</f>
        <v>Poush 80</v>
      </c>
      <c r="G275" s="20">
        <f>_xlfn.XLOOKUP('01. Main'!$B275,[1]Mapping!D$2:D$24,[1]Mapping!E$2:E$24,0,0)</f>
        <v>2023</v>
      </c>
    </row>
    <row r="276" spans="1:7" x14ac:dyDescent="0.45">
      <c r="A276" s="13">
        <f>'[1]02. Matrix'!A285</f>
        <v>275</v>
      </c>
      <c r="B276" s="14">
        <f>'[1]02. Matrix'!B285</f>
        <v>19</v>
      </c>
      <c r="C276" s="14" t="str">
        <f>'[1]02. Matrix'!C285</f>
        <v>AGRICULTURAL LOAN</v>
      </c>
      <c r="D276" s="14">
        <f>'[1]02. Matrix'!D285</f>
        <v>2</v>
      </c>
      <c r="E276" s="15">
        <f>'[1]02. Matrix'!E285</f>
        <v>0</v>
      </c>
      <c r="F276" s="14" t="str">
        <f>_xlfn.XLOOKUP('01. Main'!$B276,[1]Mapping!$D:$D,[1]Mapping!$A:$A,0,0)</f>
        <v>Poush 80</v>
      </c>
      <c r="G276" s="16">
        <f>_xlfn.XLOOKUP('01. Main'!$B276,[1]Mapping!D$2:D$24,[1]Mapping!E$2:E$24,0,0)</f>
        <v>2023</v>
      </c>
    </row>
    <row r="277" spans="1:7" x14ac:dyDescent="0.45">
      <c r="A277" s="17">
        <f>'[1]02. Matrix'!A286</f>
        <v>276</v>
      </c>
      <c r="B277" s="18">
        <f>'[1]02. Matrix'!B286</f>
        <v>19</v>
      </c>
      <c r="C277" s="18" t="str">
        <f>'[1]02. Matrix'!C286</f>
        <v>EARTHQUAKE RELIEF LO</v>
      </c>
      <c r="D277" s="18">
        <f>'[1]02. Matrix'!D286</f>
        <v>2</v>
      </c>
      <c r="E277" s="19">
        <f>'[1]02. Matrix'!E286</f>
        <v>0</v>
      </c>
      <c r="F277" s="18" t="str">
        <f>_xlfn.XLOOKUP('01. Main'!$B277,[1]Mapping!$D:$D,[1]Mapping!$A:$A,0,0)</f>
        <v>Poush 80</v>
      </c>
      <c r="G277" s="20">
        <f>_xlfn.XLOOKUP('01. Main'!$B277,[1]Mapping!D$2:D$24,[1]Mapping!E$2:E$24,0,0)</f>
        <v>2023</v>
      </c>
    </row>
    <row r="278" spans="1:7" x14ac:dyDescent="0.45">
      <c r="A278" s="13">
        <f>'[1]02. Matrix'!A287</f>
        <v>277</v>
      </c>
      <c r="B278" s="14">
        <f>'[1]02. Matrix'!B287</f>
        <v>19</v>
      </c>
      <c r="C278" s="14" t="str">
        <f>'[1]02. Matrix'!C287</f>
        <v>TOURISM SECTOR LOAN</v>
      </c>
      <c r="D278" s="14">
        <f>'[1]02. Matrix'!D287</f>
        <v>2</v>
      </c>
      <c r="E278" s="15">
        <f>'[1]02. Matrix'!E287</f>
        <v>0</v>
      </c>
      <c r="F278" s="14" t="str">
        <f>_xlfn.XLOOKUP('01. Main'!$B278,[1]Mapping!$D:$D,[1]Mapping!$A:$A,0,0)</f>
        <v>Poush 80</v>
      </c>
      <c r="G278" s="16">
        <f>_xlfn.XLOOKUP('01. Main'!$B278,[1]Mapping!D$2:D$24,[1]Mapping!E$2:E$24,0,0)</f>
        <v>2023</v>
      </c>
    </row>
    <row r="279" spans="1:7" x14ac:dyDescent="0.45">
      <c r="A279" s="17">
        <f>'[1]02. Matrix'!A288</f>
        <v>278</v>
      </c>
      <c r="B279" s="18">
        <f>'[1]02. Matrix'!B288</f>
        <v>19</v>
      </c>
      <c r="C279" s="18" t="str">
        <f>'[1]02. Matrix'!C288</f>
        <v>SME LOAN</v>
      </c>
      <c r="D279" s="18">
        <f>'[1]02. Matrix'!D288</f>
        <v>2</v>
      </c>
      <c r="E279" s="19">
        <f>'[1]02. Matrix'!E288</f>
        <v>0</v>
      </c>
      <c r="F279" s="18" t="str">
        <f>_xlfn.XLOOKUP('01. Main'!$B279,[1]Mapping!$D:$D,[1]Mapping!$A:$A,0,0)</f>
        <v>Poush 80</v>
      </c>
      <c r="G279" s="20">
        <f>_xlfn.XLOOKUP('01. Main'!$B279,[1]Mapping!D$2:D$24,[1]Mapping!E$2:E$24,0,0)</f>
        <v>2023</v>
      </c>
    </row>
    <row r="280" spans="1:7" x14ac:dyDescent="0.45">
      <c r="A280" s="13">
        <f>'[1]02. Matrix'!A289</f>
        <v>279</v>
      </c>
      <c r="B280" s="14">
        <f>'[1]02. Matrix'!B289</f>
        <v>19</v>
      </c>
      <c r="C280" s="14" t="str">
        <f>'[1]02. Matrix'!C289</f>
        <v>EDUCATIONAL LOAN EMI</v>
      </c>
      <c r="D280" s="14">
        <f>'[1]02. Matrix'!D289</f>
        <v>2</v>
      </c>
      <c r="E280" s="15">
        <f>'[1]02. Matrix'!E289</f>
        <v>0</v>
      </c>
      <c r="F280" s="14" t="str">
        <f>_xlfn.XLOOKUP('01. Main'!$B280,[1]Mapping!$D:$D,[1]Mapping!$A:$A,0,0)</f>
        <v>Poush 80</v>
      </c>
      <c r="G280" s="16">
        <f>_xlfn.XLOOKUP('01. Main'!$B280,[1]Mapping!D$2:D$24,[1]Mapping!E$2:E$24,0,0)</f>
        <v>2023</v>
      </c>
    </row>
    <row r="281" spans="1:7" x14ac:dyDescent="0.45">
      <c r="A281" s="17">
        <f>'[1]02. Matrix'!A290</f>
        <v>280</v>
      </c>
      <c r="B281" s="18">
        <f>'[1]02. Matrix'!B290</f>
        <v>19</v>
      </c>
      <c r="C281" s="18" t="str">
        <f>'[1]02. Matrix'!C290</f>
        <v>OVERDRAFT PROFESSION</v>
      </c>
      <c r="D281" s="18">
        <f>'[1]02. Matrix'!D290</f>
        <v>2</v>
      </c>
      <c r="E281" s="19">
        <f>'[1]02. Matrix'!E290</f>
        <v>0</v>
      </c>
      <c r="F281" s="18" t="str">
        <f>_xlfn.XLOOKUP('01. Main'!$B281,[1]Mapping!$D:$D,[1]Mapping!$A:$A,0,0)</f>
        <v>Poush 80</v>
      </c>
      <c r="G281" s="20">
        <f>_xlfn.XLOOKUP('01. Main'!$B281,[1]Mapping!D$2:D$24,[1]Mapping!E$2:E$24,0,0)</f>
        <v>2023</v>
      </c>
    </row>
    <row r="282" spans="1:7" x14ac:dyDescent="0.45">
      <c r="A282" s="13">
        <f>'[1]02. Matrix'!A291</f>
        <v>281</v>
      </c>
      <c r="B282" s="14">
        <f>'[1]02. Matrix'!B291</f>
        <v>18</v>
      </c>
      <c r="C282" s="14" t="str">
        <f>'[1]02. Matrix'!C291</f>
        <v>OD PERSONAL LOAN</v>
      </c>
      <c r="D282" s="14">
        <f>'[1]02. Matrix'!D291</f>
        <v>1</v>
      </c>
      <c r="E282" s="15">
        <f>'[1]02. Matrix'!E291</f>
        <v>0.3449783896253581</v>
      </c>
      <c r="F282" s="14" t="str">
        <f>_xlfn.XLOOKUP('01. Main'!$B282,[1]Mapping!$D:$D,[1]Mapping!$A:$A,0,0)</f>
        <v>Ashoj 80</v>
      </c>
      <c r="G282" s="16">
        <f>_xlfn.XLOOKUP('01. Main'!$B282,[1]Mapping!D$2:D$24,[1]Mapping!E$2:E$24,0,0)</f>
        <v>2023</v>
      </c>
    </row>
    <row r="283" spans="1:7" x14ac:dyDescent="0.45">
      <c r="A283" s="17">
        <f>'[1]02. Matrix'!A292</f>
        <v>282</v>
      </c>
      <c r="B283" s="18">
        <f>'[1]02. Matrix'!B292</f>
        <v>18</v>
      </c>
      <c r="C283" s="18" t="str">
        <f>'[1]02. Matrix'!C292</f>
        <v>OD BUSINESS LOAN</v>
      </c>
      <c r="D283" s="18">
        <f>'[1]02. Matrix'!D292</f>
        <v>1</v>
      </c>
      <c r="E283" s="19">
        <f>'[1]02. Matrix'!E292</f>
        <v>0.23708202160529451</v>
      </c>
      <c r="F283" s="18" t="str">
        <f>_xlfn.XLOOKUP('01. Main'!$B283,[1]Mapping!$D:$D,[1]Mapping!$A:$A,0,0)</f>
        <v>Ashoj 80</v>
      </c>
      <c r="G283" s="20">
        <f>_xlfn.XLOOKUP('01. Main'!$B283,[1]Mapping!D$2:D$24,[1]Mapping!E$2:E$24,0,0)</f>
        <v>2023</v>
      </c>
    </row>
    <row r="284" spans="1:7" x14ac:dyDescent="0.45">
      <c r="A284" s="13">
        <f>'[1]02. Matrix'!A293</f>
        <v>283</v>
      </c>
      <c r="B284" s="14">
        <f>'[1]02. Matrix'!B293</f>
        <v>18</v>
      </c>
      <c r="C284" s="14" t="str">
        <f>'[1]02. Matrix'!C293</f>
        <v>OD STAFF LOAN</v>
      </c>
      <c r="D284" s="14">
        <f>'[1]02. Matrix'!D293</f>
        <v>1</v>
      </c>
      <c r="E284" s="15">
        <f>'[1]02. Matrix'!E293</f>
        <v>0</v>
      </c>
      <c r="F284" s="14" t="str">
        <f>_xlfn.XLOOKUP('01. Main'!$B284,[1]Mapping!$D:$D,[1]Mapping!$A:$A,0,0)</f>
        <v>Ashoj 80</v>
      </c>
      <c r="G284" s="16">
        <f>_xlfn.XLOOKUP('01. Main'!$B284,[1]Mapping!D$2:D$24,[1]Mapping!E$2:E$24,0,0)</f>
        <v>2023</v>
      </c>
    </row>
    <row r="285" spans="1:7" x14ac:dyDescent="0.45">
      <c r="A285" s="17">
        <f>'[1]02. Matrix'!A294</f>
        <v>284</v>
      </c>
      <c r="B285" s="18">
        <f>'[1]02. Matrix'!B294</f>
        <v>18</v>
      </c>
      <c r="C285" s="18" t="str">
        <f>'[1]02. Matrix'!C294</f>
        <v>TERM LOAN</v>
      </c>
      <c r="D285" s="18">
        <f>'[1]02. Matrix'!D294</f>
        <v>1</v>
      </c>
      <c r="E285" s="19">
        <f>'[1]02. Matrix'!E294</f>
        <v>0.24389425453700109</v>
      </c>
      <c r="F285" s="18" t="str">
        <f>_xlfn.XLOOKUP('01. Main'!$B285,[1]Mapping!$D:$D,[1]Mapping!$A:$A,0,0)</f>
        <v>Ashoj 80</v>
      </c>
      <c r="G285" s="20">
        <f>_xlfn.XLOOKUP('01. Main'!$B285,[1]Mapping!D$2:D$24,[1]Mapping!E$2:E$24,0,0)</f>
        <v>2023</v>
      </c>
    </row>
    <row r="286" spans="1:7" x14ac:dyDescent="0.45">
      <c r="A286" s="13">
        <f>'[1]02. Matrix'!A295</f>
        <v>285</v>
      </c>
      <c r="B286" s="14">
        <f>'[1]02. Matrix'!B295</f>
        <v>18</v>
      </c>
      <c r="C286" s="14" t="str">
        <f>'[1]02. Matrix'!C295</f>
        <v>WC TRADING/IND LOAN</v>
      </c>
      <c r="D286" s="14">
        <f>'[1]02. Matrix'!D295</f>
        <v>1</v>
      </c>
      <c r="E286" s="15">
        <f>'[1]02. Matrix'!E295</f>
        <v>0.70406307464914908</v>
      </c>
      <c r="F286" s="14" t="str">
        <f>_xlfn.XLOOKUP('01. Main'!$B286,[1]Mapping!$D:$D,[1]Mapping!$A:$A,0,0)</f>
        <v>Ashoj 80</v>
      </c>
      <c r="G286" s="16">
        <f>_xlfn.XLOOKUP('01. Main'!$B286,[1]Mapping!D$2:D$24,[1]Mapping!E$2:E$24,0,0)</f>
        <v>2023</v>
      </c>
    </row>
    <row r="287" spans="1:7" x14ac:dyDescent="0.45">
      <c r="A287" s="17">
        <f>'[1]02. Matrix'!A296</f>
        <v>286</v>
      </c>
      <c r="B287" s="18">
        <f>'[1]02. Matrix'!B296</f>
        <v>18</v>
      </c>
      <c r="C287" s="18" t="str">
        <f>'[1]02. Matrix'!C296</f>
        <v>HOUSING LOAN</v>
      </c>
      <c r="D287" s="18">
        <f>'[1]02. Matrix'!D296</f>
        <v>1</v>
      </c>
      <c r="E287" s="19">
        <f>'[1]02. Matrix'!E296</f>
        <v>0.4314469302268602</v>
      </c>
      <c r="F287" s="18" t="str">
        <f>_xlfn.XLOOKUP('01. Main'!$B287,[1]Mapping!$D:$D,[1]Mapping!$A:$A,0,0)</f>
        <v>Ashoj 80</v>
      </c>
      <c r="G287" s="20">
        <f>_xlfn.XLOOKUP('01. Main'!$B287,[1]Mapping!D$2:D$24,[1]Mapping!E$2:E$24,0,0)</f>
        <v>2023</v>
      </c>
    </row>
    <row r="288" spans="1:7" x14ac:dyDescent="0.45">
      <c r="A288" s="13">
        <f>'[1]02. Matrix'!A297</f>
        <v>287</v>
      </c>
      <c r="B288" s="14">
        <f>'[1]02. Matrix'!B297</f>
        <v>18</v>
      </c>
      <c r="C288" s="14" t="str">
        <f>'[1]02. Matrix'!C297</f>
        <v>RESI REAL EST LOAN</v>
      </c>
      <c r="D288" s="14">
        <f>'[1]02. Matrix'!D297</f>
        <v>1</v>
      </c>
      <c r="E288" s="15">
        <f>'[1]02. Matrix'!E297</f>
        <v>0</v>
      </c>
      <c r="F288" s="14" t="str">
        <f>_xlfn.XLOOKUP('01. Main'!$B288,[1]Mapping!$D:$D,[1]Mapping!$A:$A,0,0)</f>
        <v>Ashoj 80</v>
      </c>
      <c r="G288" s="16">
        <f>_xlfn.XLOOKUP('01. Main'!$B288,[1]Mapping!D$2:D$24,[1]Mapping!E$2:E$24,0,0)</f>
        <v>2023</v>
      </c>
    </row>
    <row r="289" spans="1:7" x14ac:dyDescent="0.45">
      <c r="A289" s="17">
        <f>'[1]02. Matrix'!A298</f>
        <v>288</v>
      </c>
      <c r="B289" s="18">
        <f>'[1]02. Matrix'!B298</f>
        <v>18</v>
      </c>
      <c r="C289" s="18" t="str">
        <f>'[1]02. Matrix'!C298</f>
        <v>MARGIN NATURE LOAN</v>
      </c>
      <c r="D289" s="18">
        <f>'[1]02. Matrix'!D298</f>
        <v>1</v>
      </c>
      <c r="E289" s="19">
        <f>'[1]02. Matrix'!E298</f>
        <v>0</v>
      </c>
      <c r="F289" s="18" t="str">
        <f>_xlfn.XLOOKUP('01. Main'!$B289,[1]Mapping!$D:$D,[1]Mapping!$A:$A,0,0)</f>
        <v>Ashoj 80</v>
      </c>
      <c r="G289" s="20">
        <f>_xlfn.XLOOKUP('01. Main'!$B289,[1]Mapping!D$2:D$24,[1]Mapping!E$2:E$24,0,0)</f>
        <v>2023</v>
      </c>
    </row>
    <row r="290" spans="1:7" x14ac:dyDescent="0.45">
      <c r="A290" s="13">
        <f>'[1]02. Matrix'!A299</f>
        <v>289</v>
      </c>
      <c r="B290" s="14">
        <f>'[1]02. Matrix'!B299</f>
        <v>18</v>
      </c>
      <c r="C290" s="14" t="str">
        <f>'[1]02. Matrix'!C299</f>
        <v>HIRE PURCHASE LOAN</v>
      </c>
      <c r="D290" s="14">
        <f>'[1]02. Matrix'!D299</f>
        <v>1</v>
      </c>
      <c r="E290" s="15">
        <f>'[1]02. Matrix'!E299</f>
        <v>0.85779567387820721</v>
      </c>
      <c r="F290" s="14" t="str">
        <f>_xlfn.XLOOKUP('01. Main'!$B290,[1]Mapping!$D:$D,[1]Mapping!$A:$A,0,0)</f>
        <v>Ashoj 80</v>
      </c>
      <c r="G290" s="16">
        <f>_xlfn.XLOOKUP('01. Main'!$B290,[1]Mapping!D$2:D$24,[1]Mapping!E$2:E$24,0,0)</f>
        <v>2023</v>
      </c>
    </row>
    <row r="291" spans="1:7" x14ac:dyDescent="0.45">
      <c r="A291" s="17">
        <f>'[1]02. Matrix'!A300</f>
        <v>290</v>
      </c>
      <c r="B291" s="18">
        <f>'[1]02. Matrix'!B300</f>
        <v>18</v>
      </c>
      <c r="C291" s="18" t="str">
        <f>'[1]02. Matrix'!C300</f>
        <v>DEPRIVED SECTOR LOAN</v>
      </c>
      <c r="D291" s="18">
        <f>'[1]02. Matrix'!D300</f>
        <v>1</v>
      </c>
      <c r="E291" s="19">
        <f>'[1]02. Matrix'!E300</f>
        <v>1.4108277758695335E-2</v>
      </c>
      <c r="F291" s="18" t="str">
        <f>_xlfn.XLOOKUP('01. Main'!$B291,[1]Mapping!$D:$D,[1]Mapping!$A:$A,0,0)</f>
        <v>Ashoj 80</v>
      </c>
      <c r="G291" s="20">
        <f>_xlfn.XLOOKUP('01. Main'!$B291,[1]Mapping!D$2:D$24,[1]Mapping!E$2:E$24,0,0)</f>
        <v>2023</v>
      </c>
    </row>
    <row r="292" spans="1:7" x14ac:dyDescent="0.45">
      <c r="A292" s="13">
        <f>'[1]02. Matrix'!A301</f>
        <v>291</v>
      </c>
      <c r="B292" s="14">
        <f>'[1]02. Matrix'!B301</f>
        <v>18</v>
      </c>
      <c r="C292" s="14" t="str">
        <f>'[1]02. Matrix'!C301</f>
        <v>EDUCATIONAL LOAN</v>
      </c>
      <c r="D292" s="14">
        <f>'[1]02. Matrix'!D301</f>
        <v>1</v>
      </c>
      <c r="E292" s="15">
        <f>'[1]02. Matrix'!E301</f>
        <v>9.1496255725096801E-3</v>
      </c>
      <c r="F292" s="14" t="str">
        <f>_xlfn.XLOOKUP('01. Main'!$B292,[1]Mapping!$D:$D,[1]Mapping!$A:$A,0,0)</f>
        <v>Ashoj 80</v>
      </c>
      <c r="G292" s="16">
        <f>_xlfn.XLOOKUP('01. Main'!$B292,[1]Mapping!D$2:D$24,[1]Mapping!E$2:E$24,0,0)</f>
        <v>2023</v>
      </c>
    </row>
    <row r="293" spans="1:7" x14ac:dyDescent="0.45">
      <c r="A293" s="17">
        <f>'[1]02. Matrix'!A302</f>
        <v>292</v>
      </c>
      <c r="B293" s="18">
        <f>'[1]02. Matrix'!B302</f>
        <v>18</v>
      </c>
      <c r="C293" s="18" t="str">
        <f>'[1]02. Matrix'!C302</f>
        <v>AGRICULTURE LOAN</v>
      </c>
      <c r="D293" s="18">
        <f>'[1]02. Matrix'!D302</f>
        <v>1</v>
      </c>
      <c r="E293" s="19">
        <f>'[1]02. Matrix'!E302</f>
        <v>0.57822730849912563</v>
      </c>
      <c r="F293" s="18" t="str">
        <f>_xlfn.XLOOKUP('01. Main'!$B293,[1]Mapping!$D:$D,[1]Mapping!$A:$A,0,0)</f>
        <v>Ashoj 80</v>
      </c>
      <c r="G293" s="20">
        <f>_xlfn.XLOOKUP('01. Main'!$B293,[1]Mapping!D$2:D$24,[1]Mapping!E$2:E$24,0,0)</f>
        <v>2023</v>
      </c>
    </row>
    <row r="294" spans="1:7" x14ac:dyDescent="0.45">
      <c r="A294" s="13">
        <f>'[1]02. Matrix'!A303</f>
        <v>293</v>
      </c>
      <c r="B294" s="14">
        <f>'[1]02. Matrix'!B303</f>
        <v>18</v>
      </c>
      <c r="C294" s="14" t="str">
        <f>'[1]02. Matrix'!C303</f>
        <v>RESI PER.HOME-EMI</v>
      </c>
      <c r="D294" s="14">
        <f>'[1]02. Matrix'!D303</f>
        <v>1</v>
      </c>
      <c r="E294" s="15">
        <f>'[1]02. Matrix'!E303</f>
        <v>0.34646628679101787</v>
      </c>
      <c r="F294" s="14" t="str">
        <f>_xlfn.XLOOKUP('01. Main'!$B294,[1]Mapping!$D:$D,[1]Mapping!$A:$A,0,0)</f>
        <v>Ashoj 80</v>
      </c>
      <c r="G294" s="16">
        <f>_xlfn.XLOOKUP('01. Main'!$B294,[1]Mapping!D$2:D$24,[1]Mapping!E$2:E$24,0,0)</f>
        <v>2023</v>
      </c>
    </row>
    <row r="295" spans="1:7" x14ac:dyDescent="0.45">
      <c r="A295" s="17">
        <f>'[1]02. Matrix'!A304</f>
        <v>294</v>
      </c>
      <c r="B295" s="18">
        <f>'[1]02. Matrix'!B304</f>
        <v>18</v>
      </c>
      <c r="C295" s="18" t="str">
        <f>'[1]02. Matrix'!C304</f>
        <v>TERM LOAN - BUSINESS</v>
      </c>
      <c r="D295" s="18">
        <f>'[1]02. Matrix'!D304</f>
        <v>1</v>
      </c>
      <c r="E295" s="19">
        <f>'[1]02. Matrix'!E304</f>
        <v>0.59115399637470745</v>
      </c>
      <c r="F295" s="18" t="str">
        <f>_xlfn.XLOOKUP('01. Main'!$B295,[1]Mapping!$D:$D,[1]Mapping!$A:$A,0,0)</f>
        <v>Ashoj 80</v>
      </c>
      <c r="G295" s="20">
        <f>_xlfn.XLOOKUP('01. Main'!$B295,[1]Mapping!D$2:D$24,[1]Mapping!E$2:E$24,0,0)</f>
        <v>2023</v>
      </c>
    </row>
    <row r="296" spans="1:7" x14ac:dyDescent="0.45">
      <c r="A296" s="13">
        <f>'[1]02. Matrix'!A305</f>
        <v>295</v>
      </c>
      <c r="B296" s="14">
        <f>'[1]02. Matrix'!B305</f>
        <v>18</v>
      </c>
      <c r="C296" s="14" t="str">
        <f>'[1]02. Matrix'!C305</f>
        <v>CONS FIN BUSN TRM LO</v>
      </c>
      <c r="D296" s="14">
        <f>'[1]02. Matrix'!D305</f>
        <v>1</v>
      </c>
      <c r="E296" s="15">
        <f>'[1]02. Matrix'!E305</f>
        <v>0</v>
      </c>
      <c r="F296" s="14" t="str">
        <f>_xlfn.XLOOKUP('01. Main'!$B296,[1]Mapping!$D:$D,[1]Mapping!$A:$A,0,0)</f>
        <v>Ashoj 80</v>
      </c>
      <c r="G296" s="16">
        <f>_xlfn.XLOOKUP('01. Main'!$B296,[1]Mapping!D$2:D$24,[1]Mapping!E$2:E$24,0,0)</f>
        <v>2023</v>
      </c>
    </row>
    <row r="297" spans="1:7" x14ac:dyDescent="0.45">
      <c r="A297" s="17">
        <f>'[1]02. Matrix'!A306</f>
        <v>296</v>
      </c>
      <c r="B297" s="18">
        <f>'[1]02. Matrix'!B306</f>
        <v>18</v>
      </c>
      <c r="C297" s="18" t="str">
        <f>'[1]02. Matrix'!C306</f>
        <v>BIS/PERHIRE PURCHASE</v>
      </c>
      <c r="D297" s="18">
        <f>'[1]02. Matrix'!D306</f>
        <v>1</v>
      </c>
      <c r="E297" s="19">
        <f>'[1]02. Matrix'!E306</f>
        <v>0.40021739433093306</v>
      </c>
      <c r="F297" s="18" t="str">
        <f>_xlfn.XLOOKUP('01. Main'!$B297,[1]Mapping!$D:$D,[1]Mapping!$A:$A,0,0)</f>
        <v>Ashoj 80</v>
      </c>
      <c r="G297" s="20">
        <f>_xlfn.XLOOKUP('01. Main'!$B297,[1]Mapping!D$2:D$24,[1]Mapping!E$2:E$24,0,0)</f>
        <v>2023</v>
      </c>
    </row>
    <row r="298" spans="1:7" x14ac:dyDescent="0.45">
      <c r="A298" s="13">
        <f>'[1]02. Matrix'!A307</f>
        <v>297</v>
      </c>
      <c r="B298" s="14">
        <f>'[1]02. Matrix'!B307</f>
        <v>18</v>
      </c>
      <c r="C298" s="14" t="str">
        <f>'[1]02. Matrix'!C307</f>
        <v xml:space="preserve">INT CAP TERM LOAN </v>
      </c>
      <c r="D298" s="14">
        <f>'[1]02. Matrix'!D307</f>
        <v>1</v>
      </c>
      <c r="E298" s="15">
        <f>'[1]02. Matrix'!E307</f>
        <v>0</v>
      </c>
      <c r="F298" s="14" t="str">
        <f>_xlfn.XLOOKUP('01. Main'!$B298,[1]Mapping!$D:$D,[1]Mapping!$A:$A,0,0)</f>
        <v>Ashoj 80</v>
      </c>
      <c r="G298" s="16">
        <f>_xlfn.XLOOKUP('01. Main'!$B298,[1]Mapping!D$2:D$24,[1]Mapping!E$2:E$24,0,0)</f>
        <v>2023</v>
      </c>
    </row>
    <row r="299" spans="1:7" x14ac:dyDescent="0.45">
      <c r="A299" s="17">
        <f>'[1]02. Matrix'!A308</f>
        <v>298</v>
      </c>
      <c r="B299" s="18">
        <f>'[1]02. Matrix'!B308</f>
        <v>18</v>
      </c>
      <c r="C299" s="18" t="str">
        <f>'[1]02. Matrix'!C308</f>
        <v>PERSONAL LOAN</v>
      </c>
      <c r="D299" s="18">
        <f>'[1]02. Matrix'!D308</f>
        <v>1</v>
      </c>
      <c r="E299" s="19">
        <f>'[1]02. Matrix'!E308</f>
        <v>0.32375171434768502</v>
      </c>
      <c r="F299" s="18" t="str">
        <f>_xlfn.XLOOKUP('01. Main'!$B299,[1]Mapping!$D:$D,[1]Mapping!$A:$A,0,0)</f>
        <v>Ashoj 80</v>
      </c>
      <c r="G299" s="20">
        <f>_xlfn.XLOOKUP('01. Main'!$B299,[1]Mapping!D$2:D$24,[1]Mapping!E$2:E$24,0,0)</f>
        <v>2023</v>
      </c>
    </row>
    <row r="300" spans="1:7" x14ac:dyDescent="0.45">
      <c r="A300" s="13">
        <f>'[1]02. Matrix'!A309</f>
        <v>299</v>
      </c>
      <c r="B300" s="14">
        <f>'[1]02. Matrix'!B309</f>
        <v>18</v>
      </c>
      <c r="C300" s="14" t="str">
        <f>'[1]02. Matrix'!C309</f>
        <v>MORTGAGE LOAN</v>
      </c>
      <c r="D300" s="14">
        <f>'[1]02. Matrix'!D309</f>
        <v>1</v>
      </c>
      <c r="E300" s="15">
        <f>'[1]02. Matrix'!E309</f>
        <v>0.46708850989528555</v>
      </c>
      <c r="F300" s="14" t="str">
        <f>_xlfn.XLOOKUP('01. Main'!$B300,[1]Mapping!$D:$D,[1]Mapping!$A:$A,0,0)</f>
        <v>Ashoj 80</v>
      </c>
      <c r="G300" s="16">
        <f>_xlfn.XLOOKUP('01. Main'!$B300,[1]Mapping!D$2:D$24,[1]Mapping!E$2:E$24,0,0)</f>
        <v>2023</v>
      </c>
    </row>
    <row r="301" spans="1:7" x14ac:dyDescent="0.45">
      <c r="A301" s="17">
        <f>'[1]02. Matrix'!A310</f>
        <v>300</v>
      </c>
      <c r="B301" s="18">
        <f>'[1]02. Matrix'!B310</f>
        <v>18</v>
      </c>
      <c r="C301" s="18" t="str">
        <f>'[1]02. Matrix'!C310</f>
        <v>LOAN AGAINST FDR</v>
      </c>
      <c r="D301" s="18">
        <f>'[1]02. Matrix'!D310</f>
        <v>1</v>
      </c>
      <c r="E301" s="19">
        <f>'[1]02. Matrix'!E310</f>
        <v>0</v>
      </c>
      <c r="F301" s="18" t="str">
        <f>_xlfn.XLOOKUP('01. Main'!$B301,[1]Mapping!$D:$D,[1]Mapping!$A:$A,0,0)</f>
        <v>Ashoj 80</v>
      </c>
      <c r="G301" s="20">
        <f>_xlfn.XLOOKUP('01. Main'!$B301,[1]Mapping!D$2:D$24,[1]Mapping!E$2:E$24,0,0)</f>
        <v>2023</v>
      </c>
    </row>
    <row r="302" spans="1:7" x14ac:dyDescent="0.45">
      <c r="A302" s="13">
        <f>'[1]02. Matrix'!A311</f>
        <v>301</v>
      </c>
      <c r="B302" s="14">
        <f>'[1]02. Matrix'!B311</f>
        <v>18</v>
      </c>
      <c r="C302" s="14" t="str">
        <f>'[1]02. Matrix'!C311</f>
        <v>RECEIVABLE LOAN</v>
      </c>
      <c r="D302" s="14">
        <f>'[1]02. Matrix'!D311</f>
        <v>1</v>
      </c>
      <c r="E302" s="15">
        <f>'[1]02. Matrix'!E311</f>
        <v>0</v>
      </c>
      <c r="F302" s="14" t="str">
        <f>_xlfn.XLOOKUP('01. Main'!$B302,[1]Mapping!$D:$D,[1]Mapping!$A:$A,0,0)</f>
        <v>Ashoj 80</v>
      </c>
      <c r="G302" s="16">
        <f>_xlfn.XLOOKUP('01. Main'!$B302,[1]Mapping!D$2:D$24,[1]Mapping!E$2:E$24,0,0)</f>
        <v>2023</v>
      </c>
    </row>
    <row r="303" spans="1:7" x14ac:dyDescent="0.45">
      <c r="A303" s="17">
        <f>'[1]02. Matrix'!A312</f>
        <v>302</v>
      </c>
      <c r="B303" s="18">
        <f>'[1]02. Matrix'!B312</f>
        <v>18</v>
      </c>
      <c r="C303" s="18" t="str">
        <f>'[1]02. Matrix'!C312</f>
        <v>STAFF LOAN</v>
      </c>
      <c r="D303" s="18">
        <f>'[1]02. Matrix'!D312</f>
        <v>1</v>
      </c>
      <c r="E303" s="19">
        <f>'[1]02. Matrix'!E312</f>
        <v>0</v>
      </c>
      <c r="F303" s="18" t="str">
        <f>_xlfn.XLOOKUP('01. Main'!$B303,[1]Mapping!$D:$D,[1]Mapping!$A:$A,0,0)</f>
        <v>Ashoj 80</v>
      </c>
      <c r="G303" s="20">
        <f>_xlfn.XLOOKUP('01. Main'!$B303,[1]Mapping!D$2:D$24,[1]Mapping!E$2:E$24,0,0)</f>
        <v>2023</v>
      </c>
    </row>
    <row r="304" spans="1:7" x14ac:dyDescent="0.45">
      <c r="A304" s="13">
        <f>'[1]02. Matrix'!A313</f>
        <v>303</v>
      </c>
      <c r="B304" s="14">
        <f>'[1]02. Matrix'!B313</f>
        <v>18</v>
      </c>
      <c r="C304" s="14" t="str">
        <f>'[1]02. Matrix'!C313</f>
        <v>AGRICULTURAL LOAN</v>
      </c>
      <c r="D304" s="14">
        <f>'[1]02. Matrix'!D313</f>
        <v>1</v>
      </c>
      <c r="E304" s="15">
        <f>'[1]02. Matrix'!E313</f>
        <v>8.4534926537409696E-2</v>
      </c>
      <c r="F304" s="14" t="str">
        <f>_xlfn.XLOOKUP('01. Main'!$B304,[1]Mapping!$D:$D,[1]Mapping!$A:$A,0,0)</f>
        <v>Ashoj 80</v>
      </c>
      <c r="G304" s="16">
        <f>_xlfn.XLOOKUP('01. Main'!$B304,[1]Mapping!D$2:D$24,[1]Mapping!E$2:E$24,0,0)</f>
        <v>2023</v>
      </c>
    </row>
    <row r="305" spans="1:7" x14ac:dyDescent="0.45">
      <c r="A305" s="17">
        <f>'[1]02. Matrix'!A314</f>
        <v>304</v>
      </c>
      <c r="B305" s="18">
        <f>'[1]02. Matrix'!B314</f>
        <v>18</v>
      </c>
      <c r="C305" s="18" t="str">
        <f>'[1]02. Matrix'!C314</f>
        <v>EARTHQUAKE RELIEF LO</v>
      </c>
      <c r="D305" s="18">
        <f>'[1]02. Matrix'!D314</f>
        <v>1</v>
      </c>
      <c r="E305" s="19">
        <f>'[1]02. Matrix'!E314</f>
        <v>0</v>
      </c>
      <c r="F305" s="18" t="str">
        <f>_xlfn.XLOOKUP('01. Main'!$B305,[1]Mapping!$D:$D,[1]Mapping!$A:$A,0,0)</f>
        <v>Ashoj 80</v>
      </c>
      <c r="G305" s="20">
        <f>_xlfn.XLOOKUP('01. Main'!$B305,[1]Mapping!D$2:D$24,[1]Mapping!E$2:E$24,0,0)</f>
        <v>2023</v>
      </c>
    </row>
    <row r="306" spans="1:7" x14ac:dyDescent="0.45">
      <c r="A306" s="13">
        <f>'[1]02. Matrix'!A315</f>
        <v>305</v>
      </c>
      <c r="B306" s="14">
        <f>'[1]02. Matrix'!B315</f>
        <v>18</v>
      </c>
      <c r="C306" s="14" t="str">
        <f>'[1]02. Matrix'!C315</f>
        <v>TOURISM SECTOR LOAN</v>
      </c>
      <c r="D306" s="14">
        <f>'[1]02. Matrix'!D315</f>
        <v>1</v>
      </c>
      <c r="E306" s="15">
        <f>'[1]02. Matrix'!E315</f>
        <v>0</v>
      </c>
      <c r="F306" s="14" t="str">
        <f>_xlfn.XLOOKUP('01. Main'!$B306,[1]Mapping!$D:$D,[1]Mapping!$A:$A,0,0)</f>
        <v>Ashoj 80</v>
      </c>
      <c r="G306" s="16">
        <f>_xlfn.XLOOKUP('01. Main'!$B306,[1]Mapping!D$2:D$24,[1]Mapping!E$2:E$24,0,0)</f>
        <v>2023</v>
      </c>
    </row>
    <row r="307" spans="1:7" x14ac:dyDescent="0.45">
      <c r="A307" s="17">
        <f>'[1]02. Matrix'!A316</f>
        <v>306</v>
      </c>
      <c r="B307" s="18">
        <f>'[1]02. Matrix'!B316</f>
        <v>18</v>
      </c>
      <c r="C307" s="18" t="str">
        <f>'[1]02. Matrix'!C316</f>
        <v>SME LOAN</v>
      </c>
      <c r="D307" s="18">
        <f>'[1]02. Matrix'!D316</f>
        <v>1</v>
      </c>
      <c r="E307" s="19">
        <f>'[1]02. Matrix'!E316</f>
        <v>0</v>
      </c>
      <c r="F307" s="18" t="str">
        <f>_xlfn.XLOOKUP('01. Main'!$B307,[1]Mapping!$D:$D,[1]Mapping!$A:$A,0,0)</f>
        <v>Ashoj 80</v>
      </c>
      <c r="G307" s="20">
        <f>_xlfn.XLOOKUP('01. Main'!$B307,[1]Mapping!D$2:D$24,[1]Mapping!E$2:E$24,0,0)</f>
        <v>2023</v>
      </c>
    </row>
    <row r="308" spans="1:7" x14ac:dyDescent="0.45">
      <c r="A308" s="13">
        <f>'[1]02. Matrix'!A317</f>
        <v>307</v>
      </c>
      <c r="B308" s="14">
        <f>'[1]02. Matrix'!B317</f>
        <v>18</v>
      </c>
      <c r="C308" s="14" t="str">
        <f>'[1]02. Matrix'!C317</f>
        <v>EDUCATIONAL LOAN EMI</v>
      </c>
      <c r="D308" s="14">
        <f>'[1]02. Matrix'!D317</f>
        <v>1</v>
      </c>
      <c r="E308" s="15">
        <f>'[1]02. Matrix'!E317</f>
        <v>0</v>
      </c>
      <c r="F308" s="14" t="str">
        <f>_xlfn.XLOOKUP('01. Main'!$B308,[1]Mapping!$D:$D,[1]Mapping!$A:$A,0,0)</f>
        <v>Ashoj 80</v>
      </c>
      <c r="G308" s="16">
        <f>_xlfn.XLOOKUP('01. Main'!$B308,[1]Mapping!D$2:D$24,[1]Mapping!E$2:E$24,0,0)</f>
        <v>2023</v>
      </c>
    </row>
    <row r="309" spans="1:7" x14ac:dyDescent="0.45">
      <c r="A309" s="17">
        <f>'[1]02. Matrix'!A318</f>
        <v>308</v>
      </c>
      <c r="B309" s="18">
        <f>'[1]02. Matrix'!B318</f>
        <v>18</v>
      </c>
      <c r="C309" s="18" t="str">
        <f>'[1]02. Matrix'!C318</f>
        <v>OVERDRAFT PROFESSION</v>
      </c>
      <c r="D309" s="18">
        <f>'[1]02. Matrix'!D318</f>
        <v>1</v>
      </c>
      <c r="E309" s="19">
        <f>'[1]02. Matrix'!E318</f>
        <v>0</v>
      </c>
      <c r="F309" s="18" t="str">
        <f>_xlfn.XLOOKUP('01. Main'!$B309,[1]Mapping!$D:$D,[1]Mapping!$A:$A,0,0)</f>
        <v>Ashoj 80</v>
      </c>
      <c r="G309" s="20">
        <f>_xlfn.XLOOKUP('01. Main'!$B309,[1]Mapping!D$2:D$24,[1]Mapping!E$2:E$24,0,0)</f>
        <v>2023</v>
      </c>
    </row>
    <row r="310" spans="1:7" x14ac:dyDescent="0.45">
      <c r="A310" s="13">
        <f>'[1]02. Matrix'!A319</f>
        <v>309</v>
      </c>
      <c r="B310" s="14">
        <f>'[1]02. Matrix'!B319</f>
        <v>18</v>
      </c>
      <c r="C310" s="14" t="str">
        <f>'[1]02. Matrix'!C319</f>
        <v>OD PERSONAL LOAN</v>
      </c>
      <c r="D310" s="14">
        <f>'[1]02. Matrix'!D319</f>
        <v>2</v>
      </c>
      <c r="E310" s="15">
        <f>'[1]02. Matrix'!E319</f>
        <v>1</v>
      </c>
      <c r="F310" s="14" t="str">
        <f>_xlfn.XLOOKUP('01. Main'!$B310,[1]Mapping!$D:$D,[1]Mapping!$A:$A,0,0)</f>
        <v>Ashoj 80</v>
      </c>
      <c r="G310" s="16">
        <f>_xlfn.XLOOKUP('01. Main'!$B310,[1]Mapping!D$2:D$24,[1]Mapping!E$2:E$24,0,0)</f>
        <v>2023</v>
      </c>
    </row>
    <row r="311" spans="1:7" x14ac:dyDescent="0.45">
      <c r="A311" s="17">
        <f>'[1]02. Matrix'!A320</f>
        <v>310</v>
      </c>
      <c r="B311" s="18">
        <f>'[1]02. Matrix'!B320</f>
        <v>18</v>
      </c>
      <c r="C311" s="18" t="str">
        <f>'[1]02. Matrix'!C320</f>
        <v>OD BUSINESS LOAN</v>
      </c>
      <c r="D311" s="18">
        <f>'[1]02. Matrix'!D320</f>
        <v>2</v>
      </c>
      <c r="E311" s="19">
        <f>'[1]02. Matrix'!E320</f>
        <v>0</v>
      </c>
      <c r="F311" s="18" t="str">
        <f>_xlfn.XLOOKUP('01. Main'!$B311,[1]Mapping!$D:$D,[1]Mapping!$A:$A,0,0)</f>
        <v>Ashoj 80</v>
      </c>
      <c r="G311" s="20">
        <f>_xlfn.XLOOKUP('01. Main'!$B311,[1]Mapping!D$2:D$24,[1]Mapping!E$2:E$24,0,0)</f>
        <v>2023</v>
      </c>
    </row>
    <row r="312" spans="1:7" x14ac:dyDescent="0.45">
      <c r="A312" s="13">
        <f>'[1]02. Matrix'!A321</f>
        <v>311</v>
      </c>
      <c r="B312" s="14">
        <f>'[1]02. Matrix'!B321</f>
        <v>18</v>
      </c>
      <c r="C312" s="14" t="str">
        <f>'[1]02. Matrix'!C321</f>
        <v>OD STAFF LOAN</v>
      </c>
      <c r="D312" s="14">
        <f>'[1]02. Matrix'!D321</f>
        <v>2</v>
      </c>
      <c r="E312" s="15">
        <f>'[1]02. Matrix'!E321</f>
        <v>0</v>
      </c>
      <c r="F312" s="14" t="str">
        <f>_xlfn.XLOOKUP('01. Main'!$B312,[1]Mapping!$D:$D,[1]Mapping!$A:$A,0,0)</f>
        <v>Ashoj 80</v>
      </c>
      <c r="G312" s="16">
        <f>_xlfn.XLOOKUP('01. Main'!$B312,[1]Mapping!D$2:D$24,[1]Mapping!E$2:E$24,0,0)</f>
        <v>2023</v>
      </c>
    </row>
    <row r="313" spans="1:7" x14ac:dyDescent="0.45">
      <c r="A313" s="17">
        <f>'[1]02. Matrix'!A322</f>
        <v>312</v>
      </c>
      <c r="B313" s="18">
        <f>'[1]02. Matrix'!B322</f>
        <v>18</v>
      </c>
      <c r="C313" s="18" t="str">
        <f>'[1]02. Matrix'!C322</f>
        <v>TERM LOAN</v>
      </c>
      <c r="D313" s="18">
        <f>'[1]02. Matrix'!D322</f>
        <v>2</v>
      </c>
      <c r="E313" s="19">
        <f>'[1]02. Matrix'!E322</f>
        <v>0.49139528068964528</v>
      </c>
      <c r="F313" s="18" t="str">
        <f>_xlfn.XLOOKUP('01. Main'!$B313,[1]Mapping!$D:$D,[1]Mapping!$A:$A,0,0)</f>
        <v>Ashoj 80</v>
      </c>
      <c r="G313" s="20">
        <f>_xlfn.XLOOKUP('01. Main'!$B313,[1]Mapping!D$2:D$24,[1]Mapping!E$2:E$24,0,0)</f>
        <v>2023</v>
      </c>
    </row>
    <row r="314" spans="1:7" x14ac:dyDescent="0.45">
      <c r="A314" s="13">
        <f>'[1]02. Matrix'!A323</f>
        <v>313</v>
      </c>
      <c r="B314" s="14">
        <f>'[1]02. Matrix'!B323</f>
        <v>18</v>
      </c>
      <c r="C314" s="14" t="str">
        <f>'[1]02. Matrix'!C323</f>
        <v>WC TRADING/IND LOAN</v>
      </c>
      <c r="D314" s="14">
        <f>'[1]02. Matrix'!D323</f>
        <v>2</v>
      </c>
      <c r="E314" s="15">
        <f>'[1]02. Matrix'!E323</f>
        <v>0.75826984904903272</v>
      </c>
      <c r="F314" s="14" t="str">
        <f>_xlfn.XLOOKUP('01. Main'!$B314,[1]Mapping!$D:$D,[1]Mapping!$A:$A,0,0)</f>
        <v>Ashoj 80</v>
      </c>
      <c r="G314" s="16">
        <f>_xlfn.XLOOKUP('01. Main'!$B314,[1]Mapping!D$2:D$24,[1]Mapping!E$2:E$24,0,0)</f>
        <v>2023</v>
      </c>
    </row>
    <row r="315" spans="1:7" x14ac:dyDescent="0.45">
      <c r="A315" s="17">
        <f>'[1]02. Matrix'!A324</f>
        <v>314</v>
      </c>
      <c r="B315" s="18">
        <f>'[1]02. Matrix'!B324</f>
        <v>18</v>
      </c>
      <c r="C315" s="18" t="str">
        <f>'[1]02. Matrix'!C324</f>
        <v>HOUSING LOAN</v>
      </c>
      <c r="D315" s="18">
        <f>'[1]02. Matrix'!D324</f>
        <v>2</v>
      </c>
      <c r="E315" s="19">
        <f>'[1]02. Matrix'!E324</f>
        <v>0.73638931668264318</v>
      </c>
      <c r="F315" s="18" t="str">
        <f>_xlfn.XLOOKUP('01. Main'!$B315,[1]Mapping!$D:$D,[1]Mapping!$A:$A,0,0)</f>
        <v>Ashoj 80</v>
      </c>
      <c r="G315" s="20">
        <f>_xlfn.XLOOKUP('01. Main'!$B315,[1]Mapping!D$2:D$24,[1]Mapping!E$2:E$24,0,0)</f>
        <v>2023</v>
      </c>
    </row>
    <row r="316" spans="1:7" x14ac:dyDescent="0.45">
      <c r="A316" s="13">
        <f>'[1]02. Matrix'!A325</f>
        <v>315</v>
      </c>
      <c r="B316" s="14">
        <f>'[1]02. Matrix'!B325</f>
        <v>18</v>
      </c>
      <c r="C316" s="14" t="str">
        <f>'[1]02. Matrix'!C325</f>
        <v>RESI REAL EST LOAN</v>
      </c>
      <c r="D316" s="14">
        <f>'[1]02. Matrix'!D325</f>
        <v>2</v>
      </c>
      <c r="E316" s="15">
        <f>'[1]02. Matrix'!E325</f>
        <v>0</v>
      </c>
      <c r="F316" s="14" t="str">
        <f>_xlfn.XLOOKUP('01. Main'!$B316,[1]Mapping!$D:$D,[1]Mapping!$A:$A,0,0)</f>
        <v>Ashoj 80</v>
      </c>
      <c r="G316" s="16">
        <f>_xlfn.XLOOKUP('01. Main'!$B316,[1]Mapping!D$2:D$24,[1]Mapping!E$2:E$24,0,0)</f>
        <v>2023</v>
      </c>
    </row>
    <row r="317" spans="1:7" x14ac:dyDescent="0.45">
      <c r="A317" s="17">
        <f>'[1]02. Matrix'!A326</f>
        <v>316</v>
      </c>
      <c r="B317" s="18">
        <f>'[1]02. Matrix'!B326</f>
        <v>18</v>
      </c>
      <c r="C317" s="18" t="str">
        <f>'[1]02. Matrix'!C326</f>
        <v>MARGIN NATURE LOAN</v>
      </c>
      <c r="D317" s="18">
        <f>'[1]02. Matrix'!D326</f>
        <v>2</v>
      </c>
      <c r="E317" s="19">
        <f>'[1]02. Matrix'!E326</f>
        <v>0</v>
      </c>
      <c r="F317" s="18" t="str">
        <f>_xlfn.XLOOKUP('01. Main'!$B317,[1]Mapping!$D:$D,[1]Mapping!$A:$A,0,0)</f>
        <v>Ashoj 80</v>
      </c>
      <c r="G317" s="20">
        <f>_xlfn.XLOOKUP('01. Main'!$B317,[1]Mapping!D$2:D$24,[1]Mapping!E$2:E$24,0,0)</f>
        <v>2023</v>
      </c>
    </row>
    <row r="318" spans="1:7" x14ac:dyDescent="0.45">
      <c r="A318" s="13">
        <f>'[1]02. Matrix'!A327</f>
        <v>317</v>
      </c>
      <c r="B318" s="14">
        <f>'[1]02. Matrix'!B327</f>
        <v>18</v>
      </c>
      <c r="C318" s="14" t="str">
        <f>'[1]02. Matrix'!C327</f>
        <v>HIRE PURCHASE LOAN</v>
      </c>
      <c r="D318" s="14">
        <f>'[1]02. Matrix'!D327</f>
        <v>2</v>
      </c>
      <c r="E318" s="15">
        <f>'[1]02. Matrix'!E327</f>
        <v>0.98770795699460978</v>
      </c>
      <c r="F318" s="14" t="str">
        <f>_xlfn.XLOOKUP('01. Main'!$B318,[1]Mapping!$D:$D,[1]Mapping!$A:$A,0,0)</f>
        <v>Ashoj 80</v>
      </c>
      <c r="G318" s="16">
        <f>_xlfn.XLOOKUP('01. Main'!$B318,[1]Mapping!D$2:D$24,[1]Mapping!E$2:E$24,0,0)</f>
        <v>2023</v>
      </c>
    </row>
    <row r="319" spans="1:7" x14ac:dyDescent="0.45">
      <c r="A319" s="17">
        <f>'[1]02. Matrix'!A328</f>
        <v>318</v>
      </c>
      <c r="B319" s="18">
        <f>'[1]02. Matrix'!B328</f>
        <v>18</v>
      </c>
      <c r="C319" s="18" t="str">
        <f>'[1]02. Matrix'!C328</f>
        <v>DEPRIVED SECTOR LOAN</v>
      </c>
      <c r="D319" s="18">
        <f>'[1]02. Matrix'!D328</f>
        <v>2</v>
      </c>
      <c r="E319" s="19">
        <f>'[1]02. Matrix'!E328</f>
        <v>0.20971649691495162</v>
      </c>
      <c r="F319" s="18" t="str">
        <f>_xlfn.XLOOKUP('01. Main'!$B319,[1]Mapping!$D:$D,[1]Mapping!$A:$A,0,0)</f>
        <v>Ashoj 80</v>
      </c>
      <c r="G319" s="20">
        <f>_xlfn.XLOOKUP('01. Main'!$B319,[1]Mapping!D$2:D$24,[1]Mapping!E$2:E$24,0,0)</f>
        <v>2023</v>
      </c>
    </row>
    <row r="320" spans="1:7" x14ac:dyDescent="0.45">
      <c r="A320" s="13">
        <f>'[1]02. Matrix'!A329</f>
        <v>319</v>
      </c>
      <c r="B320" s="14">
        <f>'[1]02. Matrix'!B329</f>
        <v>18</v>
      </c>
      <c r="C320" s="14" t="str">
        <f>'[1]02. Matrix'!C329</f>
        <v>EDUCATIONAL LOAN</v>
      </c>
      <c r="D320" s="14">
        <f>'[1]02. Matrix'!D329</f>
        <v>2</v>
      </c>
      <c r="E320" s="15">
        <f>'[1]02. Matrix'!E329</f>
        <v>0</v>
      </c>
      <c r="F320" s="14" t="str">
        <f>_xlfn.XLOOKUP('01. Main'!$B320,[1]Mapping!$D:$D,[1]Mapping!$A:$A,0,0)</f>
        <v>Ashoj 80</v>
      </c>
      <c r="G320" s="16">
        <f>_xlfn.XLOOKUP('01. Main'!$B320,[1]Mapping!D$2:D$24,[1]Mapping!E$2:E$24,0,0)</f>
        <v>2023</v>
      </c>
    </row>
    <row r="321" spans="1:7" x14ac:dyDescent="0.45">
      <c r="A321" s="17">
        <f>'[1]02. Matrix'!A330</f>
        <v>320</v>
      </c>
      <c r="B321" s="18">
        <f>'[1]02. Matrix'!B330</f>
        <v>18</v>
      </c>
      <c r="C321" s="18" t="str">
        <f>'[1]02. Matrix'!C330</f>
        <v>AGRICULTURE LOAN</v>
      </c>
      <c r="D321" s="18">
        <f>'[1]02. Matrix'!D330</f>
        <v>2</v>
      </c>
      <c r="E321" s="19">
        <f>'[1]02. Matrix'!E330</f>
        <v>0.78833475956443033</v>
      </c>
      <c r="F321" s="18" t="str">
        <f>_xlfn.XLOOKUP('01. Main'!$B321,[1]Mapping!$D:$D,[1]Mapping!$A:$A,0,0)</f>
        <v>Ashoj 80</v>
      </c>
      <c r="G321" s="20">
        <f>_xlfn.XLOOKUP('01. Main'!$B321,[1]Mapping!D$2:D$24,[1]Mapping!E$2:E$24,0,0)</f>
        <v>2023</v>
      </c>
    </row>
    <row r="322" spans="1:7" x14ac:dyDescent="0.45">
      <c r="A322" s="13">
        <f>'[1]02. Matrix'!A331</f>
        <v>321</v>
      </c>
      <c r="B322" s="14">
        <f>'[1]02. Matrix'!B331</f>
        <v>18</v>
      </c>
      <c r="C322" s="14" t="str">
        <f>'[1]02. Matrix'!C331</f>
        <v>RESI PER.HOME-EMI</v>
      </c>
      <c r="D322" s="14">
        <f>'[1]02. Matrix'!D331</f>
        <v>2</v>
      </c>
      <c r="E322" s="15">
        <f>'[1]02. Matrix'!E331</f>
        <v>0.57904896043197573</v>
      </c>
      <c r="F322" s="14" t="str">
        <f>_xlfn.XLOOKUP('01. Main'!$B322,[1]Mapping!$D:$D,[1]Mapping!$A:$A,0,0)</f>
        <v>Ashoj 80</v>
      </c>
      <c r="G322" s="16">
        <f>_xlfn.XLOOKUP('01. Main'!$B322,[1]Mapping!D$2:D$24,[1]Mapping!E$2:E$24,0,0)</f>
        <v>2023</v>
      </c>
    </row>
    <row r="323" spans="1:7" x14ac:dyDescent="0.45">
      <c r="A323" s="17">
        <f>'[1]02. Matrix'!A332</f>
        <v>322</v>
      </c>
      <c r="B323" s="18">
        <f>'[1]02. Matrix'!B332</f>
        <v>18</v>
      </c>
      <c r="C323" s="18" t="str">
        <f>'[1]02. Matrix'!C332</f>
        <v>TERM LOAN - BUSINESS</v>
      </c>
      <c r="D323" s="18">
        <f>'[1]02. Matrix'!D332</f>
        <v>2</v>
      </c>
      <c r="E323" s="19">
        <f>'[1]02. Matrix'!E332</f>
        <v>1</v>
      </c>
      <c r="F323" s="18" t="str">
        <f>_xlfn.XLOOKUP('01. Main'!$B323,[1]Mapping!$D:$D,[1]Mapping!$A:$A,0,0)</f>
        <v>Ashoj 80</v>
      </c>
      <c r="G323" s="20">
        <f>_xlfn.XLOOKUP('01. Main'!$B323,[1]Mapping!D$2:D$24,[1]Mapping!E$2:E$24,0,0)</f>
        <v>2023</v>
      </c>
    </row>
    <row r="324" spans="1:7" x14ac:dyDescent="0.45">
      <c r="A324" s="13">
        <f>'[1]02. Matrix'!A333</f>
        <v>323</v>
      </c>
      <c r="B324" s="14">
        <f>'[1]02. Matrix'!B333</f>
        <v>18</v>
      </c>
      <c r="C324" s="14" t="str">
        <f>'[1]02. Matrix'!C333</f>
        <v>CONS FIN BUSN TRM LO</v>
      </c>
      <c r="D324" s="14">
        <f>'[1]02. Matrix'!D333</f>
        <v>2</v>
      </c>
      <c r="E324" s="15">
        <f>'[1]02. Matrix'!E333</f>
        <v>0</v>
      </c>
      <c r="F324" s="14" t="str">
        <f>_xlfn.XLOOKUP('01. Main'!$B324,[1]Mapping!$D:$D,[1]Mapping!$A:$A,0,0)</f>
        <v>Ashoj 80</v>
      </c>
      <c r="G324" s="16">
        <f>_xlfn.XLOOKUP('01. Main'!$B324,[1]Mapping!D$2:D$24,[1]Mapping!E$2:E$24,0,0)</f>
        <v>2023</v>
      </c>
    </row>
    <row r="325" spans="1:7" x14ac:dyDescent="0.45">
      <c r="A325" s="17">
        <f>'[1]02. Matrix'!A334</f>
        <v>324</v>
      </c>
      <c r="B325" s="18">
        <f>'[1]02. Matrix'!B334</f>
        <v>18</v>
      </c>
      <c r="C325" s="18" t="str">
        <f>'[1]02. Matrix'!C334</f>
        <v>BIS/PERHIRE PURCHASE</v>
      </c>
      <c r="D325" s="18">
        <f>'[1]02. Matrix'!D334</f>
        <v>2</v>
      </c>
      <c r="E325" s="19">
        <f>'[1]02. Matrix'!E334</f>
        <v>0.71911505203798565</v>
      </c>
      <c r="F325" s="18" t="str">
        <f>_xlfn.XLOOKUP('01. Main'!$B325,[1]Mapping!$D:$D,[1]Mapping!$A:$A,0,0)</f>
        <v>Ashoj 80</v>
      </c>
      <c r="G325" s="20">
        <f>_xlfn.XLOOKUP('01. Main'!$B325,[1]Mapping!D$2:D$24,[1]Mapping!E$2:E$24,0,0)</f>
        <v>2023</v>
      </c>
    </row>
    <row r="326" spans="1:7" x14ac:dyDescent="0.45">
      <c r="A326" s="13">
        <f>'[1]02. Matrix'!A335</f>
        <v>325</v>
      </c>
      <c r="B326" s="14">
        <f>'[1]02. Matrix'!B335</f>
        <v>18</v>
      </c>
      <c r="C326" s="14" t="str">
        <f>'[1]02. Matrix'!C335</f>
        <v xml:space="preserve">INT CAP TERM LOAN </v>
      </c>
      <c r="D326" s="14">
        <f>'[1]02. Matrix'!D335</f>
        <v>2</v>
      </c>
      <c r="E326" s="15">
        <f>'[1]02. Matrix'!E335</f>
        <v>0</v>
      </c>
      <c r="F326" s="14" t="str">
        <f>_xlfn.XLOOKUP('01. Main'!$B326,[1]Mapping!$D:$D,[1]Mapping!$A:$A,0,0)</f>
        <v>Ashoj 80</v>
      </c>
      <c r="G326" s="16">
        <f>_xlfn.XLOOKUP('01. Main'!$B326,[1]Mapping!D$2:D$24,[1]Mapping!E$2:E$24,0,0)</f>
        <v>2023</v>
      </c>
    </row>
    <row r="327" spans="1:7" x14ac:dyDescent="0.45">
      <c r="A327" s="17">
        <f>'[1]02. Matrix'!A336</f>
        <v>326</v>
      </c>
      <c r="B327" s="18">
        <f>'[1]02. Matrix'!B336</f>
        <v>18</v>
      </c>
      <c r="C327" s="18" t="str">
        <f>'[1]02. Matrix'!C336</f>
        <v>PERSONAL LOAN</v>
      </c>
      <c r="D327" s="18">
        <f>'[1]02. Matrix'!D336</f>
        <v>2</v>
      </c>
      <c r="E327" s="19">
        <f>'[1]02. Matrix'!E336</f>
        <v>0.46495769744555115</v>
      </c>
      <c r="F327" s="18" t="str">
        <f>_xlfn.XLOOKUP('01. Main'!$B327,[1]Mapping!$D:$D,[1]Mapping!$A:$A,0,0)</f>
        <v>Ashoj 80</v>
      </c>
      <c r="G327" s="20">
        <f>_xlfn.XLOOKUP('01. Main'!$B327,[1]Mapping!D$2:D$24,[1]Mapping!E$2:E$24,0,0)</f>
        <v>2023</v>
      </c>
    </row>
    <row r="328" spans="1:7" x14ac:dyDescent="0.45">
      <c r="A328" s="13">
        <f>'[1]02. Matrix'!A337</f>
        <v>327</v>
      </c>
      <c r="B328" s="14">
        <f>'[1]02. Matrix'!B337</f>
        <v>18</v>
      </c>
      <c r="C328" s="14" t="str">
        <f>'[1]02. Matrix'!C337</f>
        <v>MORTGAGE LOAN</v>
      </c>
      <c r="D328" s="14">
        <f>'[1]02. Matrix'!D337</f>
        <v>2</v>
      </c>
      <c r="E328" s="15">
        <f>'[1]02. Matrix'!E337</f>
        <v>0.54339685937727045</v>
      </c>
      <c r="F328" s="14" t="str">
        <f>_xlfn.XLOOKUP('01. Main'!$B328,[1]Mapping!$D:$D,[1]Mapping!$A:$A,0,0)</f>
        <v>Ashoj 80</v>
      </c>
      <c r="G328" s="16">
        <f>_xlfn.XLOOKUP('01. Main'!$B328,[1]Mapping!D$2:D$24,[1]Mapping!E$2:E$24,0,0)</f>
        <v>2023</v>
      </c>
    </row>
    <row r="329" spans="1:7" x14ac:dyDescent="0.45">
      <c r="A329" s="17">
        <f>'[1]02. Matrix'!A338</f>
        <v>328</v>
      </c>
      <c r="B329" s="18">
        <f>'[1]02. Matrix'!B338</f>
        <v>18</v>
      </c>
      <c r="C329" s="18" t="str">
        <f>'[1]02. Matrix'!C338</f>
        <v>LOAN AGAINST FDR</v>
      </c>
      <c r="D329" s="18">
        <f>'[1]02. Matrix'!D338</f>
        <v>2</v>
      </c>
      <c r="E329" s="19">
        <f>'[1]02. Matrix'!E338</f>
        <v>0</v>
      </c>
      <c r="F329" s="18" t="str">
        <f>_xlfn.XLOOKUP('01. Main'!$B329,[1]Mapping!$D:$D,[1]Mapping!$A:$A,0,0)</f>
        <v>Ashoj 80</v>
      </c>
      <c r="G329" s="20">
        <f>_xlfn.XLOOKUP('01. Main'!$B329,[1]Mapping!D$2:D$24,[1]Mapping!E$2:E$24,0,0)</f>
        <v>2023</v>
      </c>
    </row>
    <row r="330" spans="1:7" x14ac:dyDescent="0.45">
      <c r="A330" s="13">
        <f>'[1]02. Matrix'!A339</f>
        <v>329</v>
      </c>
      <c r="B330" s="14">
        <f>'[1]02. Matrix'!B339</f>
        <v>18</v>
      </c>
      <c r="C330" s="14" t="str">
        <f>'[1]02. Matrix'!C339</f>
        <v>RECEIVABLE LOAN</v>
      </c>
      <c r="D330" s="14">
        <f>'[1]02. Matrix'!D339</f>
        <v>2</v>
      </c>
      <c r="E330" s="15">
        <f>'[1]02. Matrix'!E339</f>
        <v>0</v>
      </c>
      <c r="F330" s="14" t="str">
        <f>_xlfn.XLOOKUP('01. Main'!$B330,[1]Mapping!$D:$D,[1]Mapping!$A:$A,0,0)</f>
        <v>Ashoj 80</v>
      </c>
      <c r="G330" s="16">
        <f>_xlfn.XLOOKUP('01. Main'!$B330,[1]Mapping!D$2:D$24,[1]Mapping!E$2:E$24,0,0)</f>
        <v>2023</v>
      </c>
    </row>
    <row r="331" spans="1:7" x14ac:dyDescent="0.45">
      <c r="A331" s="17">
        <f>'[1]02. Matrix'!A340</f>
        <v>330</v>
      </c>
      <c r="B331" s="18">
        <f>'[1]02. Matrix'!B340</f>
        <v>18</v>
      </c>
      <c r="C331" s="18" t="str">
        <f>'[1]02. Matrix'!C340</f>
        <v>STAFF LOAN</v>
      </c>
      <c r="D331" s="18">
        <f>'[1]02. Matrix'!D340</f>
        <v>2</v>
      </c>
      <c r="E331" s="19">
        <f>'[1]02. Matrix'!E340</f>
        <v>0</v>
      </c>
      <c r="F331" s="18" t="str">
        <f>_xlfn.XLOOKUP('01. Main'!$B331,[1]Mapping!$D:$D,[1]Mapping!$A:$A,0,0)</f>
        <v>Ashoj 80</v>
      </c>
      <c r="G331" s="20">
        <f>_xlfn.XLOOKUP('01. Main'!$B331,[1]Mapping!D$2:D$24,[1]Mapping!E$2:E$24,0,0)</f>
        <v>2023</v>
      </c>
    </row>
    <row r="332" spans="1:7" x14ac:dyDescent="0.45">
      <c r="A332" s="13">
        <f>'[1]02. Matrix'!A341</f>
        <v>331</v>
      </c>
      <c r="B332" s="14">
        <f>'[1]02. Matrix'!B341</f>
        <v>18</v>
      </c>
      <c r="C332" s="14" t="str">
        <f>'[1]02. Matrix'!C341</f>
        <v>AGRICULTURAL LOAN</v>
      </c>
      <c r="D332" s="14">
        <f>'[1]02. Matrix'!D341</f>
        <v>2</v>
      </c>
      <c r="E332" s="15">
        <f>'[1]02. Matrix'!E341</f>
        <v>0</v>
      </c>
      <c r="F332" s="14" t="str">
        <f>_xlfn.XLOOKUP('01. Main'!$B332,[1]Mapping!$D:$D,[1]Mapping!$A:$A,0,0)</f>
        <v>Ashoj 80</v>
      </c>
      <c r="G332" s="16">
        <f>_xlfn.XLOOKUP('01. Main'!$B332,[1]Mapping!D$2:D$24,[1]Mapping!E$2:E$24,0,0)</f>
        <v>2023</v>
      </c>
    </row>
    <row r="333" spans="1:7" x14ac:dyDescent="0.45">
      <c r="A333" s="17">
        <f>'[1]02. Matrix'!A342</f>
        <v>332</v>
      </c>
      <c r="B333" s="18">
        <f>'[1]02. Matrix'!B342</f>
        <v>18</v>
      </c>
      <c r="C333" s="18" t="str">
        <f>'[1]02. Matrix'!C342</f>
        <v>EARTHQUAKE RELIEF LO</v>
      </c>
      <c r="D333" s="18">
        <f>'[1]02. Matrix'!D342</f>
        <v>2</v>
      </c>
      <c r="E333" s="19">
        <f>'[1]02. Matrix'!E342</f>
        <v>0</v>
      </c>
      <c r="F333" s="18" t="str">
        <f>_xlfn.XLOOKUP('01. Main'!$B333,[1]Mapping!$D:$D,[1]Mapping!$A:$A,0,0)</f>
        <v>Ashoj 80</v>
      </c>
      <c r="G333" s="20">
        <f>_xlfn.XLOOKUP('01. Main'!$B333,[1]Mapping!D$2:D$24,[1]Mapping!E$2:E$24,0,0)</f>
        <v>2023</v>
      </c>
    </row>
    <row r="334" spans="1:7" x14ac:dyDescent="0.45">
      <c r="A334" s="13">
        <f>'[1]02. Matrix'!A343</f>
        <v>333</v>
      </c>
      <c r="B334" s="14">
        <f>'[1]02. Matrix'!B343</f>
        <v>18</v>
      </c>
      <c r="C334" s="14" t="str">
        <f>'[1]02. Matrix'!C343</f>
        <v>TOURISM SECTOR LOAN</v>
      </c>
      <c r="D334" s="14">
        <f>'[1]02. Matrix'!D343</f>
        <v>2</v>
      </c>
      <c r="E334" s="15">
        <f>'[1]02. Matrix'!E343</f>
        <v>0</v>
      </c>
      <c r="F334" s="14" t="str">
        <f>_xlfn.XLOOKUP('01. Main'!$B334,[1]Mapping!$D:$D,[1]Mapping!$A:$A,0,0)</f>
        <v>Ashoj 80</v>
      </c>
      <c r="G334" s="16">
        <f>_xlfn.XLOOKUP('01. Main'!$B334,[1]Mapping!D$2:D$24,[1]Mapping!E$2:E$24,0,0)</f>
        <v>2023</v>
      </c>
    </row>
    <row r="335" spans="1:7" x14ac:dyDescent="0.45">
      <c r="A335" s="17">
        <f>'[1]02. Matrix'!A344</f>
        <v>334</v>
      </c>
      <c r="B335" s="18">
        <f>'[1]02. Matrix'!B344</f>
        <v>18</v>
      </c>
      <c r="C335" s="18" t="str">
        <f>'[1]02. Matrix'!C344</f>
        <v>SME LOAN</v>
      </c>
      <c r="D335" s="18">
        <f>'[1]02. Matrix'!D344</f>
        <v>2</v>
      </c>
      <c r="E335" s="19">
        <f>'[1]02. Matrix'!E344</f>
        <v>0</v>
      </c>
      <c r="F335" s="18" t="str">
        <f>_xlfn.XLOOKUP('01. Main'!$B335,[1]Mapping!$D:$D,[1]Mapping!$A:$A,0,0)</f>
        <v>Ashoj 80</v>
      </c>
      <c r="G335" s="20">
        <f>_xlfn.XLOOKUP('01. Main'!$B335,[1]Mapping!D$2:D$24,[1]Mapping!E$2:E$24,0,0)</f>
        <v>2023</v>
      </c>
    </row>
    <row r="336" spans="1:7" x14ac:dyDescent="0.45">
      <c r="A336" s="13">
        <f>'[1]02. Matrix'!A345</f>
        <v>335</v>
      </c>
      <c r="B336" s="14">
        <f>'[1]02. Matrix'!B345</f>
        <v>18</v>
      </c>
      <c r="C336" s="14" t="str">
        <f>'[1]02. Matrix'!C345</f>
        <v>EDUCATIONAL LOAN EMI</v>
      </c>
      <c r="D336" s="14">
        <f>'[1]02. Matrix'!D345</f>
        <v>2</v>
      </c>
      <c r="E336" s="15">
        <f>'[1]02. Matrix'!E345</f>
        <v>0</v>
      </c>
      <c r="F336" s="14" t="str">
        <f>_xlfn.XLOOKUP('01. Main'!$B336,[1]Mapping!$D:$D,[1]Mapping!$A:$A,0,0)</f>
        <v>Ashoj 80</v>
      </c>
      <c r="G336" s="16">
        <f>_xlfn.XLOOKUP('01. Main'!$B336,[1]Mapping!D$2:D$24,[1]Mapping!E$2:E$24,0,0)</f>
        <v>2023</v>
      </c>
    </row>
    <row r="337" spans="1:7" x14ac:dyDescent="0.45">
      <c r="A337" s="17">
        <f>'[1]02. Matrix'!A346</f>
        <v>336</v>
      </c>
      <c r="B337" s="18">
        <f>'[1]02. Matrix'!B346</f>
        <v>18</v>
      </c>
      <c r="C337" s="18" t="str">
        <f>'[1]02. Matrix'!C346</f>
        <v>OVERDRAFT PROFESSION</v>
      </c>
      <c r="D337" s="18">
        <f>'[1]02. Matrix'!D346</f>
        <v>2</v>
      </c>
      <c r="E337" s="19">
        <f>'[1]02. Matrix'!E346</f>
        <v>0</v>
      </c>
      <c r="F337" s="18" t="str">
        <f>_xlfn.XLOOKUP('01. Main'!$B337,[1]Mapping!$D:$D,[1]Mapping!$A:$A,0,0)</f>
        <v>Ashoj 80</v>
      </c>
      <c r="G337" s="20">
        <f>_xlfn.XLOOKUP('01. Main'!$B337,[1]Mapping!D$2:D$24,[1]Mapping!E$2:E$24,0,0)</f>
        <v>2023</v>
      </c>
    </row>
    <row r="338" spans="1:7" x14ac:dyDescent="0.45">
      <c r="A338" s="13">
        <f>'[1]02. Matrix'!A347</f>
        <v>337</v>
      </c>
      <c r="B338" s="14">
        <f>'[1]02. Matrix'!B347</f>
        <v>17</v>
      </c>
      <c r="C338" s="14" t="str">
        <f>'[1]02. Matrix'!C347</f>
        <v>OD PERSONAL LOAN</v>
      </c>
      <c r="D338" s="14">
        <f>'[1]02. Matrix'!D347</f>
        <v>1</v>
      </c>
      <c r="E338" s="15">
        <f>'[1]02. Matrix'!E347</f>
        <v>3.4235803014445051E-2</v>
      </c>
      <c r="F338" s="14" t="str">
        <f>_xlfn.XLOOKUP('01. Main'!$B338,[1]Mapping!$D:$D,[1]Mapping!$A:$A,0,0)</f>
        <v>Asadh 80</v>
      </c>
      <c r="G338" s="16">
        <f>_xlfn.XLOOKUP('01. Main'!$B338,[1]Mapping!D$2:D$24,[1]Mapping!E$2:E$24,0,0)</f>
        <v>2023</v>
      </c>
    </row>
    <row r="339" spans="1:7" x14ac:dyDescent="0.45">
      <c r="A339" s="17">
        <f>'[1]02. Matrix'!A348</f>
        <v>338</v>
      </c>
      <c r="B339" s="18">
        <f>'[1]02. Matrix'!B348</f>
        <v>17</v>
      </c>
      <c r="C339" s="18" t="str">
        <f>'[1]02. Matrix'!C348</f>
        <v>OD BUSINESS LOAN</v>
      </c>
      <c r="D339" s="18">
        <f>'[1]02. Matrix'!D348</f>
        <v>1</v>
      </c>
      <c r="E339" s="19">
        <f>'[1]02. Matrix'!E348</f>
        <v>0</v>
      </c>
      <c r="F339" s="18" t="str">
        <f>_xlfn.XLOOKUP('01. Main'!$B339,[1]Mapping!$D:$D,[1]Mapping!$A:$A,0,0)</f>
        <v>Asadh 80</v>
      </c>
      <c r="G339" s="20">
        <f>_xlfn.XLOOKUP('01. Main'!$B339,[1]Mapping!D$2:D$24,[1]Mapping!E$2:E$24,0,0)</f>
        <v>2023</v>
      </c>
    </row>
    <row r="340" spans="1:7" x14ac:dyDescent="0.45">
      <c r="A340" s="13">
        <f>'[1]02. Matrix'!A349</f>
        <v>339</v>
      </c>
      <c r="B340" s="14">
        <f>'[1]02. Matrix'!B349</f>
        <v>17</v>
      </c>
      <c r="C340" s="14" t="str">
        <f>'[1]02. Matrix'!C349</f>
        <v>OD STAFF LOAN</v>
      </c>
      <c r="D340" s="14">
        <f>'[1]02. Matrix'!D349</f>
        <v>1</v>
      </c>
      <c r="E340" s="15">
        <f>'[1]02. Matrix'!E349</f>
        <v>0</v>
      </c>
      <c r="F340" s="14" t="str">
        <f>_xlfn.XLOOKUP('01. Main'!$B340,[1]Mapping!$D:$D,[1]Mapping!$A:$A,0,0)</f>
        <v>Asadh 80</v>
      </c>
      <c r="G340" s="16">
        <f>_xlfn.XLOOKUP('01. Main'!$B340,[1]Mapping!D$2:D$24,[1]Mapping!E$2:E$24,0,0)</f>
        <v>2023</v>
      </c>
    </row>
    <row r="341" spans="1:7" x14ac:dyDescent="0.45">
      <c r="A341" s="17">
        <f>'[1]02. Matrix'!A350</f>
        <v>340</v>
      </c>
      <c r="B341" s="18">
        <f>'[1]02. Matrix'!B350</f>
        <v>17</v>
      </c>
      <c r="C341" s="18" t="str">
        <f>'[1]02. Matrix'!C350</f>
        <v>TERM LOAN</v>
      </c>
      <c r="D341" s="18">
        <f>'[1]02. Matrix'!D350</f>
        <v>1</v>
      </c>
      <c r="E341" s="19">
        <f>'[1]02. Matrix'!E350</f>
        <v>7.6472851048231122E-2</v>
      </c>
      <c r="F341" s="18" t="str">
        <f>_xlfn.XLOOKUP('01. Main'!$B341,[1]Mapping!$D:$D,[1]Mapping!$A:$A,0,0)</f>
        <v>Asadh 80</v>
      </c>
      <c r="G341" s="20">
        <f>_xlfn.XLOOKUP('01. Main'!$B341,[1]Mapping!D$2:D$24,[1]Mapping!E$2:E$24,0,0)</f>
        <v>2023</v>
      </c>
    </row>
    <row r="342" spans="1:7" x14ac:dyDescent="0.45">
      <c r="A342" s="13">
        <f>'[1]02. Matrix'!A351</f>
        <v>341</v>
      </c>
      <c r="B342" s="14">
        <f>'[1]02. Matrix'!B351</f>
        <v>17</v>
      </c>
      <c r="C342" s="14" t="str">
        <f>'[1]02. Matrix'!C351</f>
        <v>WC TRADING/IND LOAN</v>
      </c>
      <c r="D342" s="14">
        <f>'[1]02. Matrix'!D351</f>
        <v>1</v>
      </c>
      <c r="E342" s="15">
        <f>'[1]02. Matrix'!E351</f>
        <v>0.16340734777391733</v>
      </c>
      <c r="F342" s="14" t="str">
        <f>_xlfn.XLOOKUP('01. Main'!$B342,[1]Mapping!$D:$D,[1]Mapping!$A:$A,0,0)</f>
        <v>Asadh 80</v>
      </c>
      <c r="G342" s="16">
        <f>_xlfn.XLOOKUP('01. Main'!$B342,[1]Mapping!D$2:D$24,[1]Mapping!E$2:E$24,0,0)</f>
        <v>2023</v>
      </c>
    </row>
    <row r="343" spans="1:7" x14ac:dyDescent="0.45">
      <c r="A343" s="17">
        <f>'[1]02. Matrix'!A352</f>
        <v>342</v>
      </c>
      <c r="B343" s="18">
        <f>'[1]02. Matrix'!B352</f>
        <v>17</v>
      </c>
      <c r="C343" s="18" t="str">
        <f>'[1]02. Matrix'!C352</f>
        <v>HOUSING LOAN</v>
      </c>
      <c r="D343" s="18">
        <f>'[1]02. Matrix'!D352</f>
        <v>1</v>
      </c>
      <c r="E343" s="19">
        <f>'[1]02. Matrix'!E352</f>
        <v>7.9888683411804828E-2</v>
      </c>
      <c r="F343" s="18" t="str">
        <f>_xlfn.XLOOKUP('01. Main'!$B343,[1]Mapping!$D:$D,[1]Mapping!$A:$A,0,0)</f>
        <v>Asadh 80</v>
      </c>
      <c r="G343" s="20">
        <f>_xlfn.XLOOKUP('01. Main'!$B343,[1]Mapping!D$2:D$24,[1]Mapping!E$2:E$24,0,0)</f>
        <v>2023</v>
      </c>
    </row>
    <row r="344" spans="1:7" x14ac:dyDescent="0.45">
      <c r="A344" s="13">
        <f>'[1]02. Matrix'!A353</f>
        <v>343</v>
      </c>
      <c r="B344" s="14">
        <f>'[1]02. Matrix'!B353</f>
        <v>17</v>
      </c>
      <c r="C344" s="14" t="str">
        <f>'[1]02. Matrix'!C353</f>
        <v>RESI REAL EST LOAN</v>
      </c>
      <c r="D344" s="14">
        <f>'[1]02. Matrix'!D353</f>
        <v>1</v>
      </c>
      <c r="E344" s="15">
        <f>'[1]02. Matrix'!E353</f>
        <v>0</v>
      </c>
      <c r="F344" s="14" t="str">
        <f>_xlfn.XLOOKUP('01. Main'!$B344,[1]Mapping!$D:$D,[1]Mapping!$A:$A,0,0)</f>
        <v>Asadh 80</v>
      </c>
      <c r="G344" s="16">
        <f>_xlfn.XLOOKUP('01. Main'!$B344,[1]Mapping!D$2:D$24,[1]Mapping!E$2:E$24,0,0)</f>
        <v>2023</v>
      </c>
    </row>
    <row r="345" spans="1:7" x14ac:dyDescent="0.45">
      <c r="A345" s="17">
        <f>'[1]02. Matrix'!A354</f>
        <v>344</v>
      </c>
      <c r="B345" s="18">
        <f>'[1]02. Matrix'!B354</f>
        <v>17</v>
      </c>
      <c r="C345" s="18" t="str">
        <f>'[1]02. Matrix'!C354</f>
        <v>MARGIN NATURE LOAN</v>
      </c>
      <c r="D345" s="18">
        <f>'[1]02. Matrix'!D354</f>
        <v>1</v>
      </c>
      <c r="E345" s="19">
        <f>'[1]02. Matrix'!E354</f>
        <v>0</v>
      </c>
      <c r="F345" s="18" t="str">
        <f>_xlfn.XLOOKUP('01. Main'!$B345,[1]Mapping!$D:$D,[1]Mapping!$A:$A,0,0)</f>
        <v>Asadh 80</v>
      </c>
      <c r="G345" s="20">
        <f>_xlfn.XLOOKUP('01. Main'!$B345,[1]Mapping!D$2:D$24,[1]Mapping!E$2:E$24,0,0)</f>
        <v>2023</v>
      </c>
    </row>
    <row r="346" spans="1:7" x14ac:dyDescent="0.45">
      <c r="A346" s="13">
        <f>'[1]02. Matrix'!A355</f>
        <v>345</v>
      </c>
      <c r="B346" s="14">
        <f>'[1]02. Matrix'!B355</f>
        <v>17</v>
      </c>
      <c r="C346" s="14" t="str">
        <f>'[1]02. Matrix'!C355</f>
        <v>HIRE PURCHASE LOAN</v>
      </c>
      <c r="D346" s="14">
        <f>'[1]02. Matrix'!D355</f>
        <v>1</v>
      </c>
      <c r="E346" s="15">
        <f>'[1]02. Matrix'!E355</f>
        <v>0.1366339143577992</v>
      </c>
      <c r="F346" s="14" t="str">
        <f>_xlfn.XLOOKUP('01. Main'!$B346,[1]Mapping!$D:$D,[1]Mapping!$A:$A,0,0)</f>
        <v>Asadh 80</v>
      </c>
      <c r="G346" s="16">
        <f>_xlfn.XLOOKUP('01. Main'!$B346,[1]Mapping!D$2:D$24,[1]Mapping!E$2:E$24,0,0)</f>
        <v>2023</v>
      </c>
    </row>
    <row r="347" spans="1:7" x14ac:dyDescent="0.45">
      <c r="A347" s="17">
        <f>'[1]02. Matrix'!A356</f>
        <v>346</v>
      </c>
      <c r="B347" s="18">
        <f>'[1]02. Matrix'!B356</f>
        <v>17</v>
      </c>
      <c r="C347" s="18" t="str">
        <f>'[1]02. Matrix'!C356</f>
        <v>DEPRIVED SECTOR LOAN</v>
      </c>
      <c r="D347" s="18">
        <f>'[1]02. Matrix'!D356</f>
        <v>1</v>
      </c>
      <c r="E347" s="19">
        <f>'[1]02. Matrix'!E356</f>
        <v>0.23335926548868952</v>
      </c>
      <c r="F347" s="18" t="str">
        <f>_xlfn.XLOOKUP('01. Main'!$B347,[1]Mapping!$D:$D,[1]Mapping!$A:$A,0,0)</f>
        <v>Asadh 80</v>
      </c>
      <c r="G347" s="20">
        <f>_xlfn.XLOOKUP('01. Main'!$B347,[1]Mapping!D$2:D$24,[1]Mapping!E$2:E$24,0,0)</f>
        <v>2023</v>
      </c>
    </row>
    <row r="348" spans="1:7" x14ac:dyDescent="0.45">
      <c r="A348" s="13">
        <f>'[1]02. Matrix'!A357</f>
        <v>347</v>
      </c>
      <c r="B348" s="14">
        <f>'[1]02. Matrix'!B357</f>
        <v>17</v>
      </c>
      <c r="C348" s="14" t="str">
        <f>'[1]02. Matrix'!C357</f>
        <v>EDUCATIONAL LOAN</v>
      </c>
      <c r="D348" s="14">
        <f>'[1]02. Matrix'!D357</f>
        <v>1</v>
      </c>
      <c r="E348" s="15">
        <f>'[1]02. Matrix'!E357</f>
        <v>0</v>
      </c>
      <c r="F348" s="14" t="str">
        <f>_xlfn.XLOOKUP('01. Main'!$B348,[1]Mapping!$D:$D,[1]Mapping!$A:$A,0,0)</f>
        <v>Asadh 80</v>
      </c>
      <c r="G348" s="16">
        <f>_xlfn.XLOOKUP('01. Main'!$B348,[1]Mapping!D$2:D$24,[1]Mapping!E$2:E$24,0,0)</f>
        <v>2023</v>
      </c>
    </row>
    <row r="349" spans="1:7" x14ac:dyDescent="0.45">
      <c r="A349" s="17">
        <f>'[1]02. Matrix'!A358</f>
        <v>348</v>
      </c>
      <c r="B349" s="18">
        <f>'[1]02. Matrix'!B358</f>
        <v>17</v>
      </c>
      <c r="C349" s="18" t="str">
        <f>'[1]02. Matrix'!C358</f>
        <v>AGRICULTURE LOAN</v>
      </c>
      <c r="D349" s="18">
        <f>'[1]02. Matrix'!D358</f>
        <v>1</v>
      </c>
      <c r="E349" s="19">
        <f>'[1]02. Matrix'!E358</f>
        <v>0.20683307064262194</v>
      </c>
      <c r="F349" s="18" t="str">
        <f>_xlfn.XLOOKUP('01. Main'!$B349,[1]Mapping!$D:$D,[1]Mapping!$A:$A,0,0)</f>
        <v>Asadh 80</v>
      </c>
      <c r="G349" s="20">
        <f>_xlfn.XLOOKUP('01. Main'!$B349,[1]Mapping!D$2:D$24,[1]Mapping!E$2:E$24,0,0)</f>
        <v>2023</v>
      </c>
    </row>
    <row r="350" spans="1:7" x14ac:dyDescent="0.45">
      <c r="A350" s="13">
        <f>'[1]02. Matrix'!A359</f>
        <v>349</v>
      </c>
      <c r="B350" s="14">
        <f>'[1]02. Matrix'!B359</f>
        <v>17</v>
      </c>
      <c r="C350" s="14" t="str">
        <f>'[1]02. Matrix'!C359</f>
        <v>RESI PER.HOME-EMI</v>
      </c>
      <c r="D350" s="14">
        <f>'[1]02. Matrix'!D359</f>
        <v>1</v>
      </c>
      <c r="E350" s="15">
        <f>'[1]02. Matrix'!E359</f>
        <v>5.2940396104800426E-2</v>
      </c>
      <c r="F350" s="14" t="str">
        <f>_xlfn.XLOOKUP('01. Main'!$B350,[1]Mapping!$D:$D,[1]Mapping!$A:$A,0,0)</f>
        <v>Asadh 80</v>
      </c>
      <c r="G350" s="16">
        <f>_xlfn.XLOOKUP('01. Main'!$B350,[1]Mapping!D$2:D$24,[1]Mapping!E$2:E$24,0,0)</f>
        <v>2023</v>
      </c>
    </row>
    <row r="351" spans="1:7" x14ac:dyDescent="0.45">
      <c r="A351" s="17">
        <f>'[1]02. Matrix'!A360</f>
        <v>350</v>
      </c>
      <c r="B351" s="18">
        <f>'[1]02. Matrix'!B360</f>
        <v>17</v>
      </c>
      <c r="C351" s="18" t="str">
        <f>'[1]02. Matrix'!C360</f>
        <v>TERM LOAN - BUSINESS</v>
      </c>
      <c r="D351" s="18">
        <f>'[1]02. Matrix'!D360</f>
        <v>1</v>
      </c>
      <c r="E351" s="19">
        <f>'[1]02. Matrix'!E360</f>
        <v>0</v>
      </c>
      <c r="F351" s="18" t="str">
        <f>_xlfn.XLOOKUP('01. Main'!$B351,[1]Mapping!$D:$D,[1]Mapping!$A:$A,0,0)</f>
        <v>Asadh 80</v>
      </c>
      <c r="G351" s="20">
        <f>_xlfn.XLOOKUP('01. Main'!$B351,[1]Mapping!D$2:D$24,[1]Mapping!E$2:E$24,0,0)</f>
        <v>2023</v>
      </c>
    </row>
    <row r="352" spans="1:7" x14ac:dyDescent="0.45">
      <c r="A352" s="13">
        <f>'[1]02. Matrix'!A361</f>
        <v>351</v>
      </c>
      <c r="B352" s="14">
        <f>'[1]02. Matrix'!B361</f>
        <v>17</v>
      </c>
      <c r="C352" s="14" t="str">
        <f>'[1]02. Matrix'!C361</f>
        <v>CONS FIN BUSN TRM LO</v>
      </c>
      <c r="D352" s="14">
        <f>'[1]02. Matrix'!D361</f>
        <v>1</v>
      </c>
      <c r="E352" s="15">
        <f>'[1]02. Matrix'!E361</f>
        <v>0</v>
      </c>
      <c r="F352" s="14" t="str">
        <f>_xlfn.XLOOKUP('01. Main'!$B352,[1]Mapping!$D:$D,[1]Mapping!$A:$A,0,0)</f>
        <v>Asadh 80</v>
      </c>
      <c r="G352" s="16">
        <f>_xlfn.XLOOKUP('01. Main'!$B352,[1]Mapping!D$2:D$24,[1]Mapping!E$2:E$24,0,0)</f>
        <v>2023</v>
      </c>
    </row>
    <row r="353" spans="1:7" x14ac:dyDescent="0.45">
      <c r="A353" s="17">
        <f>'[1]02. Matrix'!A362</f>
        <v>352</v>
      </c>
      <c r="B353" s="18">
        <f>'[1]02. Matrix'!B362</f>
        <v>17</v>
      </c>
      <c r="C353" s="18" t="str">
        <f>'[1]02. Matrix'!C362</f>
        <v>BIS/PERHIRE PURCHASE</v>
      </c>
      <c r="D353" s="18">
        <f>'[1]02. Matrix'!D362</f>
        <v>1</v>
      </c>
      <c r="E353" s="19">
        <f>'[1]02. Matrix'!E362</f>
        <v>0.19782772023998796</v>
      </c>
      <c r="F353" s="18" t="str">
        <f>_xlfn.XLOOKUP('01. Main'!$B353,[1]Mapping!$D:$D,[1]Mapping!$A:$A,0,0)</f>
        <v>Asadh 80</v>
      </c>
      <c r="G353" s="20">
        <f>_xlfn.XLOOKUP('01. Main'!$B353,[1]Mapping!D$2:D$24,[1]Mapping!E$2:E$24,0,0)</f>
        <v>2023</v>
      </c>
    </row>
    <row r="354" spans="1:7" x14ac:dyDescent="0.45">
      <c r="A354" s="13">
        <f>'[1]02. Matrix'!A363</f>
        <v>353</v>
      </c>
      <c r="B354" s="14">
        <f>'[1]02. Matrix'!B363</f>
        <v>17</v>
      </c>
      <c r="C354" s="14" t="str">
        <f>'[1]02. Matrix'!C363</f>
        <v xml:space="preserve">INT CAP TERM LOAN </v>
      </c>
      <c r="D354" s="14">
        <f>'[1]02. Matrix'!D363</f>
        <v>1</v>
      </c>
      <c r="E354" s="15">
        <f>'[1]02. Matrix'!E363</f>
        <v>0</v>
      </c>
      <c r="F354" s="14" t="str">
        <f>_xlfn.XLOOKUP('01. Main'!$B354,[1]Mapping!$D:$D,[1]Mapping!$A:$A,0,0)</f>
        <v>Asadh 80</v>
      </c>
      <c r="G354" s="16">
        <f>_xlfn.XLOOKUP('01. Main'!$B354,[1]Mapping!D$2:D$24,[1]Mapping!E$2:E$24,0,0)</f>
        <v>2023</v>
      </c>
    </row>
    <row r="355" spans="1:7" x14ac:dyDescent="0.45">
      <c r="A355" s="17">
        <f>'[1]02. Matrix'!A364</f>
        <v>354</v>
      </c>
      <c r="B355" s="18">
        <f>'[1]02. Matrix'!B364</f>
        <v>17</v>
      </c>
      <c r="C355" s="18" t="str">
        <f>'[1]02. Matrix'!C364</f>
        <v>PERSONAL LOAN</v>
      </c>
      <c r="D355" s="18">
        <f>'[1]02. Matrix'!D364</f>
        <v>1</v>
      </c>
      <c r="E355" s="19">
        <f>'[1]02. Matrix'!E364</f>
        <v>0.14428935643738483</v>
      </c>
      <c r="F355" s="18" t="str">
        <f>_xlfn.XLOOKUP('01. Main'!$B355,[1]Mapping!$D:$D,[1]Mapping!$A:$A,0,0)</f>
        <v>Asadh 80</v>
      </c>
      <c r="G355" s="20">
        <f>_xlfn.XLOOKUP('01. Main'!$B355,[1]Mapping!D$2:D$24,[1]Mapping!E$2:E$24,0,0)</f>
        <v>2023</v>
      </c>
    </row>
    <row r="356" spans="1:7" x14ac:dyDescent="0.45">
      <c r="A356" s="13">
        <f>'[1]02. Matrix'!A365</f>
        <v>355</v>
      </c>
      <c r="B356" s="14">
        <f>'[1]02. Matrix'!B365</f>
        <v>17</v>
      </c>
      <c r="C356" s="14" t="str">
        <f>'[1]02. Matrix'!C365</f>
        <v>MORTGAGE LOAN</v>
      </c>
      <c r="D356" s="14">
        <f>'[1]02. Matrix'!D365</f>
        <v>1</v>
      </c>
      <c r="E356" s="15">
        <f>'[1]02. Matrix'!E365</f>
        <v>0.18217850985661016</v>
      </c>
      <c r="F356" s="14" t="str">
        <f>_xlfn.XLOOKUP('01. Main'!$B356,[1]Mapping!$D:$D,[1]Mapping!$A:$A,0,0)</f>
        <v>Asadh 80</v>
      </c>
      <c r="G356" s="16">
        <f>_xlfn.XLOOKUP('01. Main'!$B356,[1]Mapping!D$2:D$24,[1]Mapping!E$2:E$24,0,0)</f>
        <v>2023</v>
      </c>
    </row>
    <row r="357" spans="1:7" x14ac:dyDescent="0.45">
      <c r="A357" s="17">
        <f>'[1]02. Matrix'!A366</f>
        <v>356</v>
      </c>
      <c r="B357" s="18">
        <f>'[1]02. Matrix'!B366</f>
        <v>17</v>
      </c>
      <c r="C357" s="18" t="str">
        <f>'[1]02. Matrix'!C366</f>
        <v>LOAN AGAINST FDR</v>
      </c>
      <c r="D357" s="18">
        <f>'[1]02. Matrix'!D366</f>
        <v>1</v>
      </c>
      <c r="E357" s="19">
        <f>'[1]02. Matrix'!E366</f>
        <v>0</v>
      </c>
      <c r="F357" s="18" t="str">
        <f>_xlfn.XLOOKUP('01. Main'!$B357,[1]Mapping!$D:$D,[1]Mapping!$A:$A,0,0)</f>
        <v>Asadh 80</v>
      </c>
      <c r="G357" s="20">
        <f>_xlfn.XLOOKUP('01. Main'!$B357,[1]Mapping!D$2:D$24,[1]Mapping!E$2:E$24,0,0)</f>
        <v>2023</v>
      </c>
    </row>
    <row r="358" spans="1:7" x14ac:dyDescent="0.45">
      <c r="A358" s="13">
        <f>'[1]02. Matrix'!A367</f>
        <v>357</v>
      </c>
      <c r="B358" s="14">
        <f>'[1]02. Matrix'!B367</f>
        <v>17</v>
      </c>
      <c r="C358" s="14" t="str">
        <f>'[1]02. Matrix'!C367</f>
        <v>RECEIVABLE LOAN</v>
      </c>
      <c r="D358" s="14">
        <f>'[1]02. Matrix'!D367</f>
        <v>1</v>
      </c>
      <c r="E358" s="15">
        <f>'[1]02. Matrix'!E367</f>
        <v>0</v>
      </c>
      <c r="F358" s="14" t="str">
        <f>_xlfn.XLOOKUP('01. Main'!$B358,[1]Mapping!$D:$D,[1]Mapping!$A:$A,0,0)</f>
        <v>Asadh 80</v>
      </c>
      <c r="G358" s="16">
        <f>_xlfn.XLOOKUP('01. Main'!$B358,[1]Mapping!D$2:D$24,[1]Mapping!E$2:E$24,0,0)</f>
        <v>2023</v>
      </c>
    </row>
    <row r="359" spans="1:7" x14ac:dyDescent="0.45">
      <c r="A359" s="17">
        <f>'[1]02. Matrix'!A368</f>
        <v>358</v>
      </c>
      <c r="B359" s="18">
        <f>'[1]02. Matrix'!B368</f>
        <v>17</v>
      </c>
      <c r="C359" s="18" t="str">
        <f>'[1]02. Matrix'!C368</f>
        <v>STAFF LOAN</v>
      </c>
      <c r="D359" s="18">
        <f>'[1]02. Matrix'!D368</f>
        <v>1</v>
      </c>
      <c r="E359" s="19">
        <f>'[1]02. Matrix'!E368</f>
        <v>0</v>
      </c>
      <c r="F359" s="18" t="str">
        <f>_xlfn.XLOOKUP('01. Main'!$B359,[1]Mapping!$D:$D,[1]Mapping!$A:$A,0,0)</f>
        <v>Asadh 80</v>
      </c>
      <c r="G359" s="20">
        <f>_xlfn.XLOOKUP('01. Main'!$B359,[1]Mapping!D$2:D$24,[1]Mapping!E$2:E$24,0,0)</f>
        <v>2023</v>
      </c>
    </row>
    <row r="360" spans="1:7" x14ac:dyDescent="0.45">
      <c r="A360" s="13">
        <f>'[1]02. Matrix'!A369</f>
        <v>359</v>
      </c>
      <c r="B360" s="14">
        <f>'[1]02. Matrix'!B369</f>
        <v>17</v>
      </c>
      <c r="C360" s="14" t="str">
        <f>'[1]02. Matrix'!C369</f>
        <v>AGRICULTURAL LOAN</v>
      </c>
      <c r="D360" s="14">
        <f>'[1]02. Matrix'!D369</f>
        <v>1</v>
      </c>
      <c r="E360" s="15">
        <f>'[1]02. Matrix'!E369</f>
        <v>0</v>
      </c>
      <c r="F360" s="14" t="str">
        <f>_xlfn.XLOOKUP('01. Main'!$B360,[1]Mapping!$D:$D,[1]Mapping!$A:$A,0,0)</f>
        <v>Asadh 80</v>
      </c>
      <c r="G360" s="16">
        <f>_xlfn.XLOOKUP('01. Main'!$B360,[1]Mapping!D$2:D$24,[1]Mapping!E$2:E$24,0,0)</f>
        <v>2023</v>
      </c>
    </row>
    <row r="361" spans="1:7" x14ac:dyDescent="0.45">
      <c r="A361" s="17">
        <f>'[1]02. Matrix'!A370</f>
        <v>360</v>
      </c>
      <c r="B361" s="18">
        <f>'[1]02. Matrix'!B370</f>
        <v>17</v>
      </c>
      <c r="C361" s="18" t="str">
        <f>'[1]02. Matrix'!C370</f>
        <v>EARTHQUAKE RELIEF LO</v>
      </c>
      <c r="D361" s="18">
        <f>'[1]02. Matrix'!D370</f>
        <v>1</v>
      </c>
      <c r="E361" s="19">
        <f>'[1]02. Matrix'!E370</f>
        <v>0</v>
      </c>
      <c r="F361" s="18" t="str">
        <f>_xlfn.XLOOKUP('01. Main'!$B361,[1]Mapping!$D:$D,[1]Mapping!$A:$A,0,0)</f>
        <v>Asadh 80</v>
      </c>
      <c r="G361" s="20">
        <f>_xlfn.XLOOKUP('01. Main'!$B361,[1]Mapping!D$2:D$24,[1]Mapping!E$2:E$24,0,0)</f>
        <v>2023</v>
      </c>
    </row>
    <row r="362" spans="1:7" x14ac:dyDescent="0.45">
      <c r="A362" s="13">
        <f>'[1]02. Matrix'!A371</f>
        <v>361</v>
      </c>
      <c r="B362" s="14">
        <f>'[1]02. Matrix'!B371</f>
        <v>17</v>
      </c>
      <c r="C362" s="14" t="str">
        <f>'[1]02. Matrix'!C371</f>
        <v>TOURISM SECTOR LOAN</v>
      </c>
      <c r="D362" s="14">
        <f>'[1]02. Matrix'!D371</f>
        <v>1</v>
      </c>
      <c r="E362" s="15">
        <f>'[1]02. Matrix'!E371</f>
        <v>0</v>
      </c>
      <c r="F362" s="14" t="str">
        <f>_xlfn.XLOOKUP('01. Main'!$B362,[1]Mapping!$D:$D,[1]Mapping!$A:$A,0,0)</f>
        <v>Asadh 80</v>
      </c>
      <c r="G362" s="16">
        <f>_xlfn.XLOOKUP('01. Main'!$B362,[1]Mapping!D$2:D$24,[1]Mapping!E$2:E$24,0,0)</f>
        <v>2023</v>
      </c>
    </row>
    <row r="363" spans="1:7" x14ac:dyDescent="0.45">
      <c r="A363" s="17">
        <f>'[1]02. Matrix'!A372</f>
        <v>362</v>
      </c>
      <c r="B363" s="18">
        <f>'[1]02. Matrix'!B372</f>
        <v>17</v>
      </c>
      <c r="C363" s="18" t="str">
        <f>'[1]02. Matrix'!C372</f>
        <v>SME LOAN</v>
      </c>
      <c r="D363" s="18">
        <f>'[1]02. Matrix'!D372</f>
        <v>1</v>
      </c>
      <c r="E363" s="19">
        <f>'[1]02. Matrix'!E372</f>
        <v>1</v>
      </c>
      <c r="F363" s="18" t="str">
        <f>_xlfn.XLOOKUP('01. Main'!$B363,[1]Mapping!$D:$D,[1]Mapping!$A:$A,0,0)</f>
        <v>Asadh 80</v>
      </c>
      <c r="G363" s="20">
        <f>_xlfn.XLOOKUP('01. Main'!$B363,[1]Mapping!D$2:D$24,[1]Mapping!E$2:E$24,0,0)</f>
        <v>2023</v>
      </c>
    </row>
    <row r="364" spans="1:7" x14ac:dyDescent="0.45">
      <c r="A364" s="13">
        <f>'[1]02. Matrix'!A373</f>
        <v>363</v>
      </c>
      <c r="B364" s="14">
        <f>'[1]02. Matrix'!B373</f>
        <v>17</v>
      </c>
      <c r="C364" s="14" t="str">
        <f>'[1]02. Matrix'!C373</f>
        <v>EDUCATIONAL LOAN EMI</v>
      </c>
      <c r="D364" s="14">
        <f>'[1]02. Matrix'!D373</f>
        <v>1</v>
      </c>
      <c r="E364" s="15">
        <f>'[1]02. Matrix'!E373</f>
        <v>0</v>
      </c>
      <c r="F364" s="14" t="str">
        <f>_xlfn.XLOOKUP('01. Main'!$B364,[1]Mapping!$D:$D,[1]Mapping!$A:$A,0,0)</f>
        <v>Asadh 80</v>
      </c>
      <c r="G364" s="16">
        <f>_xlfn.XLOOKUP('01. Main'!$B364,[1]Mapping!D$2:D$24,[1]Mapping!E$2:E$24,0,0)</f>
        <v>2023</v>
      </c>
    </row>
    <row r="365" spans="1:7" x14ac:dyDescent="0.45">
      <c r="A365" s="17">
        <f>'[1]02. Matrix'!A374</f>
        <v>364</v>
      </c>
      <c r="B365" s="18">
        <f>'[1]02. Matrix'!B374</f>
        <v>17</v>
      </c>
      <c r="C365" s="18" t="str">
        <f>'[1]02. Matrix'!C374</f>
        <v>OVERDRAFT PROFESSION</v>
      </c>
      <c r="D365" s="18">
        <f>'[1]02. Matrix'!D374</f>
        <v>1</v>
      </c>
      <c r="E365" s="19">
        <f>'[1]02. Matrix'!E374</f>
        <v>0</v>
      </c>
      <c r="F365" s="18" t="str">
        <f>_xlfn.XLOOKUP('01. Main'!$B365,[1]Mapping!$D:$D,[1]Mapping!$A:$A,0,0)</f>
        <v>Asadh 80</v>
      </c>
      <c r="G365" s="20">
        <f>_xlfn.XLOOKUP('01. Main'!$B365,[1]Mapping!D$2:D$24,[1]Mapping!E$2:E$24,0,0)</f>
        <v>2023</v>
      </c>
    </row>
    <row r="366" spans="1:7" x14ac:dyDescent="0.45">
      <c r="A366" s="13">
        <f>'[1]02. Matrix'!A375</f>
        <v>365</v>
      </c>
      <c r="B366" s="14">
        <f>'[1]02. Matrix'!B375</f>
        <v>17</v>
      </c>
      <c r="C366" s="14" t="str">
        <f>'[1]02. Matrix'!C375</f>
        <v>OD PERSONAL LOAN</v>
      </c>
      <c r="D366" s="14">
        <f>'[1]02. Matrix'!D375</f>
        <v>2</v>
      </c>
      <c r="E366" s="15">
        <f>'[1]02. Matrix'!E375</f>
        <v>3.4680823735224464E-2</v>
      </c>
      <c r="F366" s="14" t="str">
        <f>_xlfn.XLOOKUP('01. Main'!$B366,[1]Mapping!$D:$D,[1]Mapping!$A:$A,0,0)</f>
        <v>Asadh 80</v>
      </c>
      <c r="G366" s="16">
        <f>_xlfn.XLOOKUP('01. Main'!$B366,[1]Mapping!D$2:D$24,[1]Mapping!E$2:E$24,0,0)</f>
        <v>2023</v>
      </c>
    </row>
    <row r="367" spans="1:7" x14ac:dyDescent="0.45">
      <c r="A367" s="17">
        <f>'[1]02. Matrix'!A376</f>
        <v>366</v>
      </c>
      <c r="B367" s="18">
        <f>'[1]02. Matrix'!B376</f>
        <v>17</v>
      </c>
      <c r="C367" s="18" t="str">
        <f>'[1]02. Matrix'!C376</f>
        <v>OD BUSINESS LOAN</v>
      </c>
      <c r="D367" s="18">
        <f>'[1]02. Matrix'!D376</f>
        <v>2</v>
      </c>
      <c r="E367" s="19">
        <f>'[1]02. Matrix'!E376</f>
        <v>0.51562192141164287</v>
      </c>
      <c r="F367" s="18" t="str">
        <f>_xlfn.XLOOKUP('01. Main'!$B367,[1]Mapping!$D:$D,[1]Mapping!$A:$A,0,0)</f>
        <v>Asadh 80</v>
      </c>
      <c r="G367" s="20">
        <f>_xlfn.XLOOKUP('01. Main'!$B367,[1]Mapping!D$2:D$24,[1]Mapping!E$2:E$24,0,0)</f>
        <v>2023</v>
      </c>
    </row>
    <row r="368" spans="1:7" x14ac:dyDescent="0.45">
      <c r="A368" s="13">
        <f>'[1]02. Matrix'!A377</f>
        <v>367</v>
      </c>
      <c r="B368" s="14">
        <f>'[1]02. Matrix'!B377</f>
        <v>17</v>
      </c>
      <c r="C368" s="14" t="str">
        <f>'[1]02. Matrix'!C377</f>
        <v>OD STAFF LOAN</v>
      </c>
      <c r="D368" s="14">
        <f>'[1]02. Matrix'!D377</f>
        <v>2</v>
      </c>
      <c r="E368" s="15">
        <f>'[1]02. Matrix'!E377</f>
        <v>0</v>
      </c>
      <c r="F368" s="14" t="str">
        <f>_xlfn.XLOOKUP('01. Main'!$B368,[1]Mapping!$D:$D,[1]Mapping!$A:$A,0,0)</f>
        <v>Asadh 80</v>
      </c>
      <c r="G368" s="16">
        <f>_xlfn.XLOOKUP('01. Main'!$B368,[1]Mapping!D$2:D$24,[1]Mapping!E$2:E$24,0,0)</f>
        <v>2023</v>
      </c>
    </row>
    <row r="369" spans="1:7" x14ac:dyDescent="0.45">
      <c r="A369" s="17">
        <f>'[1]02. Matrix'!A378</f>
        <v>368</v>
      </c>
      <c r="B369" s="18">
        <f>'[1]02. Matrix'!B378</f>
        <v>17</v>
      </c>
      <c r="C369" s="18" t="str">
        <f>'[1]02. Matrix'!C378</f>
        <v>TERM LOAN</v>
      </c>
      <c r="D369" s="18">
        <f>'[1]02. Matrix'!D378</f>
        <v>2</v>
      </c>
      <c r="E369" s="19">
        <f>'[1]02. Matrix'!E378</f>
        <v>0.19938074937408573</v>
      </c>
      <c r="F369" s="18" t="str">
        <f>_xlfn.XLOOKUP('01. Main'!$B369,[1]Mapping!$D:$D,[1]Mapping!$A:$A,0,0)</f>
        <v>Asadh 80</v>
      </c>
      <c r="G369" s="20">
        <f>_xlfn.XLOOKUP('01. Main'!$B369,[1]Mapping!D$2:D$24,[1]Mapping!E$2:E$24,0,0)</f>
        <v>2023</v>
      </c>
    </row>
    <row r="370" spans="1:7" x14ac:dyDescent="0.45">
      <c r="A370" s="13">
        <f>'[1]02. Matrix'!A379</f>
        <v>369</v>
      </c>
      <c r="B370" s="14">
        <f>'[1]02. Matrix'!B379</f>
        <v>17</v>
      </c>
      <c r="C370" s="14" t="str">
        <f>'[1]02. Matrix'!C379</f>
        <v>WC TRADING/IND LOAN</v>
      </c>
      <c r="D370" s="14">
        <f>'[1]02. Matrix'!D379</f>
        <v>2</v>
      </c>
      <c r="E370" s="15">
        <f>'[1]02. Matrix'!E379</f>
        <v>0.23507369317542906</v>
      </c>
      <c r="F370" s="14" t="str">
        <f>_xlfn.XLOOKUP('01. Main'!$B370,[1]Mapping!$D:$D,[1]Mapping!$A:$A,0,0)</f>
        <v>Asadh 80</v>
      </c>
      <c r="G370" s="16">
        <f>_xlfn.XLOOKUP('01. Main'!$B370,[1]Mapping!D$2:D$24,[1]Mapping!E$2:E$24,0,0)</f>
        <v>2023</v>
      </c>
    </row>
    <row r="371" spans="1:7" x14ac:dyDescent="0.45">
      <c r="A371" s="17">
        <f>'[1]02. Matrix'!A380</f>
        <v>370</v>
      </c>
      <c r="B371" s="18">
        <f>'[1]02. Matrix'!B380</f>
        <v>17</v>
      </c>
      <c r="C371" s="18" t="str">
        <f>'[1]02. Matrix'!C380</f>
        <v>HOUSING LOAN</v>
      </c>
      <c r="D371" s="18">
        <f>'[1]02. Matrix'!D380</f>
        <v>2</v>
      </c>
      <c r="E371" s="19">
        <f>'[1]02. Matrix'!E380</f>
        <v>0.299538875217217</v>
      </c>
      <c r="F371" s="18" t="str">
        <f>_xlfn.XLOOKUP('01. Main'!$B371,[1]Mapping!$D:$D,[1]Mapping!$A:$A,0,0)</f>
        <v>Asadh 80</v>
      </c>
      <c r="G371" s="20">
        <f>_xlfn.XLOOKUP('01. Main'!$B371,[1]Mapping!D$2:D$24,[1]Mapping!E$2:E$24,0,0)</f>
        <v>2023</v>
      </c>
    </row>
    <row r="372" spans="1:7" x14ac:dyDescent="0.45">
      <c r="A372" s="13">
        <f>'[1]02. Matrix'!A381</f>
        <v>371</v>
      </c>
      <c r="B372" s="14">
        <f>'[1]02. Matrix'!B381</f>
        <v>17</v>
      </c>
      <c r="C372" s="14" t="str">
        <f>'[1]02. Matrix'!C381</f>
        <v>RESI REAL EST LOAN</v>
      </c>
      <c r="D372" s="14">
        <f>'[1]02. Matrix'!D381</f>
        <v>2</v>
      </c>
      <c r="E372" s="15">
        <f>'[1]02. Matrix'!E381</f>
        <v>0.2193485493111752</v>
      </c>
      <c r="F372" s="14" t="str">
        <f>_xlfn.XLOOKUP('01. Main'!$B372,[1]Mapping!$D:$D,[1]Mapping!$A:$A,0,0)</f>
        <v>Asadh 80</v>
      </c>
      <c r="G372" s="16">
        <f>_xlfn.XLOOKUP('01. Main'!$B372,[1]Mapping!D$2:D$24,[1]Mapping!E$2:E$24,0,0)</f>
        <v>2023</v>
      </c>
    </row>
    <row r="373" spans="1:7" x14ac:dyDescent="0.45">
      <c r="A373" s="17">
        <f>'[1]02. Matrix'!A382</f>
        <v>372</v>
      </c>
      <c r="B373" s="18">
        <f>'[1]02. Matrix'!B382</f>
        <v>17</v>
      </c>
      <c r="C373" s="18" t="str">
        <f>'[1]02. Matrix'!C382</f>
        <v>MARGIN NATURE LOAN</v>
      </c>
      <c r="D373" s="18">
        <f>'[1]02. Matrix'!D382</f>
        <v>2</v>
      </c>
      <c r="E373" s="19">
        <f>'[1]02. Matrix'!E382</f>
        <v>0</v>
      </c>
      <c r="F373" s="18" t="str">
        <f>_xlfn.XLOOKUP('01. Main'!$B373,[1]Mapping!$D:$D,[1]Mapping!$A:$A,0,0)</f>
        <v>Asadh 80</v>
      </c>
      <c r="G373" s="20">
        <f>_xlfn.XLOOKUP('01. Main'!$B373,[1]Mapping!D$2:D$24,[1]Mapping!E$2:E$24,0,0)</f>
        <v>2023</v>
      </c>
    </row>
    <row r="374" spans="1:7" x14ac:dyDescent="0.45">
      <c r="A374" s="13">
        <f>'[1]02. Matrix'!A383</f>
        <v>373</v>
      </c>
      <c r="B374" s="14">
        <f>'[1]02. Matrix'!B383</f>
        <v>17</v>
      </c>
      <c r="C374" s="14" t="str">
        <f>'[1]02. Matrix'!C383</f>
        <v>HIRE PURCHASE LOAN</v>
      </c>
      <c r="D374" s="14">
        <f>'[1]02. Matrix'!D383</f>
        <v>2</v>
      </c>
      <c r="E374" s="15">
        <f>'[1]02. Matrix'!E383</f>
        <v>0.28091380822180401</v>
      </c>
      <c r="F374" s="14" t="str">
        <f>_xlfn.XLOOKUP('01. Main'!$B374,[1]Mapping!$D:$D,[1]Mapping!$A:$A,0,0)</f>
        <v>Asadh 80</v>
      </c>
      <c r="G374" s="16">
        <f>_xlfn.XLOOKUP('01. Main'!$B374,[1]Mapping!D$2:D$24,[1]Mapping!E$2:E$24,0,0)</f>
        <v>2023</v>
      </c>
    </row>
    <row r="375" spans="1:7" x14ac:dyDescent="0.45">
      <c r="A375" s="17">
        <f>'[1]02. Matrix'!A384</f>
        <v>374</v>
      </c>
      <c r="B375" s="18">
        <f>'[1]02. Matrix'!B384</f>
        <v>17</v>
      </c>
      <c r="C375" s="18" t="str">
        <f>'[1]02. Matrix'!C384</f>
        <v>DEPRIVED SECTOR LOAN</v>
      </c>
      <c r="D375" s="18">
        <f>'[1]02. Matrix'!D384</f>
        <v>2</v>
      </c>
      <c r="E375" s="19">
        <f>'[1]02. Matrix'!E384</f>
        <v>0.71990146719034787</v>
      </c>
      <c r="F375" s="18" t="str">
        <f>_xlfn.XLOOKUP('01. Main'!$B375,[1]Mapping!$D:$D,[1]Mapping!$A:$A,0,0)</f>
        <v>Asadh 80</v>
      </c>
      <c r="G375" s="20">
        <f>_xlfn.XLOOKUP('01. Main'!$B375,[1]Mapping!D$2:D$24,[1]Mapping!E$2:E$24,0,0)</f>
        <v>2023</v>
      </c>
    </row>
    <row r="376" spans="1:7" x14ac:dyDescent="0.45">
      <c r="A376" s="13">
        <f>'[1]02. Matrix'!A385</f>
        <v>375</v>
      </c>
      <c r="B376" s="14">
        <f>'[1]02. Matrix'!B385</f>
        <v>17</v>
      </c>
      <c r="C376" s="14" t="str">
        <f>'[1]02. Matrix'!C385</f>
        <v>EDUCATIONAL LOAN</v>
      </c>
      <c r="D376" s="14">
        <f>'[1]02. Matrix'!D385</f>
        <v>2</v>
      </c>
      <c r="E376" s="15">
        <f>'[1]02. Matrix'!E385</f>
        <v>0</v>
      </c>
      <c r="F376" s="14" t="str">
        <f>_xlfn.XLOOKUP('01. Main'!$B376,[1]Mapping!$D:$D,[1]Mapping!$A:$A,0,0)</f>
        <v>Asadh 80</v>
      </c>
      <c r="G376" s="16">
        <f>_xlfn.XLOOKUP('01. Main'!$B376,[1]Mapping!D$2:D$24,[1]Mapping!E$2:E$24,0,0)</f>
        <v>2023</v>
      </c>
    </row>
    <row r="377" spans="1:7" x14ac:dyDescent="0.45">
      <c r="A377" s="17">
        <f>'[1]02. Matrix'!A386</f>
        <v>376</v>
      </c>
      <c r="B377" s="18">
        <f>'[1]02. Matrix'!B386</f>
        <v>17</v>
      </c>
      <c r="C377" s="18" t="str">
        <f>'[1]02. Matrix'!C386</f>
        <v>AGRICULTURE LOAN</v>
      </c>
      <c r="D377" s="18">
        <f>'[1]02. Matrix'!D386</f>
        <v>2</v>
      </c>
      <c r="E377" s="19">
        <f>'[1]02. Matrix'!E386</f>
        <v>0.40353145867204587</v>
      </c>
      <c r="F377" s="18" t="str">
        <f>_xlfn.XLOOKUP('01. Main'!$B377,[1]Mapping!$D:$D,[1]Mapping!$A:$A,0,0)</f>
        <v>Asadh 80</v>
      </c>
      <c r="G377" s="20">
        <f>_xlfn.XLOOKUP('01. Main'!$B377,[1]Mapping!D$2:D$24,[1]Mapping!E$2:E$24,0,0)</f>
        <v>2023</v>
      </c>
    </row>
    <row r="378" spans="1:7" x14ac:dyDescent="0.45">
      <c r="A378" s="13">
        <f>'[1]02. Matrix'!A387</f>
        <v>377</v>
      </c>
      <c r="B378" s="14">
        <f>'[1]02. Matrix'!B387</f>
        <v>17</v>
      </c>
      <c r="C378" s="14" t="str">
        <f>'[1]02. Matrix'!C387</f>
        <v>RESI PER.HOME-EMI</v>
      </c>
      <c r="D378" s="14">
        <f>'[1]02. Matrix'!D387</f>
        <v>2</v>
      </c>
      <c r="E378" s="15">
        <f>'[1]02. Matrix'!E387</f>
        <v>0.19035593155030733</v>
      </c>
      <c r="F378" s="14" t="str">
        <f>_xlfn.XLOOKUP('01. Main'!$B378,[1]Mapping!$D:$D,[1]Mapping!$A:$A,0,0)</f>
        <v>Asadh 80</v>
      </c>
      <c r="G378" s="16">
        <f>_xlfn.XLOOKUP('01. Main'!$B378,[1]Mapping!D$2:D$24,[1]Mapping!E$2:E$24,0,0)</f>
        <v>2023</v>
      </c>
    </row>
    <row r="379" spans="1:7" x14ac:dyDescent="0.45">
      <c r="A379" s="17">
        <f>'[1]02. Matrix'!A388</f>
        <v>378</v>
      </c>
      <c r="B379" s="18">
        <f>'[1]02. Matrix'!B388</f>
        <v>17</v>
      </c>
      <c r="C379" s="18" t="str">
        <f>'[1]02. Matrix'!C388</f>
        <v>TERM LOAN - BUSINESS</v>
      </c>
      <c r="D379" s="18">
        <f>'[1]02. Matrix'!D388</f>
        <v>2</v>
      </c>
      <c r="E379" s="19">
        <f>'[1]02. Matrix'!E388</f>
        <v>3.4552201563698057E-3</v>
      </c>
      <c r="F379" s="18" t="str">
        <f>_xlfn.XLOOKUP('01. Main'!$B379,[1]Mapping!$D:$D,[1]Mapping!$A:$A,0,0)</f>
        <v>Asadh 80</v>
      </c>
      <c r="G379" s="20">
        <f>_xlfn.XLOOKUP('01. Main'!$B379,[1]Mapping!D$2:D$24,[1]Mapping!E$2:E$24,0,0)</f>
        <v>2023</v>
      </c>
    </row>
    <row r="380" spans="1:7" x14ac:dyDescent="0.45">
      <c r="A380" s="13">
        <f>'[1]02. Matrix'!A389</f>
        <v>379</v>
      </c>
      <c r="B380" s="14">
        <f>'[1]02. Matrix'!B389</f>
        <v>17</v>
      </c>
      <c r="C380" s="14" t="str">
        <f>'[1]02. Matrix'!C389</f>
        <v>CONS FIN BUSN TRM LO</v>
      </c>
      <c r="D380" s="14">
        <f>'[1]02. Matrix'!D389</f>
        <v>2</v>
      </c>
      <c r="E380" s="15">
        <f>'[1]02. Matrix'!E389</f>
        <v>0</v>
      </c>
      <c r="F380" s="14" t="str">
        <f>_xlfn.XLOOKUP('01. Main'!$B380,[1]Mapping!$D:$D,[1]Mapping!$A:$A,0,0)</f>
        <v>Asadh 80</v>
      </c>
      <c r="G380" s="16">
        <f>_xlfn.XLOOKUP('01. Main'!$B380,[1]Mapping!D$2:D$24,[1]Mapping!E$2:E$24,0,0)</f>
        <v>2023</v>
      </c>
    </row>
    <row r="381" spans="1:7" x14ac:dyDescent="0.45">
      <c r="A381" s="17">
        <f>'[1]02. Matrix'!A390</f>
        <v>380</v>
      </c>
      <c r="B381" s="18">
        <f>'[1]02. Matrix'!B390</f>
        <v>17</v>
      </c>
      <c r="C381" s="18" t="str">
        <f>'[1]02. Matrix'!C390</f>
        <v>BIS/PERHIRE PURCHASE</v>
      </c>
      <c r="D381" s="18">
        <f>'[1]02. Matrix'!D390</f>
        <v>2</v>
      </c>
      <c r="E381" s="19">
        <f>'[1]02. Matrix'!E390</f>
        <v>0.38113278404329337</v>
      </c>
      <c r="F381" s="18" t="str">
        <f>_xlfn.XLOOKUP('01. Main'!$B381,[1]Mapping!$D:$D,[1]Mapping!$A:$A,0,0)</f>
        <v>Asadh 80</v>
      </c>
      <c r="G381" s="20">
        <f>_xlfn.XLOOKUP('01. Main'!$B381,[1]Mapping!D$2:D$24,[1]Mapping!E$2:E$24,0,0)</f>
        <v>2023</v>
      </c>
    </row>
    <row r="382" spans="1:7" x14ac:dyDescent="0.45">
      <c r="A382" s="13">
        <f>'[1]02. Matrix'!A391</f>
        <v>381</v>
      </c>
      <c r="B382" s="14">
        <f>'[1]02. Matrix'!B391</f>
        <v>17</v>
      </c>
      <c r="C382" s="14" t="str">
        <f>'[1]02. Matrix'!C391</f>
        <v xml:space="preserve">INT CAP TERM LOAN </v>
      </c>
      <c r="D382" s="14">
        <f>'[1]02. Matrix'!D391</f>
        <v>2</v>
      </c>
      <c r="E382" s="15">
        <f>'[1]02. Matrix'!E391</f>
        <v>0</v>
      </c>
      <c r="F382" s="14" t="str">
        <f>_xlfn.XLOOKUP('01. Main'!$B382,[1]Mapping!$D:$D,[1]Mapping!$A:$A,0,0)</f>
        <v>Asadh 80</v>
      </c>
      <c r="G382" s="16">
        <f>_xlfn.XLOOKUP('01. Main'!$B382,[1]Mapping!D$2:D$24,[1]Mapping!E$2:E$24,0,0)</f>
        <v>2023</v>
      </c>
    </row>
    <row r="383" spans="1:7" x14ac:dyDescent="0.45">
      <c r="A383" s="17">
        <f>'[1]02. Matrix'!A392</f>
        <v>382</v>
      </c>
      <c r="B383" s="18">
        <f>'[1]02. Matrix'!B392</f>
        <v>17</v>
      </c>
      <c r="C383" s="18" t="str">
        <f>'[1]02. Matrix'!C392</f>
        <v>PERSONAL LOAN</v>
      </c>
      <c r="D383" s="18">
        <f>'[1]02. Matrix'!D392</f>
        <v>2</v>
      </c>
      <c r="E383" s="19">
        <f>'[1]02. Matrix'!E392</f>
        <v>0.23938481341342929</v>
      </c>
      <c r="F383" s="18" t="str">
        <f>_xlfn.XLOOKUP('01. Main'!$B383,[1]Mapping!$D:$D,[1]Mapping!$A:$A,0,0)</f>
        <v>Asadh 80</v>
      </c>
      <c r="G383" s="20">
        <f>_xlfn.XLOOKUP('01. Main'!$B383,[1]Mapping!D$2:D$24,[1]Mapping!E$2:E$24,0,0)</f>
        <v>2023</v>
      </c>
    </row>
    <row r="384" spans="1:7" x14ac:dyDescent="0.45">
      <c r="A384" s="13">
        <f>'[1]02. Matrix'!A393</f>
        <v>383</v>
      </c>
      <c r="B384" s="14">
        <f>'[1]02. Matrix'!B393</f>
        <v>17</v>
      </c>
      <c r="C384" s="14" t="str">
        <f>'[1]02. Matrix'!C393</f>
        <v>MORTGAGE LOAN</v>
      </c>
      <c r="D384" s="14">
        <f>'[1]02. Matrix'!D393</f>
        <v>2</v>
      </c>
      <c r="E384" s="15">
        <f>'[1]02. Matrix'!E393</f>
        <v>0.21322565571022392</v>
      </c>
      <c r="F384" s="14" t="str">
        <f>_xlfn.XLOOKUP('01. Main'!$B384,[1]Mapping!$D:$D,[1]Mapping!$A:$A,0,0)</f>
        <v>Asadh 80</v>
      </c>
      <c r="G384" s="16">
        <f>_xlfn.XLOOKUP('01. Main'!$B384,[1]Mapping!D$2:D$24,[1]Mapping!E$2:E$24,0,0)</f>
        <v>2023</v>
      </c>
    </row>
    <row r="385" spans="1:7" x14ac:dyDescent="0.45">
      <c r="A385" s="17">
        <f>'[1]02. Matrix'!A394</f>
        <v>384</v>
      </c>
      <c r="B385" s="18">
        <f>'[1]02. Matrix'!B394</f>
        <v>17</v>
      </c>
      <c r="C385" s="18" t="str">
        <f>'[1]02. Matrix'!C394</f>
        <v>LOAN AGAINST FDR</v>
      </c>
      <c r="D385" s="18">
        <f>'[1]02. Matrix'!D394</f>
        <v>2</v>
      </c>
      <c r="E385" s="19">
        <f>'[1]02. Matrix'!E394</f>
        <v>0</v>
      </c>
      <c r="F385" s="18" t="str">
        <f>_xlfn.XLOOKUP('01. Main'!$B385,[1]Mapping!$D:$D,[1]Mapping!$A:$A,0,0)</f>
        <v>Asadh 80</v>
      </c>
      <c r="G385" s="20">
        <f>_xlfn.XLOOKUP('01. Main'!$B385,[1]Mapping!D$2:D$24,[1]Mapping!E$2:E$24,0,0)</f>
        <v>2023</v>
      </c>
    </row>
    <row r="386" spans="1:7" x14ac:dyDescent="0.45">
      <c r="A386" s="13">
        <f>'[1]02. Matrix'!A395</f>
        <v>385</v>
      </c>
      <c r="B386" s="14">
        <f>'[1]02. Matrix'!B395</f>
        <v>17</v>
      </c>
      <c r="C386" s="14" t="str">
        <f>'[1]02. Matrix'!C395</f>
        <v>RECEIVABLE LOAN</v>
      </c>
      <c r="D386" s="14">
        <f>'[1]02. Matrix'!D395</f>
        <v>2</v>
      </c>
      <c r="E386" s="15">
        <f>'[1]02. Matrix'!E395</f>
        <v>0</v>
      </c>
      <c r="F386" s="14" t="str">
        <f>_xlfn.XLOOKUP('01. Main'!$B386,[1]Mapping!$D:$D,[1]Mapping!$A:$A,0,0)</f>
        <v>Asadh 80</v>
      </c>
      <c r="G386" s="16">
        <f>_xlfn.XLOOKUP('01. Main'!$B386,[1]Mapping!D$2:D$24,[1]Mapping!E$2:E$24,0,0)</f>
        <v>2023</v>
      </c>
    </row>
    <row r="387" spans="1:7" x14ac:dyDescent="0.45">
      <c r="A387" s="17">
        <f>'[1]02. Matrix'!A396</f>
        <v>386</v>
      </c>
      <c r="B387" s="18">
        <f>'[1]02. Matrix'!B396</f>
        <v>17</v>
      </c>
      <c r="C387" s="18" t="str">
        <f>'[1]02. Matrix'!C396</f>
        <v>STAFF LOAN</v>
      </c>
      <c r="D387" s="18">
        <f>'[1]02. Matrix'!D396</f>
        <v>2</v>
      </c>
      <c r="E387" s="19">
        <f>'[1]02. Matrix'!E396</f>
        <v>0</v>
      </c>
      <c r="F387" s="18" t="str">
        <f>_xlfn.XLOOKUP('01. Main'!$B387,[1]Mapping!$D:$D,[1]Mapping!$A:$A,0,0)</f>
        <v>Asadh 80</v>
      </c>
      <c r="G387" s="20">
        <f>_xlfn.XLOOKUP('01. Main'!$B387,[1]Mapping!D$2:D$24,[1]Mapping!E$2:E$24,0,0)</f>
        <v>2023</v>
      </c>
    </row>
    <row r="388" spans="1:7" x14ac:dyDescent="0.45">
      <c r="A388" s="13">
        <f>'[1]02. Matrix'!A397</f>
        <v>387</v>
      </c>
      <c r="B388" s="14">
        <f>'[1]02. Matrix'!B397</f>
        <v>17</v>
      </c>
      <c r="C388" s="14" t="str">
        <f>'[1]02. Matrix'!C397</f>
        <v>AGRICULTURAL LOAN</v>
      </c>
      <c r="D388" s="14">
        <f>'[1]02. Matrix'!D397</f>
        <v>2</v>
      </c>
      <c r="E388" s="15">
        <f>'[1]02. Matrix'!E397</f>
        <v>0</v>
      </c>
      <c r="F388" s="14" t="str">
        <f>_xlfn.XLOOKUP('01. Main'!$B388,[1]Mapping!$D:$D,[1]Mapping!$A:$A,0,0)</f>
        <v>Asadh 80</v>
      </c>
      <c r="G388" s="16">
        <f>_xlfn.XLOOKUP('01. Main'!$B388,[1]Mapping!D$2:D$24,[1]Mapping!E$2:E$24,0,0)</f>
        <v>2023</v>
      </c>
    </row>
    <row r="389" spans="1:7" x14ac:dyDescent="0.45">
      <c r="A389" s="17">
        <f>'[1]02. Matrix'!A398</f>
        <v>388</v>
      </c>
      <c r="B389" s="18">
        <f>'[1]02. Matrix'!B398</f>
        <v>17</v>
      </c>
      <c r="C389" s="18" t="str">
        <f>'[1]02. Matrix'!C398</f>
        <v>EARTHQUAKE RELIEF LO</v>
      </c>
      <c r="D389" s="18">
        <f>'[1]02. Matrix'!D398</f>
        <v>2</v>
      </c>
      <c r="E389" s="19">
        <f>'[1]02. Matrix'!E398</f>
        <v>0</v>
      </c>
      <c r="F389" s="18" t="str">
        <f>_xlfn.XLOOKUP('01. Main'!$B389,[1]Mapping!$D:$D,[1]Mapping!$A:$A,0,0)</f>
        <v>Asadh 80</v>
      </c>
      <c r="G389" s="20">
        <f>_xlfn.XLOOKUP('01. Main'!$B389,[1]Mapping!D$2:D$24,[1]Mapping!E$2:E$24,0,0)</f>
        <v>2023</v>
      </c>
    </row>
    <row r="390" spans="1:7" x14ac:dyDescent="0.45">
      <c r="A390" s="13">
        <f>'[1]02. Matrix'!A399</f>
        <v>389</v>
      </c>
      <c r="B390" s="14">
        <f>'[1]02. Matrix'!B399</f>
        <v>17</v>
      </c>
      <c r="C390" s="14" t="str">
        <f>'[1]02. Matrix'!C399</f>
        <v>TOURISM SECTOR LOAN</v>
      </c>
      <c r="D390" s="14">
        <f>'[1]02. Matrix'!D399</f>
        <v>2</v>
      </c>
      <c r="E390" s="15">
        <f>'[1]02. Matrix'!E399</f>
        <v>0</v>
      </c>
      <c r="F390" s="14" t="str">
        <f>_xlfn.XLOOKUP('01. Main'!$B390,[1]Mapping!$D:$D,[1]Mapping!$A:$A,0,0)</f>
        <v>Asadh 80</v>
      </c>
      <c r="G390" s="16">
        <f>_xlfn.XLOOKUP('01. Main'!$B390,[1]Mapping!D$2:D$24,[1]Mapping!E$2:E$24,0,0)</f>
        <v>2023</v>
      </c>
    </row>
    <row r="391" spans="1:7" x14ac:dyDescent="0.45">
      <c r="A391" s="17">
        <f>'[1]02. Matrix'!A400</f>
        <v>390</v>
      </c>
      <c r="B391" s="18">
        <f>'[1]02. Matrix'!B400</f>
        <v>17</v>
      </c>
      <c r="C391" s="18" t="str">
        <f>'[1]02. Matrix'!C400</f>
        <v>SME LOAN</v>
      </c>
      <c r="D391" s="18">
        <f>'[1]02. Matrix'!D400</f>
        <v>2</v>
      </c>
      <c r="E391" s="19">
        <f>'[1]02. Matrix'!E400</f>
        <v>0</v>
      </c>
      <c r="F391" s="18" t="str">
        <f>_xlfn.XLOOKUP('01. Main'!$B391,[1]Mapping!$D:$D,[1]Mapping!$A:$A,0,0)</f>
        <v>Asadh 80</v>
      </c>
      <c r="G391" s="20">
        <f>_xlfn.XLOOKUP('01. Main'!$B391,[1]Mapping!D$2:D$24,[1]Mapping!E$2:E$24,0,0)</f>
        <v>2023</v>
      </c>
    </row>
    <row r="392" spans="1:7" x14ac:dyDescent="0.45">
      <c r="A392" s="13">
        <f>'[1]02. Matrix'!A401</f>
        <v>391</v>
      </c>
      <c r="B392" s="14">
        <f>'[1]02. Matrix'!B401</f>
        <v>17</v>
      </c>
      <c r="C392" s="14" t="str">
        <f>'[1]02. Matrix'!C401</f>
        <v>EDUCATIONAL LOAN EMI</v>
      </c>
      <c r="D392" s="14">
        <f>'[1]02. Matrix'!D401</f>
        <v>2</v>
      </c>
      <c r="E392" s="15">
        <f>'[1]02. Matrix'!E401</f>
        <v>0</v>
      </c>
      <c r="F392" s="14" t="str">
        <f>_xlfn.XLOOKUP('01. Main'!$B392,[1]Mapping!$D:$D,[1]Mapping!$A:$A,0,0)</f>
        <v>Asadh 80</v>
      </c>
      <c r="G392" s="16">
        <f>_xlfn.XLOOKUP('01. Main'!$B392,[1]Mapping!D$2:D$24,[1]Mapping!E$2:E$24,0,0)</f>
        <v>2023</v>
      </c>
    </row>
    <row r="393" spans="1:7" x14ac:dyDescent="0.45">
      <c r="A393" s="17">
        <f>'[1]02. Matrix'!A402</f>
        <v>392</v>
      </c>
      <c r="B393" s="18">
        <f>'[1]02. Matrix'!B402</f>
        <v>17</v>
      </c>
      <c r="C393" s="18" t="str">
        <f>'[1]02. Matrix'!C402</f>
        <v>OVERDRAFT PROFESSION</v>
      </c>
      <c r="D393" s="18">
        <f>'[1]02. Matrix'!D402</f>
        <v>2</v>
      </c>
      <c r="E393" s="19">
        <f>'[1]02. Matrix'!E402</f>
        <v>0</v>
      </c>
      <c r="F393" s="18" t="str">
        <f>_xlfn.XLOOKUP('01. Main'!$B393,[1]Mapping!$D:$D,[1]Mapping!$A:$A,0,0)</f>
        <v>Asadh 80</v>
      </c>
      <c r="G393" s="20">
        <f>_xlfn.XLOOKUP('01. Main'!$B393,[1]Mapping!D$2:D$24,[1]Mapping!E$2:E$24,0,0)</f>
        <v>2023</v>
      </c>
    </row>
    <row r="394" spans="1:7" x14ac:dyDescent="0.45">
      <c r="A394" s="13">
        <f>'[1]02. Matrix'!A403</f>
        <v>393</v>
      </c>
      <c r="B394" s="14">
        <f>'[1]02. Matrix'!B403</f>
        <v>16</v>
      </c>
      <c r="C394" s="14" t="str">
        <f>'[1]02. Matrix'!C403</f>
        <v>OD PERSONAL LOAN</v>
      </c>
      <c r="D394" s="14">
        <f>'[1]02. Matrix'!D403</f>
        <v>1</v>
      </c>
      <c r="E394" s="15">
        <f>'[1]02. Matrix'!E403</f>
        <v>3.8852619186632707E-2</v>
      </c>
      <c r="F394" s="14" t="str">
        <f>_xlfn.XLOOKUP('01. Main'!$B394,[1]Mapping!$D:$D,[1]Mapping!$A:$A,0,0)</f>
        <v>Chaitra 79</v>
      </c>
      <c r="G394" s="16">
        <f>_xlfn.XLOOKUP('01. Main'!$B394,[1]Mapping!D$2:D$24,[1]Mapping!E$2:E$24,0,0)</f>
        <v>2023</v>
      </c>
    </row>
    <row r="395" spans="1:7" x14ac:dyDescent="0.45">
      <c r="A395" s="17">
        <f>'[1]02. Matrix'!A404</f>
        <v>394</v>
      </c>
      <c r="B395" s="18">
        <f>'[1]02. Matrix'!B404</f>
        <v>16</v>
      </c>
      <c r="C395" s="18" t="str">
        <f>'[1]02. Matrix'!C404</f>
        <v>OD BUSINESS LOAN</v>
      </c>
      <c r="D395" s="18">
        <f>'[1]02. Matrix'!D404</f>
        <v>1</v>
      </c>
      <c r="E395" s="19">
        <f>'[1]02. Matrix'!E404</f>
        <v>0.10673712266082122</v>
      </c>
      <c r="F395" s="18" t="str">
        <f>_xlfn.XLOOKUP('01. Main'!$B395,[1]Mapping!$D:$D,[1]Mapping!$A:$A,0,0)</f>
        <v>Chaitra 79</v>
      </c>
      <c r="G395" s="20">
        <f>_xlfn.XLOOKUP('01. Main'!$B395,[1]Mapping!D$2:D$24,[1]Mapping!E$2:E$24,0,0)</f>
        <v>2023</v>
      </c>
    </row>
    <row r="396" spans="1:7" x14ac:dyDescent="0.45">
      <c r="A396" s="13">
        <f>'[1]02. Matrix'!A405</f>
        <v>395</v>
      </c>
      <c r="B396" s="14">
        <f>'[1]02. Matrix'!B405</f>
        <v>16</v>
      </c>
      <c r="C396" s="14" t="str">
        <f>'[1]02. Matrix'!C405</f>
        <v>OD STAFF LOAN</v>
      </c>
      <c r="D396" s="14">
        <f>'[1]02. Matrix'!D405</f>
        <v>1</v>
      </c>
      <c r="E396" s="15">
        <f>'[1]02. Matrix'!E405</f>
        <v>0</v>
      </c>
      <c r="F396" s="14" t="str">
        <f>_xlfn.XLOOKUP('01. Main'!$B396,[1]Mapping!$D:$D,[1]Mapping!$A:$A,0,0)</f>
        <v>Chaitra 79</v>
      </c>
      <c r="G396" s="16">
        <f>_xlfn.XLOOKUP('01. Main'!$B396,[1]Mapping!D$2:D$24,[1]Mapping!E$2:E$24,0,0)</f>
        <v>2023</v>
      </c>
    </row>
    <row r="397" spans="1:7" x14ac:dyDescent="0.45">
      <c r="A397" s="17">
        <f>'[1]02. Matrix'!A406</f>
        <v>396</v>
      </c>
      <c r="B397" s="18">
        <f>'[1]02. Matrix'!B406</f>
        <v>16</v>
      </c>
      <c r="C397" s="18" t="str">
        <f>'[1]02. Matrix'!C406</f>
        <v>TERM LOAN</v>
      </c>
      <c r="D397" s="18">
        <f>'[1]02. Matrix'!D406</f>
        <v>1</v>
      </c>
      <c r="E397" s="19">
        <f>'[1]02. Matrix'!E406</f>
        <v>0.12891642895682734</v>
      </c>
      <c r="F397" s="18" t="str">
        <f>_xlfn.XLOOKUP('01. Main'!$B397,[1]Mapping!$D:$D,[1]Mapping!$A:$A,0,0)</f>
        <v>Chaitra 79</v>
      </c>
      <c r="G397" s="20">
        <f>_xlfn.XLOOKUP('01. Main'!$B397,[1]Mapping!D$2:D$24,[1]Mapping!E$2:E$24,0,0)</f>
        <v>2023</v>
      </c>
    </row>
    <row r="398" spans="1:7" x14ac:dyDescent="0.45">
      <c r="A398" s="13">
        <f>'[1]02. Matrix'!A407</f>
        <v>397</v>
      </c>
      <c r="B398" s="14">
        <f>'[1]02. Matrix'!B407</f>
        <v>16</v>
      </c>
      <c r="C398" s="14" t="str">
        <f>'[1]02. Matrix'!C407</f>
        <v>WC TRADING/IND LOAN</v>
      </c>
      <c r="D398" s="14">
        <f>'[1]02. Matrix'!D407</f>
        <v>1</v>
      </c>
      <c r="E398" s="15">
        <f>'[1]02. Matrix'!E407</f>
        <v>0.15302725211544127</v>
      </c>
      <c r="F398" s="14" t="str">
        <f>_xlfn.XLOOKUP('01. Main'!$B398,[1]Mapping!$D:$D,[1]Mapping!$A:$A,0,0)</f>
        <v>Chaitra 79</v>
      </c>
      <c r="G398" s="16">
        <f>_xlfn.XLOOKUP('01. Main'!$B398,[1]Mapping!D$2:D$24,[1]Mapping!E$2:E$24,0,0)</f>
        <v>2023</v>
      </c>
    </row>
    <row r="399" spans="1:7" x14ac:dyDescent="0.45">
      <c r="A399" s="17">
        <f>'[1]02. Matrix'!A408</f>
        <v>398</v>
      </c>
      <c r="B399" s="18">
        <f>'[1]02. Matrix'!B408</f>
        <v>16</v>
      </c>
      <c r="C399" s="18" t="str">
        <f>'[1]02. Matrix'!C408</f>
        <v>HOUSING LOAN</v>
      </c>
      <c r="D399" s="18">
        <f>'[1]02. Matrix'!D408</f>
        <v>1</v>
      </c>
      <c r="E399" s="19">
        <f>'[1]02. Matrix'!E408</f>
        <v>0.17918808591385976</v>
      </c>
      <c r="F399" s="18" t="str">
        <f>_xlfn.XLOOKUP('01. Main'!$B399,[1]Mapping!$D:$D,[1]Mapping!$A:$A,0,0)</f>
        <v>Chaitra 79</v>
      </c>
      <c r="G399" s="20">
        <f>_xlfn.XLOOKUP('01. Main'!$B399,[1]Mapping!D$2:D$24,[1]Mapping!E$2:E$24,0,0)</f>
        <v>2023</v>
      </c>
    </row>
    <row r="400" spans="1:7" x14ac:dyDescent="0.45">
      <c r="A400" s="13">
        <f>'[1]02. Matrix'!A409</f>
        <v>399</v>
      </c>
      <c r="B400" s="14">
        <f>'[1]02. Matrix'!B409</f>
        <v>16</v>
      </c>
      <c r="C400" s="14" t="str">
        <f>'[1]02. Matrix'!C409</f>
        <v>RESI REAL EST LOAN</v>
      </c>
      <c r="D400" s="14">
        <f>'[1]02. Matrix'!D409</f>
        <v>1</v>
      </c>
      <c r="E400" s="15">
        <f>'[1]02. Matrix'!E409</f>
        <v>0</v>
      </c>
      <c r="F400" s="14" t="str">
        <f>_xlfn.XLOOKUP('01. Main'!$B400,[1]Mapping!$D:$D,[1]Mapping!$A:$A,0,0)</f>
        <v>Chaitra 79</v>
      </c>
      <c r="G400" s="16">
        <f>_xlfn.XLOOKUP('01. Main'!$B400,[1]Mapping!D$2:D$24,[1]Mapping!E$2:E$24,0,0)</f>
        <v>2023</v>
      </c>
    </row>
    <row r="401" spans="1:7" x14ac:dyDescent="0.45">
      <c r="A401" s="17">
        <f>'[1]02. Matrix'!A410</f>
        <v>400</v>
      </c>
      <c r="B401" s="18">
        <f>'[1]02. Matrix'!B410</f>
        <v>16</v>
      </c>
      <c r="C401" s="18" t="str">
        <f>'[1]02. Matrix'!C410</f>
        <v>MARGIN NATURE LOAN</v>
      </c>
      <c r="D401" s="18">
        <f>'[1]02. Matrix'!D410</f>
        <v>1</v>
      </c>
      <c r="E401" s="19">
        <f>'[1]02. Matrix'!E410</f>
        <v>0</v>
      </c>
      <c r="F401" s="18" t="str">
        <f>_xlfn.XLOOKUP('01. Main'!$B401,[1]Mapping!$D:$D,[1]Mapping!$A:$A,0,0)</f>
        <v>Chaitra 79</v>
      </c>
      <c r="G401" s="20">
        <f>_xlfn.XLOOKUP('01. Main'!$B401,[1]Mapping!D$2:D$24,[1]Mapping!E$2:E$24,0,0)</f>
        <v>2023</v>
      </c>
    </row>
    <row r="402" spans="1:7" x14ac:dyDescent="0.45">
      <c r="A402" s="13">
        <f>'[1]02. Matrix'!A411</f>
        <v>401</v>
      </c>
      <c r="B402" s="14">
        <f>'[1]02. Matrix'!B411</f>
        <v>16</v>
      </c>
      <c r="C402" s="14" t="str">
        <f>'[1]02. Matrix'!C411</f>
        <v>HIRE PURCHASE LOAN</v>
      </c>
      <c r="D402" s="14">
        <f>'[1]02. Matrix'!D411</f>
        <v>1</v>
      </c>
      <c r="E402" s="15">
        <f>'[1]02. Matrix'!E411</f>
        <v>0.41833595707766758</v>
      </c>
      <c r="F402" s="14" t="str">
        <f>_xlfn.XLOOKUP('01. Main'!$B402,[1]Mapping!$D:$D,[1]Mapping!$A:$A,0,0)</f>
        <v>Chaitra 79</v>
      </c>
      <c r="G402" s="16">
        <f>_xlfn.XLOOKUP('01. Main'!$B402,[1]Mapping!D$2:D$24,[1]Mapping!E$2:E$24,0,0)</f>
        <v>2023</v>
      </c>
    </row>
    <row r="403" spans="1:7" x14ac:dyDescent="0.45">
      <c r="A403" s="17">
        <f>'[1]02. Matrix'!A412</f>
        <v>402</v>
      </c>
      <c r="B403" s="18">
        <f>'[1]02. Matrix'!B412</f>
        <v>16</v>
      </c>
      <c r="C403" s="18" t="str">
        <f>'[1]02. Matrix'!C412</f>
        <v>DEPRIVED SECTOR LOAN</v>
      </c>
      <c r="D403" s="18">
        <f>'[1]02. Matrix'!D412</f>
        <v>1</v>
      </c>
      <c r="E403" s="19">
        <f>'[1]02. Matrix'!E412</f>
        <v>5.662731617438313E-3</v>
      </c>
      <c r="F403" s="18" t="str">
        <f>_xlfn.XLOOKUP('01. Main'!$B403,[1]Mapping!$D:$D,[1]Mapping!$A:$A,0,0)</f>
        <v>Chaitra 79</v>
      </c>
      <c r="G403" s="20">
        <f>_xlfn.XLOOKUP('01. Main'!$B403,[1]Mapping!D$2:D$24,[1]Mapping!E$2:E$24,0,0)</f>
        <v>2023</v>
      </c>
    </row>
    <row r="404" spans="1:7" x14ac:dyDescent="0.45">
      <c r="A404" s="13">
        <f>'[1]02. Matrix'!A413</f>
        <v>403</v>
      </c>
      <c r="B404" s="14">
        <f>'[1]02. Matrix'!B413</f>
        <v>16</v>
      </c>
      <c r="C404" s="14" t="str">
        <f>'[1]02. Matrix'!C413</f>
        <v>EDUCATIONAL LOAN</v>
      </c>
      <c r="D404" s="14">
        <f>'[1]02. Matrix'!D413</f>
        <v>1</v>
      </c>
      <c r="E404" s="15">
        <f>'[1]02. Matrix'!E413</f>
        <v>9.7910518567752458E-2</v>
      </c>
      <c r="F404" s="14" t="str">
        <f>_xlfn.XLOOKUP('01. Main'!$B404,[1]Mapping!$D:$D,[1]Mapping!$A:$A,0,0)</f>
        <v>Chaitra 79</v>
      </c>
      <c r="G404" s="16">
        <f>_xlfn.XLOOKUP('01. Main'!$B404,[1]Mapping!D$2:D$24,[1]Mapping!E$2:E$24,0,0)</f>
        <v>2023</v>
      </c>
    </row>
    <row r="405" spans="1:7" x14ac:dyDescent="0.45">
      <c r="A405" s="17">
        <f>'[1]02. Matrix'!A414</f>
        <v>404</v>
      </c>
      <c r="B405" s="18">
        <f>'[1]02. Matrix'!B414</f>
        <v>16</v>
      </c>
      <c r="C405" s="18" t="str">
        <f>'[1]02. Matrix'!C414</f>
        <v>AGRICULTURE LOAN</v>
      </c>
      <c r="D405" s="18">
        <f>'[1]02. Matrix'!D414</f>
        <v>1</v>
      </c>
      <c r="E405" s="19">
        <f>'[1]02. Matrix'!E414</f>
        <v>0.13091883098310353</v>
      </c>
      <c r="F405" s="18" t="str">
        <f>_xlfn.XLOOKUP('01. Main'!$B405,[1]Mapping!$D:$D,[1]Mapping!$A:$A,0,0)</f>
        <v>Chaitra 79</v>
      </c>
      <c r="G405" s="20">
        <f>_xlfn.XLOOKUP('01. Main'!$B405,[1]Mapping!D$2:D$24,[1]Mapping!E$2:E$24,0,0)</f>
        <v>2023</v>
      </c>
    </row>
    <row r="406" spans="1:7" x14ac:dyDescent="0.45">
      <c r="A406" s="13">
        <f>'[1]02. Matrix'!A415</f>
        <v>405</v>
      </c>
      <c r="B406" s="14">
        <f>'[1]02. Matrix'!B415</f>
        <v>16</v>
      </c>
      <c r="C406" s="14" t="str">
        <f>'[1]02. Matrix'!C415</f>
        <v>RESI PER.HOME-EMI</v>
      </c>
      <c r="D406" s="14">
        <f>'[1]02. Matrix'!D415</f>
        <v>1</v>
      </c>
      <c r="E406" s="15">
        <f>'[1]02. Matrix'!E415</f>
        <v>4.4565972213570906E-2</v>
      </c>
      <c r="F406" s="14" t="str">
        <f>_xlfn.XLOOKUP('01. Main'!$B406,[1]Mapping!$D:$D,[1]Mapping!$A:$A,0,0)</f>
        <v>Chaitra 79</v>
      </c>
      <c r="G406" s="16">
        <f>_xlfn.XLOOKUP('01. Main'!$B406,[1]Mapping!D$2:D$24,[1]Mapping!E$2:E$24,0,0)</f>
        <v>2023</v>
      </c>
    </row>
    <row r="407" spans="1:7" x14ac:dyDescent="0.45">
      <c r="A407" s="17">
        <f>'[1]02. Matrix'!A416</f>
        <v>406</v>
      </c>
      <c r="B407" s="18">
        <f>'[1]02. Matrix'!B416</f>
        <v>16</v>
      </c>
      <c r="C407" s="18" t="str">
        <f>'[1]02. Matrix'!C416</f>
        <v>TERM LOAN - BUSINESS</v>
      </c>
      <c r="D407" s="18">
        <f>'[1]02. Matrix'!D416</f>
        <v>1</v>
      </c>
      <c r="E407" s="19">
        <f>'[1]02. Matrix'!E416</f>
        <v>0</v>
      </c>
      <c r="F407" s="18" t="str">
        <f>_xlfn.XLOOKUP('01. Main'!$B407,[1]Mapping!$D:$D,[1]Mapping!$A:$A,0,0)</f>
        <v>Chaitra 79</v>
      </c>
      <c r="G407" s="20">
        <f>_xlfn.XLOOKUP('01. Main'!$B407,[1]Mapping!D$2:D$24,[1]Mapping!E$2:E$24,0,0)</f>
        <v>2023</v>
      </c>
    </row>
    <row r="408" spans="1:7" x14ac:dyDescent="0.45">
      <c r="A408" s="13">
        <f>'[1]02. Matrix'!A417</f>
        <v>407</v>
      </c>
      <c r="B408" s="14">
        <f>'[1]02. Matrix'!B417</f>
        <v>16</v>
      </c>
      <c r="C408" s="14" t="str">
        <f>'[1]02. Matrix'!C417</f>
        <v>CONS FIN BUSN TRM LO</v>
      </c>
      <c r="D408" s="14">
        <f>'[1]02. Matrix'!D417</f>
        <v>1</v>
      </c>
      <c r="E408" s="15">
        <f>'[1]02. Matrix'!E417</f>
        <v>0</v>
      </c>
      <c r="F408" s="14" t="str">
        <f>_xlfn.XLOOKUP('01. Main'!$B408,[1]Mapping!$D:$D,[1]Mapping!$A:$A,0,0)</f>
        <v>Chaitra 79</v>
      </c>
      <c r="G408" s="16">
        <f>_xlfn.XLOOKUP('01. Main'!$B408,[1]Mapping!D$2:D$24,[1]Mapping!E$2:E$24,0,0)</f>
        <v>2023</v>
      </c>
    </row>
    <row r="409" spans="1:7" x14ac:dyDescent="0.45">
      <c r="A409" s="17">
        <f>'[1]02. Matrix'!A418</f>
        <v>408</v>
      </c>
      <c r="B409" s="18">
        <f>'[1]02. Matrix'!B418</f>
        <v>16</v>
      </c>
      <c r="C409" s="18" t="str">
        <f>'[1]02. Matrix'!C418</f>
        <v>BIS/PERHIRE PURCHASE</v>
      </c>
      <c r="D409" s="18">
        <f>'[1]02. Matrix'!D418</f>
        <v>1</v>
      </c>
      <c r="E409" s="19">
        <f>'[1]02. Matrix'!E418</f>
        <v>0.2120793988147151</v>
      </c>
      <c r="F409" s="18" t="str">
        <f>_xlfn.XLOOKUP('01. Main'!$B409,[1]Mapping!$D:$D,[1]Mapping!$A:$A,0,0)</f>
        <v>Chaitra 79</v>
      </c>
      <c r="G409" s="20">
        <f>_xlfn.XLOOKUP('01. Main'!$B409,[1]Mapping!D$2:D$24,[1]Mapping!E$2:E$24,0,0)</f>
        <v>2023</v>
      </c>
    </row>
    <row r="410" spans="1:7" x14ac:dyDescent="0.45">
      <c r="A410" s="13">
        <f>'[1]02. Matrix'!A419</f>
        <v>409</v>
      </c>
      <c r="B410" s="14">
        <f>'[1]02. Matrix'!B419</f>
        <v>16</v>
      </c>
      <c r="C410" s="14" t="str">
        <f>'[1]02. Matrix'!C419</f>
        <v xml:space="preserve">INT CAP TERM LOAN </v>
      </c>
      <c r="D410" s="14">
        <f>'[1]02. Matrix'!D419</f>
        <v>1</v>
      </c>
      <c r="E410" s="15">
        <f>'[1]02. Matrix'!E419</f>
        <v>0</v>
      </c>
      <c r="F410" s="14" t="str">
        <f>_xlfn.XLOOKUP('01. Main'!$B410,[1]Mapping!$D:$D,[1]Mapping!$A:$A,0,0)</f>
        <v>Chaitra 79</v>
      </c>
      <c r="G410" s="16">
        <f>_xlfn.XLOOKUP('01. Main'!$B410,[1]Mapping!D$2:D$24,[1]Mapping!E$2:E$24,0,0)</f>
        <v>2023</v>
      </c>
    </row>
    <row r="411" spans="1:7" x14ac:dyDescent="0.45">
      <c r="A411" s="17">
        <f>'[1]02. Matrix'!A420</f>
        <v>410</v>
      </c>
      <c r="B411" s="18">
        <f>'[1]02. Matrix'!B420</f>
        <v>16</v>
      </c>
      <c r="C411" s="18" t="str">
        <f>'[1]02. Matrix'!C420</f>
        <v>PERSONAL LOAN</v>
      </c>
      <c r="D411" s="18">
        <f>'[1]02. Matrix'!D420</f>
        <v>1</v>
      </c>
      <c r="E411" s="19">
        <f>'[1]02. Matrix'!E420</f>
        <v>0.10836416531430079</v>
      </c>
      <c r="F411" s="18" t="str">
        <f>_xlfn.XLOOKUP('01. Main'!$B411,[1]Mapping!$D:$D,[1]Mapping!$A:$A,0,0)</f>
        <v>Chaitra 79</v>
      </c>
      <c r="G411" s="20">
        <f>_xlfn.XLOOKUP('01. Main'!$B411,[1]Mapping!D$2:D$24,[1]Mapping!E$2:E$24,0,0)</f>
        <v>2023</v>
      </c>
    </row>
    <row r="412" spans="1:7" x14ac:dyDescent="0.45">
      <c r="A412" s="13">
        <f>'[1]02. Matrix'!A421</f>
        <v>411</v>
      </c>
      <c r="B412" s="14">
        <f>'[1]02. Matrix'!B421</f>
        <v>16</v>
      </c>
      <c r="C412" s="14" t="str">
        <f>'[1]02. Matrix'!C421</f>
        <v>MORTGAGE LOAN</v>
      </c>
      <c r="D412" s="14">
        <f>'[1]02. Matrix'!D421</f>
        <v>1</v>
      </c>
      <c r="E412" s="15">
        <f>'[1]02. Matrix'!E421</f>
        <v>8.1989229578233597E-2</v>
      </c>
      <c r="F412" s="14" t="str">
        <f>_xlfn.XLOOKUP('01. Main'!$B412,[1]Mapping!$D:$D,[1]Mapping!$A:$A,0,0)</f>
        <v>Chaitra 79</v>
      </c>
      <c r="G412" s="16">
        <f>_xlfn.XLOOKUP('01. Main'!$B412,[1]Mapping!D$2:D$24,[1]Mapping!E$2:E$24,0,0)</f>
        <v>2023</v>
      </c>
    </row>
    <row r="413" spans="1:7" x14ac:dyDescent="0.45">
      <c r="A413" s="17">
        <f>'[1]02. Matrix'!A422</f>
        <v>412</v>
      </c>
      <c r="B413" s="18">
        <f>'[1]02. Matrix'!B422</f>
        <v>16</v>
      </c>
      <c r="C413" s="18" t="str">
        <f>'[1]02. Matrix'!C422</f>
        <v>LOAN AGAINST FDR</v>
      </c>
      <c r="D413" s="18">
        <f>'[1]02. Matrix'!D422</f>
        <v>1</v>
      </c>
      <c r="E413" s="19">
        <f>'[1]02. Matrix'!E422</f>
        <v>0</v>
      </c>
      <c r="F413" s="18" t="str">
        <f>_xlfn.XLOOKUP('01. Main'!$B413,[1]Mapping!$D:$D,[1]Mapping!$A:$A,0,0)</f>
        <v>Chaitra 79</v>
      </c>
      <c r="G413" s="20">
        <f>_xlfn.XLOOKUP('01. Main'!$B413,[1]Mapping!D$2:D$24,[1]Mapping!E$2:E$24,0,0)</f>
        <v>2023</v>
      </c>
    </row>
    <row r="414" spans="1:7" x14ac:dyDescent="0.45">
      <c r="A414" s="13">
        <f>'[1]02. Matrix'!A423</f>
        <v>413</v>
      </c>
      <c r="B414" s="14">
        <f>'[1]02. Matrix'!B423</f>
        <v>16</v>
      </c>
      <c r="C414" s="14" t="str">
        <f>'[1]02. Matrix'!C423</f>
        <v>RECEIVABLE LOAN</v>
      </c>
      <c r="D414" s="14">
        <f>'[1]02. Matrix'!D423</f>
        <v>1</v>
      </c>
      <c r="E414" s="15">
        <f>'[1]02. Matrix'!E423</f>
        <v>0</v>
      </c>
      <c r="F414" s="14" t="str">
        <f>_xlfn.XLOOKUP('01. Main'!$B414,[1]Mapping!$D:$D,[1]Mapping!$A:$A,0,0)</f>
        <v>Chaitra 79</v>
      </c>
      <c r="G414" s="16">
        <f>_xlfn.XLOOKUP('01. Main'!$B414,[1]Mapping!D$2:D$24,[1]Mapping!E$2:E$24,0,0)</f>
        <v>2023</v>
      </c>
    </row>
    <row r="415" spans="1:7" x14ac:dyDescent="0.45">
      <c r="A415" s="17">
        <f>'[1]02. Matrix'!A424</f>
        <v>414</v>
      </c>
      <c r="B415" s="18">
        <f>'[1]02. Matrix'!B424</f>
        <v>16</v>
      </c>
      <c r="C415" s="18" t="str">
        <f>'[1]02. Matrix'!C424</f>
        <v>STAFF LOAN</v>
      </c>
      <c r="D415" s="18">
        <f>'[1]02. Matrix'!D424</f>
        <v>1</v>
      </c>
      <c r="E415" s="19">
        <f>'[1]02. Matrix'!E424</f>
        <v>0</v>
      </c>
      <c r="F415" s="18" t="str">
        <f>_xlfn.XLOOKUP('01. Main'!$B415,[1]Mapping!$D:$D,[1]Mapping!$A:$A,0,0)</f>
        <v>Chaitra 79</v>
      </c>
      <c r="G415" s="20">
        <f>_xlfn.XLOOKUP('01. Main'!$B415,[1]Mapping!D$2:D$24,[1]Mapping!E$2:E$24,0,0)</f>
        <v>2023</v>
      </c>
    </row>
    <row r="416" spans="1:7" x14ac:dyDescent="0.45">
      <c r="A416" s="13">
        <f>'[1]02. Matrix'!A425</f>
        <v>415</v>
      </c>
      <c r="B416" s="14">
        <f>'[1]02. Matrix'!B425</f>
        <v>16</v>
      </c>
      <c r="C416" s="14" t="str">
        <f>'[1]02. Matrix'!C425</f>
        <v>AGRICULTURAL LOAN</v>
      </c>
      <c r="D416" s="14">
        <f>'[1]02. Matrix'!D425</f>
        <v>1</v>
      </c>
      <c r="E416" s="15">
        <f>'[1]02. Matrix'!E425</f>
        <v>0</v>
      </c>
      <c r="F416" s="14" t="str">
        <f>_xlfn.XLOOKUP('01. Main'!$B416,[1]Mapping!$D:$D,[1]Mapping!$A:$A,0,0)</f>
        <v>Chaitra 79</v>
      </c>
      <c r="G416" s="16">
        <f>_xlfn.XLOOKUP('01. Main'!$B416,[1]Mapping!D$2:D$24,[1]Mapping!E$2:E$24,0,0)</f>
        <v>2023</v>
      </c>
    </row>
    <row r="417" spans="1:7" x14ac:dyDescent="0.45">
      <c r="A417" s="17">
        <f>'[1]02. Matrix'!A426</f>
        <v>416</v>
      </c>
      <c r="B417" s="18">
        <f>'[1]02. Matrix'!B426</f>
        <v>16</v>
      </c>
      <c r="C417" s="18" t="str">
        <f>'[1]02. Matrix'!C426</f>
        <v>EARTHQUAKE RELIEF LO</v>
      </c>
      <c r="D417" s="18">
        <f>'[1]02. Matrix'!D426</f>
        <v>1</v>
      </c>
      <c r="E417" s="19">
        <f>'[1]02. Matrix'!E426</f>
        <v>0</v>
      </c>
      <c r="F417" s="18" t="str">
        <f>_xlfn.XLOOKUP('01. Main'!$B417,[1]Mapping!$D:$D,[1]Mapping!$A:$A,0,0)</f>
        <v>Chaitra 79</v>
      </c>
      <c r="G417" s="20">
        <f>_xlfn.XLOOKUP('01. Main'!$B417,[1]Mapping!D$2:D$24,[1]Mapping!E$2:E$24,0,0)</f>
        <v>2023</v>
      </c>
    </row>
    <row r="418" spans="1:7" x14ac:dyDescent="0.45">
      <c r="A418" s="13">
        <f>'[1]02. Matrix'!A427</f>
        <v>417</v>
      </c>
      <c r="B418" s="14">
        <f>'[1]02. Matrix'!B427</f>
        <v>16</v>
      </c>
      <c r="C418" s="14" t="str">
        <f>'[1]02. Matrix'!C427</f>
        <v>TOURISM SECTOR LOAN</v>
      </c>
      <c r="D418" s="14">
        <f>'[1]02. Matrix'!D427</f>
        <v>1</v>
      </c>
      <c r="E418" s="15">
        <f>'[1]02. Matrix'!E427</f>
        <v>0</v>
      </c>
      <c r="F418" s="14" t="str">
        <f>_xlfn.XLOOKUP('01. Main'!$B418,[1]Mapping!$D:$D,[1]Mapping!$A:$A,0,0)</f>
        <v>Chaitra 79</v>
      </c>
      <c r="G418" s="16">
        <f>_xlfn.XLOOKUP('01. Main'!$B418,[1]Mapping!D$2:D$24,[1]Mapping!E$2:E$24,0,0)</f>
        <v>2023</v>
      </c>
    </row>
    <row r="419" spans="1:7" x14ac:dyDescent="0.45">
      <c r="A419" s="17">
        <f>'[1]02. Matrix'!A428</f>
        <v>418</v>
      </c>
      <c r="B419" s="18">
        <f>'[1]02. Matrix'!B428</f>
        <v>16</v>
      </c>
      <c r="C419" s="18" t="str">
        <f>'[1]02. Matrix'!C428</f>
        <v>SME LOAN</v>
      </c>
      <c r="D419" s="18">
        <f>'[1]02. Matrix'!D428</f>
        <v>1</v>
      </c>
      <c r="E419" s="19">
        <f>'[1]02. Matrix'!E428</f>
        <v>0</v>
      </c>
      <c r="F419" s="18" t="str">
        <f>_xlfn.XLOOKUP('01. Main'!$B419,[1]Mapping!$D:$D,[1]Mapping!$A:$A,0,0)</f>
        <v>Chaitra 79</v>
      </c>
      <c r="G419" s="20">
        <f>_xlfn.XLOOKUP('01. Main'!$B419,[1]Mapping!D$2:D$24,[1]Mapping!E$2:E$24,0,0)</f>
        <v>2023</v>
      </c>
    </row>
    <row r="420" spans="1:7" x14ac:dyDescent="0.45">
      <c r="A420" s="13">
        <f>'[1]02. Matrix'!A429</f>
        <v>419</v>
      </c>
      <c r="B420" s="14">
        <f>'[1]02. Matrix'!B429</f>
        <v>16</v>
      </c>
      <c r="C420" s="14" t="str">
        <f>'[1]02. Matrix'!C429</f>
        <v>EDUCATIONAL LOAN EMI</v>
      </c>
      <c r="D420" s="14">
        <f>'[1]02. Matrix'!D429</f>
        <v>1</v>
      </c>
      <c r="E420" s="15">
        <f>'[1]02. Matrix'!E429</f>
        <v>0</v>
      </c>
      <c r="F420" s="14" t="str">
        <f>_xlfn.XLOOKUP('01. Main'!$B420,[1]Mapping!$D:$D,[1]Mapping!$A:$A,0,0)</f>
        <v>Chaitra 79</v>
      </c>
      <c r="G420" s="16">
        <f>_xlfn.XLOOKUP('01. Main'!$B420,[1]Mapping!D$2:D$24,[1]Mapping!E$2:E$24,0,0)</f>
        <v>2023</v>
      </c>
    </row>
    <row r="421" spans="1:7" x14ac:dyDescent="0.45">
      <c r="A421" s="17">
        <f>'[1]02. Matrix'!A430</f>
        <v>420</v>
      </c>
      <c r="B421" s="18">
        <f>'[1]02. Matrix'!B430</f>
        <v>16</v>
      </c>
      <c r="C421" s="18" t="str">
        <f>'[1]02. Matrix'!C430</f>
        <v>OVERDRAFT PROFESSION</v>
      </c>
      <c r="D421" s="18">
        <f>'[1]02. Matrix'!D430</f>
        <v>1</v>
      </c>
      <c r="E421" s="19">
        <f>'[1]02. Matrix'!E430</f>
        <v>0</v>
      </c>
      <c r="F421" s="18" t="str">
        <f>_xlfn.XLOOKUP('01. Main'!$B421,[1]Mapping!$D:$D,[1]Mapping!$A:$A,0,0)</f>
        <v>Chaitra 79</v>
      </c>
      <c r="G421" s="20">
        <f>_xlfn.XLOOKUP('01. Main'!$B421,[1]Mapping!D$2:D$24,[1]Mapping!E$2:E$24,0,0)</f>
        <v>2023</v>
      </c>
    </row>
    <row r="422" spans="1:7" x14ac:dyDescent="0.45">
      <c r="A422" s="13">
        <f>'[1]02. Matrix'!A431</f>
        <v>421</v>
      </c>
      <c r="B422" s="14">
        <f>'[1]02. Matrix'!B431</f>
        <v>16</v>
      </c>
      <c r="C422" s="14" t="str">
        <f>'[1]02. Matrix'!C431</f>
        <v>OD PERSONAL LOAN</v>
      </c>
      <c r="D422" s="14">
        <f>'[1]02. Matrix'!D431</f>
        <v>2</v>
      </c>
      <c r="E422" s="15">
        <f>'[1]02. Matrix'!E431</f>
        <v>3.9906376557314847E-2</v>
      </c>
      <c r="F422" s="14" t="str">
        <f>_xlfn.XLOOKUP('01. Main'!$B422,[1]Mapping!$D:$D,[1]Mapping!$A:$A,0,0)</f>
        <v>Chaitra 79</v>
      </c>
      <c r="G422" s="16">
        <f>_xlfn.XLOOKUP('01. Main'!$B422,[1]Mapping!D$2:D$24,[1]Mapping!E$2:E$24,0,0)</f>
        <v>2023</v>
      </c>
    </row>
    <row r="423" spans="1:7" x14ac:dyDescent="0.45">
      <c r="A423" s="17">
        <f>'[1]02. Matrix'!A432</f>
        <v>422</v>
      </c>
      <c r="B423" s="18">
        <f>'[1]02. Matrix'!B432</f>
        <v>16</v>
      </c>
      <c r="C423" s="18" t="str">
        <f>'[1]02. Matrix'!C432</f>
        <v>OD BUSINESS LOAN</v>
      </c>
      <c r="D423" s="18">
        <f>'[1]02. Matrix'!D432</f>
        <v>2</v>
      </c>
      <c r="E423" s="19">
        <f>'[1]02. Matrix'!E432</f>
        <v>0.15087909601832744</v>
      </c>
      <c r="F423" s="18" t="str">
        <f>_xlfn.XLOOKUP('01. Main'!$B423,[1]Mapping!$D:$D,[1]Mapping!$A:$A,0,0)</f>
        <v>Chaitra 79</v>
      </c>
      <c r="G423" s="20">
        <f>_xlfn.XLOOKUP('01. Main'!$B423,[1]Mapping!D$2:D$24,[1]Mapping!E$2:E$24,0,0)</f>
        <v>2023</v>
      </c>
    </row>
    <row r="424" spans="1:7" x14ac:dyDescent="0.45">
      <c r="A424" s="13">
        <f>'[1]02. Matrix'!A433</f>
        <v>423</v>
      </c>
      <c r="B424" s="14">
        <f>'[1]02. Matrix'!B433</f>
        <v>16</v>
      </c>
      <c r="C424" s="14" t="str">
        <f>'[1]02. Matrix'!C433</f>
        <v>OD STAFF LOAN</v>
      </c>
      <c r="D424" s="14">
        <f>'[1]02. Matrix'!D433</f>
        <v>2</v>
      </c>
      <c r="E424" s="15">
        <f>'[1]02. Matrix'!E433</f>
        <v>0</v>
      </c>
      <c r="F424" s="14" t="str">
        <f>_xlfn.XLOOKUP('01. Main'!$B424,[1]Mapping!$D:$D,[1]Mapping!$A:$A,0,0)</f>
        <v>Chaitra 79</v>
      </c>
      <c r="G424" s="16">
        <f>_xlfn.XLOOKUP('01. Main'!$B424,[1]Mapping!D$2:D$24,[1]Mapping!E$2:E$24,0,0)</f>
        <v>2023</v>
      </c>
    </row>
    <row r="425" spans="1:7" x14ac:dyDescent="0.45">
      <c r="A425" s="17">
        <f>'[1]02. Matrix'!A434</f>
        <v>424</v>
      </c>
      <c r="B425" s="18">
        <f>'[1]02. Matrix'!B434</f>
        <v>16</v>
      </c>
      <c r="C425" s="18" t="str">
        <f>'[1]02. Matrix'!C434</f>
        <v>TERM LOAN</v>
      </c>
      <c r="D425" s="18">
        <f>'[1]02. Matrix'!D434</f>
        <v>2</v>
      </c>
      <c r="E425" s="19">
        <f>'[1]02. Matrix'!E434</f>
        <v>0.30474756816702786</v>
      </c>
      <c r="F425" s="18" t="str">
        <f>_xlfn.XLOOKUP('01. Main'!$B425,[1]Mapping!$D:$D,[1]Mapping!$A:$A,0,0)</f>
        <v>Chaitra 79</v>
      </c>
      <c r="G425" s="20">
        <f>_xlfn.XLOOKUP('01. Main'!$B425,[1]Mapping!D$2:D$24,[1]Mapping!E$2:E$24,0,0)</f>
        <v>2023</v>
      </c>
    </row>
    <row r="426" spans="1:7" x14ac:dyDescent="0.45">
      <c r="A426" s="13">
        <f>'[1]02. Matrix'!A435</f>
        <v>425</v>
      </c>
      <c r="B426" s="14">
        <f>'[1]02. Matrix'!B435</f>
        <v>16</v>
      </c>
      <c r="C426" s="14" t="str">
        <f>'[1]02. Matrix'!C435</f>
        <v>WC TRADING/IND LOAN</v>
      </c>
      <c r="D426" s="14">
        <f>'[1]02. Matrix'!D435</f>
        <v>2</v>
      </c>
      <c r="E426" s="15">
        <f>'[1]02. Matrix'!E435</f>
        <v>0.30941419116730828</v>
      </c>
      <c r="F426" s="14" t="str">
        <f>_xlfn.XLOOKUP('01. Main'!$B426,[1]Mapping!$D:$D,[1]Mapping!$A:$A,0,0)</f>
        <v>Chaitra 79</v>
      </c>
      <c r="G426" s="16">
        <f>_xlfn.XLOOKUP('01. Main'!$B426,[1]Mapping!D$2:D$24,[1]Mapping!E$2:E$24,0,0)</f>
        <v>2023</v>
      </c>
    </row>
    <row r="427" spans="1:7" x14ac:dyDescent="0.45">
      <c r="A427" s="17">
        <f>'[1]02. Matrix'!A436</f>
        <v>426</v>
      </c>
      <c r="B427" s="18">
        <f>'[1]02. Matrix'!B436</f>
        <v>16</v>
      </c>
      <c r="C427" s="18" t="str">
        <f>'[1]02. Matrix'!C436</f>
        <v>HOUSING LOAN</v>
      </c>
      <c r="D427" s="18">
        <f>'[1]02. Matrix'!D436</f>
        <v>2</v>
      </c>
      <c r="E427" s="19">
        <f>'[1]02. Matrix'!E436</f>
        <v>0.5820056263983987</v>
      </c>
      <c r="F427" s="18" t="str">
        <f>_xlfn.XLOOKUP('01. Main'!$B427,[1]Mapping!$D:$D,[1]Mapping!$A:$A,0,0)</f>
        <v>Chaitra 79</v>
      </c>
      <c r="G427" s="20">
        <f>_xlfn.XLOOKUP('01. Main'!$B427,[1]Mapping!D$2:D$24,[1]Mapping!E$2:E$24,0,0)</f>
        <v>2023</v>
      </c>
    </row>
    <row r="428" spans="1:7" x14ac:dyDescent="0.45">
      <c r="A428" s="13">
        <f>'[1]02. Matrix'!A437</f>
        <v>427</v>
      </c>
      <c r="B428" s="14">
        <f>'[1]02. Matrix'!B437</f>
        <v>16</v>
      </c>
      <c r="C428" s="14" t="str">
        <f>'[1]02. Matrix'!C437</f>
        <v>RESI REAL EST LOAN</v>
      </c>
      <c r="D428" s="14">
        <f>'[1]02. Matrix'!D437</f>
        <v>2</v>
      </c>
      <c r="E428" s="15">
        <f>'[1]02. Matrix'!E437</f>
        <v>0</v>
      </c>
      <c r="F428" s="14" t="str">
        <f>_xlfn.XLOOKUP('01. Main'!$B428,[1]Mapping!$D:$D,[1]Mapping!$A:$A,0,0)</f>
        <v>Chaitra 79</v>
      </c>
      <c r="G428" s="16">
        <f>_xlfn.XLOOKUP('01. Main'!$B428,[1]Mapping!D$2:D$24,[1]Mapping!E$2:E$24,0,0)</f>
        <v>2023</v>
      </c>
    </row>
    <row r="429" spans="1:7" x14ac:dyDescent="0.45">
      <c r="A429" s="17">
        <f>'[1]02. Matrix'!A438</f>
        <v>428</v>
      </c>
      <c r="B429" s="18">
        <f>'[1]02. Matrix'!B438</f>
        <v>16</v>
      </c>
      <c r="C429" s="18" t="str">
        <f>'[1]02. Matrix'!C438</f>
        <v>MARGIN NATURE LOAN</v>
      </c>
      <c r="D429" s="18">
        <f>'[1]02. Matrix'!D438</f>
        <v>2</v>
      </c>
      <c r="E429" s="19">
        <f>'[1]02. Matrix'!E438</f>
        <v>0</v>
      </c>
      <c r="F429" s="18" t="str">
        <f>_xlfn.XLOOKUP('01. Main'!$B429,[1]Mapping!$D:$D,[1]Mapping!$A:$A,0,0)</f>
        <v>Chaitra 79</v>
      </c>
      <c r="G429" s="20">
        <f>_xlfn.XLOOKUP('01. Main'!$B429,[1]Mapping!D$2:D$24,[1]Mapping!E$2:E$24,0,0)</f>
        <v>2023</v>
      </c>
    </row>
    <row r="430" spans="1:7" x14ac:dyDescent="0.45">
      <c r="A430" s="13">
        <f>'[1]02. Matrix'!A439</f>
        <v>429</v>
      </c>
      <c r="B430" s="14">
        <f>'[1]02. Matrix'!B439</f>
        <v>16</v>
      </c>
      <c r="C430" s="14" t="str">
        <f>'[1]02. Matrix'!C439</f>
        <v>HIRE PURCHASE LOAN</v>
      </c>
      <c r="D430" s="14">
        <f>'[1]02. Matrix'!D439</f>
        <v>2</v>
      </c>
      <c r="E430" s="15">
        <f>'[1]02. Matrix'!E439</f>
        <v>0.52776928605666407</v>
      </c>
      <c r="F430" s="14" t="str">
        <f>_xlfn.XLOOKUP('01. Main'!$B430,[1]Mapping!$D:$D,[1]Mapping!$A:$A,0,0)</f>
        <v>Chaitra 79</v>
      </c>
      <c r="G430" s="16">
        <f>_xlfn.XLOOKUP('01. Main'!$B430,[1]Mapping!D$2:D$24,[1]Mapping!E$2:E$24,0,0)</f>
        <v>2023</v>
      </c>
    </row>
    <row r="431" spans="1:7" x14ac:dyDescent="0.45">
      <c r="A431" s="17">
        <f>'[1]02. Matrix'!A440</f>
        <v>430</v>
      </c>
      <c r="B431" s="18">
        <f>'[1]02. Matrix'!B440</f>
        <v>16</v>
      </c>
      <c r="C431" s="18" t="str">
        <f>'[1]02. Matrix'!C440</f>
        <v>DEPRIVED SECTOR LOAN</v>
      </c>
      <c r="D431" s="18">
        <f>'[1]02. Matrix'!D440</f>
        <v>2</v>
      </c>
      <c r="E431" s="19">
        <f>'[1]02. Matrix'!E440</f>
        <v>1.3185511298953272E-2</v>
      </c>
      <c r="F431" s="18" t="str">
        <f>_xlfn.XLOOKUP('01. Main'!$B431,[1]Mapping!$D:$D,[1]Mapping!$A:$A,0,0)</f>
        <v>Chaitra 79</v>
      </c>
      <c r="G431" s="20">
        <f>_xlfn.XLOOKUP('01. Main'!$B431,[1]Mapping!D$2:D$24,[1]Mapping!E$2:E$24,0,0)</f>
        <v>2023</v>
      </c>
    </row>
    <row r="432" spans="1:7" x14ac:dyDescent="0.45">
      <c r="A432" s="13">
        <f>'[1]02. Matrix'!A441</f>
        <v>431</v>
      </c>
      <c r="B432" s="14">
        <f>'[1]02. Matrix'!B441</f>
        <v>16</v>
      </c>
      <c r="C432" s="14" t="str">
        <f>'[1]02. Matrix'!C441</f>
        <v>EDUCATIONAL LOAN</v>
      </c>
      <c r="D432" s="14">
        <f>'[1]02. Matrix'!D441</f>
        <v>2</v>
      </c>
      <c r="E432" s="15">
        <f>'[1]02. Matrix'!E441</f>
        <v>0.96449211647096966</v>
      </c>
      <c r="F432" s="14" t="str">
        <f>_xlfn.XLOOKUP('01. Main'!$B432,[1]Mapping!$D:$D,[1]Mapping!$A:$A,0,0)</f>
        <v>Chaitra 79</v>
      </c>
      <c r="G432" s="16">
        <f>_xlfn.XLOOKUP('01. Main'!$B432,[1]Mapping!D$2:D$24,[1]Mapping!E$2:E$24,0,0)</f>
        <v>2023</v>
      </c>
    </row>
    <row r="433" spans="1:7" x14ac:dyDescent="0.45">
      <c r="A433" s="17">
        <f>'[1]02. Matrix'!A442</f>
        <v>432</v>
      </c>
      <c r="B433" s="18">
        <f>'[1]02. Matrix'!B442</f>
        <v>16</v>
      </c>
      <c r="C433" s="18" t="str">
        <f>'[1]02. Matrix'!C442</f>
        <v>AGRICULTURE LOAN</v>
      </c>
      <c r="D433" s="18">
        <f>'[1]02. Matrix'!D442</f>
        <v>2</v>
      </c>
      <c r="E433" s="19">
        <f>'[1]02. Matrix'!E442</f>
        <v>0.21303766935412796</v>
      </c>
      <c r="F433" s="18" t="str">
        <f>_xlfn.XLOOKUP('01. Main'!$B433,[1]Mapping!$D:$D,[1]Mapping!$A:$A,0,0)</f>
        <v>Chaitra 79</v>
      </c>
      <c r="G433" s="20">
        <f>_xlfn.XLOOKUP('01. Main'!$B433,[1]Mapping!D$2:D$24,[1]Mapping!E$2:E$24,0,0)</f>
        <v>2023</v>
      </c>
    </row>
    <row r="434" spans="1:7" x14ac:dyDescent="0.45">
      <c r="A434" s="13">
        <f>'[1]02. Matrix'!A443</f>
        <v>433</v>
      </c>
      <c r="B434" s="14">
        <f>'[1]02. Matrix'!B443</f>
        <v>16</v>
      </c>
      <c r="C434" s="14" t="str">
        <f>'[1]02. Matrix'!C443</f>
        <v>RESI PER.HOME-EMI</v>
      </c>
      <c r="D434" s="14">
        <f>'[1]02. Matrix'!D443</f>
        <v>2</v>
      </c>
      <c r="E434" s="15">
        <f>'[1]02. Matrix'!E443</f>
        <v>5.5510118853846588E-2</v>
      </c>
      <c r="F434" s="14" t="str">
        <f>_xlfn.XLOOKUP('01. Main'!$B434,[1]Mapping!$D:$D,[1]Mapping!$A:$A,0,0)</f>
        <v>Chaitra 79</v>
      </c>
      <c r="G434" s="16">
        <f>_xlfn.XLOOKUP('01. Main'!$B434,[1]Mapping!D$2:D$24,[1]Mapping!E$2:E$24,0,0)</f>
        <v>2023</v>
      </c>
    </row>
    <row r="435" spans="1:7" x14ac:dyDescent="0.45">
      <c r="A435" s="17">
        <f>'[1]02. Matrix'!A444</f>
        <v>434</v>
      </c>
      <c r="B435" s="18">
        <f>'[1]02. Matrix'!B444</f>
        <v>16</v>
      </c>
      <c r="C435" s="18" t="str">
        <f>'[1]02. Matrix'!C444</f>
        <v>TERM LOAN - BUSINESS</v>
      </c>
      <c r="D435" s="18">
        <f>'[1]02. Matrix'!D444</f>
        <v>2</v>
      </c>
      <c r="E435" s="19">
        <f>'[1]02. Matrix'!E444</f>
        <v>0</v>
      </c>
      <c r="F435" s="18" t="str">
        <f>_xlfn.XLOOKUP('01. Main'!$B435,[1]Mapping!$D:$D,[1]Mapping!$A:$A,0,0)</f>
        <v>Chaitra 79</v>
      </c>
      <c r="G435" s="20">
        <f>_xlfn.XLOOKUP('01. Main'!$B435,[1]Mapping!D$2:D$24,[1]Mapping!E$2:E$24,0,0)</f>
        <v>2023</v>
      </c>
    </row>
    <row r="436" spans="1:7" x14ac:dyDescent="0.45">
      <c r="A436" s="13">
        <f>'[1]02. Matrix'!A445</f>
        <v>435</v>
      </c>
      <c r="B436" s="14">
        <f>'[1]02. Matrix'!B445</f>
        <v>16</v>
      </c>
      <c r="C436" s="14" t="str">
        <f>'[1]02. Matrix'!C445</f>
        <v>CONS FIN BUSN TRM LO</v>
      </c>
      <c r="D436" s="14">
        <f>'[1]02. Matrix'!D445</f>
        <v>2</v>
      </c>
      <c r="E436" s="15">
        <f>'[1]02. Matrix'!E445</f>
        <v>0</v>
      </c>
      <c r="F436" s="14" t="str">
        <f>_xlfn.XLOOKUP('01. Main'!$B436,[1]Mapping!$D:$D,[1]Mapping!$A:$A,0,0)</f>
        <v>Chaitra 79</v>
      </c>
      <c r="G436" s="16">
        <f>_xlfn.XLOOKUP('01. Main'!$B436,[1]Mapping!D$2:D$24,[1]Mapping!E$2:E$24,0,0)</f>
        <v>2023</v>
      </c>
    </row>
    <row r="437" spans="1:7" x14ac:dyDescent="0.45">
      <c r="A437" s="17">
        <f>'[1]02. Matrix'!A446</f>
        <v>436</v>
      </c>
      <c r="B437" s="18">
        <f>'[1]02. Matrix'!B446</f>
        <v>16</v>
      </c>
      <c r="C437" s="18" t="str">
        <f>'[1]02. Matrix'!C446</f>
        <v>BIS/PERHIRE PURCHASE</v>
      </c>
      <c r="D437" s="18">
        <f>'[1]02. Matrix'!D446</f>
        <v>2</v>
      </c>
      <c r="E437" s="19">
        <f>'[1]02. Matrix'!E446</f>
        <v>0.43476511862509271</v>
      </c>
      <c r="F437" s="18" t="str">
        <f>_xlfn.XLOOKUP('01. Main'!$B437,[1]Mapping!$D:$D,[1]Mapping!$A:$A,0,0)</f>
        <v>Chaitra 79</v>
      </c>
      <c r="G437" s="20">
        <f>_xlfn.XLOOKUP('01. Main'!$B437,[1]Mapping!D$2:D$24,[1]Mapping!E$2:E$24,0,0)</f>
        <v>2023</v>
      </c>
    </row>
    <row r="438" spans="1:7" x14ac:dyDescent="0.45">
      <c r="A438" s="13">
        <f>'[1]02. Matrix'!A447</f>
        <v>437</v>
      </c>
      <c r="B438" s="14">
        <f>'[1]02. Matrix'!B447</f>
        <v>16</v>
      </c>
      <c r="C438" s="14" t="str">
        <f>'[1]02. Matrix'!C447</f>
        <v xml:space="preserve">INT CAP TERM LOAN </v>
      </c>
      <c r="D438" s="14">
        <f>'[1]02. Matrix'!D447</f>
        <v>2</v>
      </c>
      <c r="E438" s="15">
        <f>'[1]02. Matrix'!E447</f>
        <v>0</v>
      </c>
      <c r="F438" s="14" t="str">
        <f>_xlfn.XLOOKUP('01. Main'!$B438,[1]Mapping!$D:$D,[1]Mapping!$A:$A,0,0)</f>
        <v>Chaitra 79</v>
      </c>
      <c r="G438" s="16">
        <f>_xlfn.XLOOKUP('01. Main'!$B438,[1]Mapping!D$2:D$24,[1]Mapping!E$2:E$24,0,0)</f>
        <v>2023</v>
      </c>
    </row>
    <row r="439" spans="1:7" x14ac:dyDescent="0.45">
      <c r="A439" s="17">
        <f>'[1]02. Matrix'!A448</f>
        <v>438</v>
      </c>
      <c r="B439" s="18">
        <f>'[1]02. Matrix'!B448</f>
        <v>16</v>
      </c>
      <c r="C439" s="18" t="str">
        <f>'[1]02. Matrix'!C448</f>
        <v>PERSONAL LOAN</v>
      </c>
      <c r="D439" s="18">
        <f>'[1]02. Matrix'!D448</f>
        <v>2</v>
      </c>
      <c r="E439" s="19">
        <f>'[1]02. Matrix'!E448</f>
        <v>0.24467888790305314</v>
      </c>
      <c r="F439" s="18" t="str">
        <f>_xlfn.XLOOKUP('01. Main'!$B439,[1]Mapping!$D:$D,[1]Mapping!$A:$A,0,0)</f>
        <v>Chaitra 79</v>
      </c>
      <c r="G439" s="20">
        <f>_xlfn.XLOOKUP('01. Main'!$B439,[1]Mapping!D$2:D$24,[1]Mapping!E$2:E$24,0,0)</f>
        <v>2023</v>
      </c>
    </row>
    <row r="440" spans="1:7" x14ac:dyDescent="0.45">
      <c r="A440" s="13">
        <f>'[1]02. Matrix'!A449</f>
        <v>439</v>
      </c>
      <c r="B440" s="14">
        <f>'[1]02. Matrix'!B449</f>
        <v>16</v>
      </c>
      <c r="C440" s="14" t="str">
        <f>'[1]02. Matrix'!C449</f>
        <v>MORTGAGE LOAN</v>
      </c>
      <c r="D440" s="14">
        <f>'[1]02. Matrix'!D449</f>
        <v>2</v>
      </c>
      <c r="E440" s="15">
        <f>'[1]02. Matrix'!E449</f>
        <v>2.9929615434595987E-2</v>
      </c>
      <c r="F440" s="14" t="str">
        <f>_xlfn.XLOOKUP('01. Main'!$B440,[1]Mapping!$D:$D,[1]Mapping!$A:$A,0,0)</f>
        <v>Chaitra 79</v>
      </c>
      <c r="G440" s="16">
        <f>_xlfn.XLOOKUP('01. Main'!$B440,[1]Mapping!D$2:D$24,[1]Mapping!E$2:E$24,0,0)</f>
        <v>2023</v>
      </c>
    </row>
    <row r="441" spans="1:7" x14ac:dyDescent="0.45">
      <c r="A441" s="17">
        <f>'[1]02. Matrix'!A450</f>
        <v>440</v>
      </c>
      <c r="B441" s="18">
        <f>'[1]02. Matrix'!B450</f>
        <v>16</v>
      </c>
      <c r="C441" s="18" t="str">
        <f>'[1]02. Matrix'!C450</f>
        <v>LOAN AGAINST FDR</v>
      </c>
      <c r="D441" s="18">
        <f>'[1]02. Matrix'!D450</f>
        <v>2</v>
      </c>
      <c r="E441" s="19">
        <f>'[1]02. Matrix'!E450</f>
        <v>0</v>
      </c>
      <c r="F441" s="18" t="str">
        <f>_xlfn.XLOOKUP('01. Main'!$B441,[1]Mapping!$D:$D,[1]Mapping!$A:$A,0,0)</f>
        <v>Chaitra 79</v>
      </c>
      <c r="G441" s="20">
        <f>_xlfn.XLOOKUP('01. Main'!$B441,[1]Mapping!D$2:D$24,[1]Mapping!E$2:E$24,0,0)</f>
        <v>2023</v>
      </c>
    </row>
    <row r="442" spans="1:7" x14ac:dyDescent="0.45">
      <c r="A442" s="13">
        <f>'[1]02. Matrix'!A451</f>
        <v>441</v>
      </c>
      <c r="B442" s="14">
        <f>'[1]02. Matrix'!B451</f>
        <v>16</v>
      </c>
      <c r="C442" s="14" t="str">
        <f>'[1]02. Matrix'!C451</f>
        <v>RECEIVABLE LOAN</v>
      </c>
      <c r="D442" s="14">
        <f>'[1]02. Matrix'!D451</f>
        <v>2</v>
      </c>
      <c r="E442" s="15">
        <f>'[1]02. Matrix'!E451</f>
        <v>0</v>
      </c>
      <c r="F442" s="14" t="str">
        <f>_xlfn.XLOOKUP('01. Main'!$B442,[1]Mapping!$D:$D,[1]Mapping!$A:$A,0,0)</f>
        <v>Chaitra 79</v>
      </c>
      <c r="G442" s="16">
        <f>_xlfn.XLOOKUP('01. Main'!$B442,[1]Mapping!D$2:D$24,[1]Mapping!E$2:E$24,0,0)</f>
        <v>2023</v>
      </c>
    </row>
    <row r="443" spans="1:7" x14ac:dyDescent="0.45">
      <c r="A443" s="17">
        <f>'[1]02. Matrix'!A452</f>
        <v>442</v>
      </c>
      <c r="B443" s="18">
        <f>'[1]02. Matrix'!B452</f>
        <v>16</v>
      </c>
      <c r="C443" s="18" t="str">
        <f>'[1]02. Matrix'!C452</f>
        <v>STAFF LOAN</v>
      </c>
      <c r="D443" s="18">
        <f>'[1]02. Matrix'!D452</f>
        <v>2</v>
      </c>
      <c r="E443" s="19">
        <f>'[1]02. Matrix'!E452</f>
        <v>0</v>
      </c>
      <c r="F443" s="18" t="str">
        <f>_xlfn.XLOOKUP('01. Main'!$B443,[1]Mapping!$D:$D,[1]Mapping!$A:$A,0,0)</f>
        <v>Chaitra 79</v>
      </c>
      <c r="G443" s="20">
        <f>_xlfn.XLOOKUP('01. Main'!$B443,[1]Mapping!D$2:D$24,[1]Mapping!E$2:E$24,0,0)</f>
        <v>2023</v>
      </c>
    </row>
    <row r="444" spans="1:7" x14ac:dyDescent="0.45">
      <c r="A444" s="13">
        <f>'[1]02. Matrix'!A453</f>
        <v>443</v>
      </c>
      <c r="B444" s="14">
        <f>'[1]02. Matrix'!B453</f>
        <v>16</v>
      </c>
      <c r="C444" s="14" t="str">
        <f>'[1]02. Matrix'!C453</f>
        <v>AGRICULTURAL LOAN</v>
      </c>
      <c r="D444" s="14">
        <f>'[1]02. Matrix'!D453</f>
        <v>2</v>
      </c>
      <c r="E444" s="15">
        <f>'[1]02. Matrix'!E453</f>
        <v>0</v>
      </c>
      <c r="F444" s="14" t="str">
        <f>_xlfn.XLOOKUP('01. Main'!$B444,[1]Mapping!$D:$D,[1]Mapping!$A:$A,0,0)</f>
        <v>Chaitra 79</v>
      </c>
      <c r="G444" s="16">
        <f>_xlfn.XLOOKUP('01. Main'!$B444,[1]Mapping!D$2:D$24,[1]Mapping!E$2:E$24,0,0)</f>
        <v>2023</v>
      </c>
    </row>
    <row r="445" spans="1:7" x14ac:dyDescent="0.45">
      <c r="A445" s="17">
        <f>'[1]02. Matrix'!A454</f>
        <v>444</v>
      </c>
      <c r="B445" s="18">
        <f>'[1]02. Matrix'!B454</f>
        <v>16</v>
      </c>
      <c r="C445" s="18" t="str">
        <f>'[1]02. Matrix'!C454</f>
        <v>EARTHQUAKE RELIEF LO</v>
      </c>
      <c r="D445" s="18">
        <f>'[1]02. Matrix'!D454</f>
        <v>2</v>
      </c>
      <c r="E445" s="19">
        <f>'[1]02. Matrix'!E454</f>
        <v>0</v>
      </c>
      <c r="F445" s="18" t="str">
        <f>_xlfn.XLOOKUP('01. Main'!$B445,[1]Mapping!$D:$D,[1]Mapping!$A:$A,0,0)</f>
        <v>Chaitra 79</v>
      </c>
      <c r="G445" s="20">
        <f>_xlfn.XLOOKUP('01. Main'!$B445,[1]Mapping!D$2:D$24,[1]Mapping!E$2:E$24,0,0)</f>
        <v>2023</v>
      </c>
    </row>
    <row r="446" spans="1:7" x14ac:dyDescent="0.45">
      <c r="A446" s="13">
        <f>'[1]02. Matrix'!A455</f>
        <v>445</v>
      </c>
      <c r="B446" s="14">
        <f>'[1]02. Matrix'!B455</f>
        <v>16</v>
      </c>
      <c r="C446" s="14" t="str">
        <f>'[1]02. Matrix'!C455</f>
        <v>TOURISM SECTOR LOAN</v>
      </c>
      <c r="D446" s="14">
        <f>'[1]02. Matrix'!D455</f>
        <v>2</v>
      </c>
      <c r="E446" s="15">
        <f>'[1]02. Matrix'!E455</f>
        <v>0</v>
      </c>
      <c r="F446" s="14" t="str">
        <f>_xlfn.XLOOKUP('01. Main'!$B446,[1]Mapping!$D:$D,[1]Mapping!$A:$A,0,0)</f>
        <v>Chaitra 79</v>
      </c>
      <c r="G446" s="16">
        <f>_xlfn.XLOOKUP('01. Main'!$B446,[1]Mapping!D$2:D$24,[1]Mapping!E$2:E$24,0,0)</f>
        <v>2023</v>
      </c>
    </row>
    <row r="447" spans="1:7" x14ac:dyDescent="0.45">
      <c r="A447" s="17">
        <f>'[1]02. Matrix'!A456</f>
        <v>446</v>
      </c>
      <c r="B447" s="18">
        <f>'[1]02. Matrix'!B456</f>
        <v>16</v>
      </c>
      <c r="C447" s="18" t="str">
        <f>'[1]02. Matrix'!C456</f>
        <v>SME LOAN</v>
      </c>
      <c r="D447" s="18">
        <f>'[1]02. Matrix'!D456</f>
        <v>2</v>
      </c>
      <c r="E447" s="19">
        <f>'[1]02. Matrix'!E456</f>
        <v>0</v>
      </c>
      <c r="F447" s="18" t="str">
        <f>_xlfn.XLOOKUP('01. Main'!$B447,[1]Mapping!$D:$D,[1]Mapping!$A:$A,0,0)</f>
        <v>Chaitra 79</v>
      </c>
      <c r="G447" s="20">
        <f>_xlfn.XLOOKUP('01. Main'!$B447,[1]Mapping!D$2:D$24,[1]Mapping!E$2:E$24,0,0)</f>
        <v>2023</v>
      </c>
    </row>
    <row r="448" spans="1:7" x14ac:dyDescent="0.45">
      <c r="A448" s="13">
        <f>'[1]02. Matrix'!A457</f>
        <v>447</v>
      </c>
      <c r="B448" s="14">
        <f>'[1]02. Matrix'!B457</f>
        <v>16</v>
      </c>
      <c r="C448" s="14" t="str">
        <f>'[1]02. Matrix'!C457</f>
        <v>EDUCATIONAL LOAN EMI</v>
      </c>
      <c r="D448" s="14">
        <f>'[1]02. Matrix'!D457</f>
        <v>2</v>
      </c>
      <c r="E448" s="15">
        <f>'[1]02. Matrix'!E457</f>
        <v>0</v>
      </c>
      <c r="F448" s="14" t="str">
        <f>_xlfn.XLOOKUP('01. Main'!$B448,[1]Mapping!$D:$D,[1]Mapping!$A:$A,0,0)</f>
        <v>Chaitra 79</v>
      </c>
      <c r="G448" s="16">
        <f>_xlfn.XLOOKUP('01. Main'!$B448,[1]Mapping!D$2:D$24,[1]Mapping!E$2:E$24,0,0)</f>
        <v>2023</v>
      </c>
    </row>
    <row r="449" spans="1:7" x14ac:dyDescent="0.45">
      <c r="A449" s="17">
        <f>'[1]02. Matrix'!A458</f>
        <v>448</v>
      </c>
      <c r="B449" s="18">
        <f>'[1]02. Matrix'!B458</f>
        <v>16</v>
      </c>
      <c r="C449" s="18" t="str">
        <f>'[1]02. Matrix'!C458</f>
        <v>OVERDRAFT PROFESSION</v>
      </c>
      <c r="D449" s="18">
        <f>'[1]02. Matrix'!D458</f>
        <v>2</v>
      </c>
      <c r="E449" s="19">
        <f>'[1]02. Matrix'!E458</f>
        <v>0</v>
      </c>
      <c r="F449" s="18" t="str">
        <f>_xlfn.XLOOKUP('01. Main'!$B449,[1]Mapping!$D:$D,[1]Mapping!$A:$A,0,0)</f>
        <v>Chaitra 79</v>
      </c>
      <c r="G449" s="20">
        <f>_xlfn.XLOOKUP('01. Main'!$B449,[1]Mapping!D$2:D$24,[1]Mapping!E$2:E$24,0,0)</f>
        <v>2023</v>
      </c>
    </row>
    <row r="450" spans="1:7" x14ac:dyDescent="0.45">
      <c r="A450" s="13">
        <f>'[1]02. Matrix'!A459</f>
        <v>449</v>
      </c>
      <c r="B450" s="14">
        <f>'[1]02. Matrix'!B459</f>
        <v>15</v>
      </c>
      <c r="C450" s="14" t="str">
        <f>'[1]02. Matrix'!C459</f>
        <v>OD PERSONAL LOAN</v>
      </c>
      <c r="D450" s="14">
        <f>'[1]02. Matrix'!D459</f>
        <v>1</v>
      </c>
      <c r="E450" s="15">
        <f>'[1]02. Matrix'!E459</f>
        <v>2.702758136971993E-2</v>
      </c>
      <c r="F450" s="14" t="str">
        <f>_xlfn.XLOOKUP('01. Main'!$B450,[1]Mapping!$D:$D,[1]Mapping!$A:$A,0,0)</f>
        <v>Poush 79</v>
      </c>
      <c r="G450" s="16">
        <f>_xlfn.XLOOKUP('01. Main'!$B450,[1]Mapping!D$2:D$24,[1]Mapping!E$2:E$24,0,0)</f>
        <v>2022</v>
      </c>
    </row>
    <row r="451" spans="1:7" x14ac:dyDescent="0.45">
      <c r="A451" s="17">
        <f>'[1]02. Matrix'!A460</f>
        <v>450</v>
      </c>
      <c r="B451" s="18">
        <f>'[1]02. Matrix'!B460</f>
        <v>15</v>
      </c>
      <c r="C451" s="18" t="str">
        <f>'[1]02. Matrix'!C460</f>
        <v>OD BUSINESS LOAN</v>
      </c>
      <c r="D451" s="18">
        <f>'[1]02. Matrix'!D460</f>
        <v>1</v>
      </c>
      <c r="E451" s="19">
        <f>'[1]02. Matrix'!E460</f>
        <v>1.3928383126171444E-2</v>
      </c>
      <c r="F451" s="18" t="str">
        <f>_xlfn.XLOOKUP('01. Main'!$B451,[1]Mapping!$D:$D,[1]Mapping!$A:$A,0,0)</f>
        <v>Poush 79</v>
      </c>
      <c r="G451" s="20">
        <f>_xlfn.XLOOKUP('01. Main'!$B451,[1]Mapping!D$2:D$24,[1]Mapping!E$2:E$24,0,0)</f>
        <v>2022</v>
      </c>
    </row>
    <row r="452" spans="1:7" x14ac:dyDescent="0.45">
      <c r="A452" s="13">
        <f>'[1]02. Matrix'!A461</f>
        <v>451</v>
      </c>
      <c r="B452" s="14">
        <f>'[1]02. Matrix'!B461</f>
        <v>15</v>
      </c>
      <c r="C452" s="14" t="str">
        <f>'[1]02. Matrix'!C461</f>
        <v>OD STAFF LOAN</v>
      </c>
      <c r="D452" s="14">
        <f>'[1]02. Matrix'!D461</f>
        <v>1</v>
      </c>
      <c r="E452" s="15">
        <f>'[1]02. Matrix'!E461</f>
        <v>0</v>
      </c>
      <c r="F452" s="14" t="str">
        <f>_xlfn.XLOOKUP('01. Main'!$B452,[1]Mapping!$D:$D,[1]Mapping!$A:$A,0,0)</f>
        <v>Poush 79</v>
      </c>
      <c r="G452" s="16">
        <f>_xlfn.XLOOKUP('01. Main'!$B452,[1]Mapping!D$2:D$24,[1]Mapping!E$2:E$24,0,0)</f>
        <v>2022</v>
      </c>
    </row>
    <row r="453" spans="1:7" x14ac:dyDescent="0.45">
      <c r="A453" s="17">
        <f>'[1]02. Matrix'!A462</f>
        <v>452</v>
      </c>
      <c r="B453" s="18">
        <f>'[1]02. Matrix'!B462</f>
        <v>15</v>
      </c>
      <c r="C453" s="18" t="str">
        <f>'[1]02. Matrix'!C462</f>
        <v>TERM LOAN</v>
      </c>
      <c r="D453" s="18">
        <f>'[1]02. Matrix'!D462</f>
        <v>1</v>
      </c>
      <c r="E453" s="19">
        <f>'[1]02. Matrix'!E462</f>
        <v>9.5214995417441495E-2</v>
      </c>
      <c r="F453" s="18" t="str">
        <f>_xlfn.XLOOKUP('01. Main'!$B453,[1]Mapping!$D:$D,[1]Mapping!$A:$A,0,0)</f>
        <v>Poush 79</v>
      </c>
      <c r="G453" s="20">
        <f>_xlfn.XLOOKUP('01. Main'!$B453,[1]Mapping!D$2:D$24,[1]Mapping!E$2:E$24,0,0)</f>
        <v>2022</v>
      </c>
    </row>
    <row r="454" spans="1:7" x14ac:dyDescent="0.45">
      <c r="A454" s="13">
        <f>'[1]02. Matrix'!A463</f>
        <v>453</v>
      </c>
      <c r="B454" s="14">
        <f>'[1]02. Matrix'!B463</f>
        <v>15</v>
      </c>
      <c r="C454" s="14" t="str">
        <f>'[1]02. Matrix'!C463</f>
        <v>WC TRADING/IND LOAN</v>
      </c>
      <c r="D454" s="14">
        <f>'[1]02. Matrix'!D463</f>
        <v>1</v>
      </c>
      <c r="E454" s="15">
        <f>'[1]02. Matrix'!E463</f>
        <v>0.23309613639966617</v>
      </c>
      <c r="F454" s="14" t="str">
        <f>_xlfn.XLOOKUP('01. Main'!$B454,[1]Mapping!$D:$D,[1]Mapping!$A:$A,0,0)</f>
        <v>Poush 79</v>
      </c>
      <c r="G454" s="16">
        <f>_xlfn.XLOOKUP('01. Main'!$B454,[1]Mapping!D$2:D$24,[1]Mapping!E$2:E$24,0,0)</f>
        <v>2022</v>
      </c>
    </row>
    <row r="455" spans="1:7" x14ac:dyDescent="0.45">
      <c r="A455" s="17">
        <f>'[1]02. Matrix'!A464</f>
        <v>454</v>
      </c>
      <c r="B455" s="18">
        <f>'[1]02. Matrix'!B464</f>
        <v>15</v>
      </c>
      <c r="C455" s="18" t="str">
        <f>'[1]02. Matrix'!C464</f>
        <v>HOUSING LOAN</v>
      </c>
      <c r="D455" s="18">
        <f>'[1]02. Matrix'!D464</f>
        <v>1</v>
      </c>
      <c r="E455" s="19">
        <f>'[1]02. Matrix'!E464</f>
        <v>4.5749025707799623E-2</v>
      </c>
      <c r="F455" s="18" t="str">
        <f>_xlfn.XLOOKUP('01. Main'!$B455,[1]Mapping!$D:$D,[1]Mapping!$A:$A,0,0)</f>
        <v>Poush 79</v>
      </c>
      <c r="G455" s="20">
        <f>_xlfn.XLOOKUP('01. Main'!$B455,[1]Mapping!D$2:D$24,[1]Mapping!E$2:E$24,0,0)</f>
        <v>2022</v>
      </c>
    </row>
    <row r="456" spans="1:7" x14ac:dyDescent="0.45">
      <c r="A456" s="13">
        <f>'[1]02. Matrix'!A465</f>
        <v>455</v>
      </c>
      <c r="B456" s="14">
        <f>'[1]02. Matrix'!B465</f>
        <v>15</v>
      </c>
      <c r="C456" s="14" t="str">
        <f>'[1]02. Matrix'!C465</f>
        <v>RESI REAL EST LOAN</v>
      </c>
      <c r="D456" s="14">
        <f>'[1]02. Matrix'!D465</f>
        <v>1</v>
      </c>
      <c r="E456" s="15">
        <f>'[1]02. Matrix'!E465</f>
        <v>9.1624733193187771E-2</v>
      </c>
      <c r="F456" s="14" t="str">
        <f>_xlfn.XLOOKUP('01. Main'!$B456,[1]Mapping!$D:$D,[1]Mapping!$A:$A,0,0)</f>
        <v>Poush 79</v>
      </c>
      <c r="G456" s="16">
        <f>_xlfn.XLOOKUP('01. Main'!$B456,[1]Mapping!D$2:D$24,[1]Mapping!E$2:E$24,0,0)</f>
        <v>2022</v>
      </c>
    </row>
    <row r="457" spans="1:7" x14ac:dyDescent="0.45">
      <c r="A457" s="17">
        <f>'[1]02. Matrix'!A466</f>
        <v>456</v>
      </c>
      <c r="B457" s="18">
        <f>'[1]02. Matrix'!B466</f>
        <v>15</v>
      </c>
      <c r="C457" s="18" t="str">
        <f>'[1]02. Matrix'!C466</f>
        <v>MARGIN NATURE LOAN</v>
      </c>
      <c r="D457" s="18">
        <f>'[1]02. Matrix'!D466</f>
        <v>1</v>
      </c>
      <c r="E457" s="19">
        <f>'[1]02. Matrix'!E466</f>
        <v>0</v>
      </c>
      <c r="F457" s="18" t="str">
        <f>_xlfn.XLOOKUP('01. Main'!$B457,[1]Mapping!$D:$D,[1]Mapping!$A:$A,0,0)</f>
        <v>Poush 79</v>
      </c>
      <c r="G457" s="20">
        <f>_xlfn.XLOOKUP('01. Main'!$B457,[1]Mapping!D$2:D$24,[1]Mapping!E$2:E$24,0,0)</f>
        <v>2022</v>
      </c>
    </row>
    <row r="458" spans="1:7" x14ac:dyDescent="0.45">
      <c r="A458" s="13">
        <f>'[1]02. Matrix'!A467</f>
        <v>457</v>
      </c>
      <c r="B458" s="14">
        <f>'[1]02. Matrix'!B467</f>
        <v>15</v>
      </c>
      <c r="C458" s="14" t="str">
        <f>'[1]02. Matrix'!C467</f>
        <v>HIRE PURCHASE LOAN</v>
      </c>
      <c r="D458" s="14">
        <f>'[1]02. Matrix'!D467</f>
        <v>1</v>
      </c>
      <c r="E458" s="15">
        <f>'[1]02. Matrix'!E467</f>
        <v>0.31367852257879114</v>
      </c>
      <c r="F458" s="14" t="str">
        <f>_xlfn.XLOOKUP('01. Main'!$B458,[1]Mapping!$D:$D,[1]Mapping!$A:$A,0,0)</f>
        <v>Poush 79</v>
      </c>
      <c r="G458" s="16">
        <f>_xlfn.XLOOKUP('01. Main'!$B458,[1]Mapping!D$2:D$24,[1]Mapping!E$2:E$24,0,0)</f>
        <v>2022</v>
      </c>
    </row>
    <row r="459" spans="1:7" x14ac:dyDescent="0.45">
      <c r="A459" s="17">
        <f>'[1]02. Matrix'!A468</f>
        <v>458</v>
      </c>
      <c r="B459" s="18">
        <f>'[1]02. Matrix'!B468</f>
        <v>15</v>
      </c>
      <c r="C459" s="18" t="str">
        <f>'[1]02. Matrix'!C468</f>
        <v>DEPRIVED SECTOR LOAN</v>
      </c>
      <c r="D459" s="18">
        <f>'[1]02. Matrix'!D468</f>
        <v>1</v>
      </c>
      <c r="E459" s="19">
        <f>'[1]02. Matrix'!E468</f>
        <v>8.1696848841921656E-3</v>
      </c>
      <c r="F459" s="18" t="str">
        <f>_xlfn.XLOOKUP('01. Main'!$B459,[1]Mapping!$D:$D,[1]Mapping!$A:$A,0,0)</f>
        <v>Poush 79</v>
      </c>
      <c r="G459" s="20">
        <f>_xlfn.XLOOKUP('01. Main'!$B459,[1]Mapping!D$2:D$24,[1]Mapping!E$2:E$24,0,0)</f>
        <v>2022</v>
      </c>
    </row>
    <row r="460" spans="1:7" x14ac:dyDescent="0.45">
      <c r="A460" s="13">
        <f>'[1]02. Matrix'!A469</f>
        <v>459</v>
      </c>
      <c r="B460" s="14">
        <f>'[1]02. Matrix'!B469</f>
        <v>15</v>
      </c>
      <c r="C460" s="14" t="str">
        <f>'[1]02. Matrix'!C469</f>
        <v>EDUCATIONAL LOAN</v>
      </c>
      <c r="D460" s="14">
        <f>'[1]02. Matrix'!D469</f>
        <v>1</v>
      </c>
      <c r="E460" s="15">
        <f>'[1]02. Matrix'!E469</f>
        <v>5.7758276414934884E-3</v>
      </c>
      <c r="F460" s="14" t="str">
        <f>_xlfn.XLOOKUP('01. Main'!$B460,[1]Mapping!$D:$D,[1]Mapping!$A:$A,0,0)</f>
        <v>Poush 79</v>
      </c>
      <c r="G460" s="16">
        <f>_xlfn.XLOOKUP('01. Main'!$B460,[1]Mapping!D$2:D$24,[1]Mapping!E$2:E$24,0,0)</f>
        <v>2022</v>
      </c>
    </row>
    <row r="461" spans="1:7" x14ac:dyDescent="0.45">
      <c r="A461" s="17">
        <f>'[1]02. Matrix'!A470</f>
        <v>460</v>
      </c>
      <c r="B461" s="18">
        <f>'[1]02. Matrix'!B470</f>
        <v>15</v>
      </c>
      <c r="C461" s="18" t="str">
        <f>'[1]02. Matrix'!C470</f>
        <v>AGRICULTURE LOAN</v>
      </c>
      <c r="D461" s="18">
        <f>'[1]02. Matrix'!D470</f>
        <v>1</v>
      </c>
      <c r="E461" s="19">
        <f>'[1]02. Matrix'!E470</f>
        <v>0.18013319685871892</v>
      </c>
      <c r="F461" s="18" t="str">
        <f>_xlfn.XLOOKUP('01. Main'!$B461,[1]Mapping!$D:$D,[1]Mapping!$A:$A,0,0)</f>
        <v>Poush 79</v>
      </c>
      <c r="G461" s="20">
        <f>_xlfn.XLOOKUP('01. Main'!$B461,[1]Mapping!D$2:D$24,[1]Mapping!E$2:E$24,0,0)</f>
        <v>2022</v>
      </c>
    </row>
    <row r="462" spans="1:7" x14ac:dyDescent="0.45">
      <c r="A462" s="13">
        <f>'[1]02. Matrix'!A471</f>
        <v>461</v>
      </c>
      <c r="B462" s="14">
        <f>'[1]02. Matrix'!B471</f>
        <v>15</v>
      </c>
      <c r="C462" s="14" t="str">
        <f>'[1]02. Matrix'!C471</f>
        <v>RESI PER.HOME-EMI</v>
      </c>
      <c r="D462" s="14">
        <f>'[1]02. Matrix'!D471</f>
        <v>1</v>
      </c>
      <c r="E462" s="15">
        <f>'[1]02. Matrix'!E471</f>
        <v>6.8679630437924577E-2</v>
      </c>
      <c r="F462" s="14" t="str">
        <f>_xlfn.XLOOKUP('01. Main'!$B462,[1]Mapping!$D:$D,[1]Mapping!$A:$A,0,0)</f>
        <v>Poush 79</v>
      </c>
      <c r="G462" s="16">
        <f>_xlfn.XLOOKUP('01. Main'!$B462,[1]Mapping!D$2:D$24,[1]Mapping!E$2:E$24,0,0)</f>
        <v>2022</v>
      </c>
    </row>
    <row r="463" spans="1:7" x14ac:dyDescent="0.45">
      <c r="A463" s="17">
        <f>'[1]02. Matrix'!A472</f>
        <v>462</v>
      </c>
      <c r="B463" s="18">
        <f>'[1]02. Matrix'!B472</f>
        <v>15</v>
      </c>
      <c r="C463" s="18" t="str">
        <f>'[1]02. Matrix'!C472</f>
        <v>TERM LOAN - BUSINESS</v>
      </c>
      <c r="D463" s="18">
        <f>'[1]02. Matrix'!D472</f>
        <v>1</v>
      </c>
      <c r="E463" s="19">
        <f>'[1]02. Matrix'!E472</f>
        <v>0</v>
      </c>
      <c r="F463" s="18" t="str">
        <f>_xlfn.XLOOKUP('01. Main'!$B463,[1]Mapping!$D:$D,[1]Mapping!$A:$A,0,0)</f>
        <v>Poush 79</v>
      </c>
      <c r="G463" s="20">
        <f>_xlfn.XLOOKUP('01. Main'!$B463,[1]Mapping!D$2:D$24,[1]Mapping!E$2:E$24,0,0)</f>
        <v>2022</v>
      </c>
    </row>
    <row r="464" spans="1:7" x14ac:dyDescent="0.45">
      <c r="A464" s="13">
        <f>'[1]02. Matrix'!A473</f>
        <v>463</v>
      </c>
      <c r="B464" s="14">
        <f>'[1]02. Matrix'!B473</f>
        <v>15</v>
      </c>
      <c r="C464" s="14" t="str">
        <f>'[1]02. Matrix'!C473</f>
        <v>CONS FIN BUSN TRM LO</v>
      </c>
      <c r="D464" s="14">
        <f>'[1]02. Matrix'!D473</f>
        <v>1</v>
      </c>
      <c r="E464" s="15">
        <f>'[1]02. Matrix'!E473</f>
        <v>0</v>
      </c>
      <c r="F464" s="14" t="str">
        <f>_xlfn.XLOOKUP('01. Main'!$B464,[1]Mapping!$D:$D,[1]Mapping!$A:$A,0,0)</f>
        <v>Poush 79</v>
      </c>
      <c r="G464" s="16">
        <f>_xlfn.XLOOKUP('01. Main'!$B464,[1]Mapping!D$2:D$24,[1]Mapping!E$2:E$24,0,0)</f>
        <v>2022</v>
      </c>
    </row>
    <row r="465" spans="1:7" x14ac:dyDescent="0.45">
      <c r="A465" s="17">
        <f>'[1]02. Matrix'!A474</f>
        <v>464</v>
      </c>
      <c r="B465" s="18">
        <f>'[1]02. Matrix'!B474</f>
        <v>15</v>
      </c>
      <c r="C465" s="18" t="str">
        <f>'[1]02. Matrix'!C474</f>
        <v>BIS/PERHIRE PURCHASE</v>
      </c>
      <c r="D465" s="18">
        <f>'[1]02. Matrix'!D474</f>
        <v>1</v>
      </c>
      <c r="E465" s="19">
        <f>'[1]02. Matrix'!E474</f>
        <v>0.3785983034793427</v>
      </c>
      <c r="F465" s="18" t="str">
        <f>_xlfn.XLOOKUP('01. Main'!$B465,[1]Mapping!$D:$D,[1]Mapping!$A:$A,0,0)</f>
        <v>Poush 79</v>
      </c>
      <c r="G465" s="20">
        <f>_xlfn.XLOOKUP('01. Main'!$B465,[1]Mapping!D$2:D$24,[1]Mapping!E$2:E$24,0,0)</f>
        <v>2022</v>
      </c>
    </row>
    <row r="466" spans="1:7" x14ac:dyDescent="0.45">
      <c r="A466" s="13">
        <f>'[1]02. Matrix'!A475</f>
        <v>465</v>
      </c>
      <c r="B466" s="14">
        <f>'[1]02. Matrix'!B475</f>
        <v>15</v>
      </c>
      <c r="C466" s="14" t="str">
        <f>'[1]02. Matrix'!C475</f>
        <v xml:space="preserve">INT CAP TERM LOAN </v>
      </c>
      <c r="D466" s="14">
        <f>'[1]02. Matrix'!D475</f>
        <v>1</v>
      </c>
      <c r="E466" s="15">
        <f>'[1]02. Matrix'!E475</f>
        <v>0</v>
      </c>
      <c r="F466" s="14" t="str">
        <f>_xlfn.XLOOKUP('01. Main'!$B466,[1]Mapping!$D:$D,[1]Mapping!$A:$A,0,0)</f>
        <v>Poush 79</v>
      </c>
      <c r="G466" s="16">
        <f>_xlfn.XLOOKUP('01. Main'!$B466,[1]Mapping!D$2:D$24,[1]Mapping!E$2:E$24,0,0)</f>
        <v>2022</v>
      </c>
    </row>
    <row r="467" spans="1:7" x14ac:dyDescent="0.45">
      <c r="A467" s="17">
        <f>'[1]02. Matrix'!A476</f>
        <v>466</v>
      </c>
      <c r="B467" s="18">
        <f>'[1]02. Matrix'!B476</f>
        <v>15</v>
      </c>
      <c r="C467" s="18" t="str">
        <f>'[1]02. Matrix'!C476</f>
        <v>PERSONAL LOAN</v>
      </c>
      <c r="D467" s="18">
        <f>'[1]02. Matrix'!D476</f>
        <v>1</v>
      </c>
      <c r="E467" s="19">
        <f>'[1]02. Matrix'!E476</f>
        <v>8.1652539491002069E-2</v>
      </c>
      <c r="F467" s="18" t="str">
        <f>_xlfn.XLOOKUP('01. Main'!$B467,[1]Mapping!$D:$D,[1]Mapping!$A:$A,0,0)</f>
        <v>Poush 79</v>
      </c>
      <c r="G467" s="20">
        <f>_xlfn.XLOOKUP('01. Main'!$B467,[1]Mapping!D$2:D$24,[1]Mapping!E$2:E$24,0,0)</f>
        <v>2022</v>
      </c>
    </row>
    <row r="468" spans="1:7" x14ac:dyDescent="0.45">
      <c r="A468" s="13">
        <f>'[1]02. Matrix'!A477</f>
        <v>467</v>
      </c>
      <c r="B468" s="14">
        <f>'[1]02. Matrix'!B477</f>
        <v>15</v>
      </c>
      <c r="C468" s="14" t="str">
        <f>'[1]02. Matrix'!C477</f>
        <v>MORTGAGE LOAN</v>
      </c>
      <c r="D468" s="14">
        <f>'[1]02. Matrix'!D477</f>
        <v>1</v>
      </c>
      <c r="E468" s="15">
        <f>'[1]02. Matrix'!E477</f>
        <v>2.7880249750878598E-2</v>
      </c>
      <c r="F468" s="14" t="str">
        <f>_xlfn.XLOOKUP('01. Main'!$B468,[1]Mapping!$D:$D,[1]Mapping!$A:$A,0,0)</f>
        <v>Poush 79</v>
      </c>
      <c r="G468" s="16">
        <f>_xlfn.XLOOKUP('01. Main'!$B468,[1]Mapping!D$2:D$24,[1]Mapping!E$2:E$24,0,0)</f>
        <v>2022</v>
      </c>
    </row>
    <row r="469" spans="1:7" x14ac:dyDescent="0.45">
      <c r="A469" s="17">
        <f>'[1]02. Matrix'!A478</f>
        <v>468</v>
      </c>
      <c r="B469" s="18">
        <f>'[1]02. Matrix'!B478</f>
        <v>15</v>
      </c>
      <c r="C469" s="18" t="str">
        <f>'[1]02. Matrix'!C478</f>
        <v>LOAN AGAINST FDR</v>
      </c>
      <c r="D469" s="18">
        <f>'[1]02. Matrix'!D478</f>
        <v>1</v>
      </c>
      <c r="E469" s="19">
        <f>'[1]02. Matrix'!E478</f>
        <v>0</v>
      </c>
      <c r="F469" s="18" t="str">
        <f>_xlfn.XLOOKUP('01. Main'!$B469,[1]Mapping!$D:$D,[1]Mapping!$A:$A,0,0)</f>
        <v>Poush 79</v>
      </c>
      <c r="G469" s="20">
        <f>_xlfn.XLOOKUP('01. Main'!$B469,[1]Mapping!D$2:D$24,[1]Mapping!E$2:E$24,0,0)</f>
        <v>2022</v>
      </c>
    </row>
    <row r="470" spans="1:7" x14ac:dyDescent="0.45">
      <c r="A470" s="13">
        <f>'[1]02. Matrix'!A479</f>
        <v>469</v>
      </c>
      <c r="B470" s="14">
        <f>'[1]02. Matrix'!B479</f>
        <v>15</v>
      </c>
      <c r="C470" s="14" t="str">
        <f>'[1]02. Matrix'!C479</f>
        <v>RECEIVABLE LOAN</v>
      </c>
      <c r="D470" s="14">
        <f>'[1]02. Matrix'!D479</f>
        <v>1</v>
      </c>
      <c r="E470" s="15">
        <f>'[1]02. Matrix'!E479</f>
        <v>0</v>
      </c>
      <c r="F470" s="14" t="str">
        <f>_xlfn.XLOOKUP('01. Main'!$B470,[1]Mapping!$D:$D,[1]Mapping!$A:$A,0,0)</f>
        <v>Poush 79</v>
      </c>
      <c r="G470" s="16">
        <f>_xlfn.XLOOKUP('01. Main'!$B470,[1]Mapping!D$2:D$24,[1]Mapping!E$2:E$24,0,0)</f>
        <v>2022</v>
      </c>
    </row>
    <row r="471" spans="1:7" x14ac:dyDescent="0.45">
      <c r="A471" s="17">
        <f>'[1]02. Matrix'!A480</f>
        <v>470</v>
      </c>
      <c r="B471" s="18">
        <f>'[1]02. Matrix'!B480</f>
        <v>15</v>
      </c>
      <c r="C471" s="18" t="str">
        <f>'[1]02. Matrix'!C480</f>
        <v>STAFF LOAN</v>
      </c>
      <c r="D471" s="18">
        <f>'[1]02. Matrix'!D480</f>
        <v>1</v>
      </c>
      <c r="E471" s="19">
        <f>'[1]02. Matrix'!E480</f>
        <v>0</v>
      </c>
      <c r="F471" s="18" t="str">
        <f>_xlfn.XLOOKUP('01. Main'!$B471,[1]Mapping!$D:$D,[1]Mapping!$A:$A,0,0)</f>
        <v>Poush 79</v>
      </c>
      <c r="G471" s="20">
        <f>_xlfn.XLOOKUP('01. Main'!$B471,[1]Mapping!D$2:D$24,[1]Mapping!E$2:E$24,0,0)</f>
        <v>2022</v>
      </c>
    </row>
    <row r="472" spans="1:7" x14ac:dyDescent="0.45">
      <c r="A472" s="13">
        <f>'[1]02. Matrix'!A481</f>
        <v>471</v>
      </c>
      <c r="B472" s="14">
        <f>'[1]02. Matrix'!B481</f>
        <v>15</v>
      </c>
      <c r="C472" s="14" t="str">
        <f>'[1]02. Matrix'!C481</f>
        <v>AGRICULTURAL LOAN</v>
      </c>
      <c r="D472" s="14">
        <f>'[1]02. Matrix'!D481</f>
        <v>1</v>
      </c>
      <c r="E472" s="15">
        <f>'[1]02. Matrix'!E481</f>
        <v>0</v>
      </c>
      <c r="F472" s="14" t="str">
        <f>_xlfn.XLOOKUP('01. Main'!$B472,[1]Mapping!$D:$D,[1]Mapping!$A:$A,0,0)</f>
        <v>Poush 79</v>
      </c>
      <c r="G472" s="16">
        <f>_xlfn.XLOOKUP('01. Main'!$B472,[1]Mapping!D$2:D$24,[1]Mapping!E$2:E$24,0,0)</f>
        <v>2022</v>
      </c>
    </row>
    <row r="473" spans="1:7" x14ac:dyDescent="0.45">
      <c r="A473" s="17">
        <f>'[1]02. Matrix'!A482</f>
        <v>472</v>
      </c>
      <c r="B473" s="18">
        <f>'[1]02. Matrix'!B482</f>
        <v>15</v>
      </c>
      <c r="C473" s="18" t="str">
        <f>'[1]02. Matrix'!C482</f>
        <v>EARTHQUAKE RELIEF LO</v>
      </c>
      <c r="D473" s="18">
        <f>'[1]02. Matrix'!D482</f>
        <v>1</v>
      </c>
      <c r="E473" s="19">
        <f>'[1]02. Matrix'!E482</f>
        <v>0</v>
      </c>
      <c r="F473" s="18" t="str">
        <f>_xlfn.XLOOKUP('01. Main'!$B473,[1]Mapping!$D:$D,[1]Mapping!$A:$A,0,0)</f>
        <v>Poush 79</v>
      </c>
      <c r="G473" s="20">
        <f>_xlfn.XLOOKUP('01. Main'!$B473,[1]Mapping!D$2:D$24,[1]Mapping!E$2:E$24,0,0)</f>
        <v>2022</v>
      </c>
    </row>
    <row r="474" spans="1:7" x14ac:dyDescent="0.45">
      <c r="A474" s="13">
        <f>'[1]02. Matrix'!A483</f>
        <v>473</v>
      </c>
      <c r="B474" s="14">
        <f>'[1]02. Matrix'!B483</f>
        <v>15</v>
      </c>
      <c r="C474" s="14" t="str">
        <f>'[1]02. Matrix'!C483</f>
        <v>TOURISM SECTOR LOAN</v>
      </c>
      <c r="D474" s="14">
        <f>'[1]02. Matrix'!D483</f>
        <v>1</v>
      </c>
      <c r="E474" s="15">
        <f>'[1]02. Matrix'!E483</f>
        <v>0</v>
      </c>
      <c r="F474" s="14" t="str">
        <f>_xlfn.XLOOKUP('01. Main'!$B474,[1]Mapping!$D:$D,[1]Mapping!$A:$A,0,0)</f>
        <v>Poush 79</v>
      </c>
      <c r="G474" s="16">
        <f>_xlfn.XLOOKUP('01. Main'!$B474,[1]Mapping!D$2:D$24,[1]Mapping!E$2:E$24,0,0)</f>
        <v>2022</v>
      </c>
    </row>
    <row r="475" spans="1:7" x14ac:dyDescent="0.45">
      <c r="A475" s="17">
        <f>'[1]02. Matrix'!A484</f>
        <v>474</v>
      </c>
      <c r="B475" s="18">
        <f>'[1]02. Matrix'!B484</f>
        <v>15</v>
      </c>
      <c r="C475" s="18" t="str">
        <f>'[1]02. Matrix'!C484</f>
        <v>SME LOAN</v>
      </c>
      <c r="D475" s="18">
        <f>'[1]02. Matrix'!D484</f>
        <v>1</v>
      </c>
      <c r="E475" s="19">
        <f>'[1]02. Matrix'!E484</f>
        <v>0</v>
      </c>
      <c r="F475" s="18" t="str">
        <f>_xlfn.XLOOKUP('01. Main'!$B475,[1]Mapping!$D:$D,[1]Mapping!$A:$A,0,0)</f>
        <v>Poush 79</v>
      </c>
      <c r="G475" s="20">
        <f>_xlfn.XLOOKUP('01. Main'!$B475,[1]Mapping!D$2:D$24,[1]Mapping!E$2:E$24,0,0)</f>
        <v>2022</v>
      </c>
    </row>
    <row r="476" spans="1:7" x14ac:dyDescent="0.45">
      <c r="A476" s="13">
        <f>'[1]02. Matrix'!A485</f>
        <v>475</v>
      </c>
      <c r="B476" s="14">
        <f>'[1]02. Matrix'!B485</f>
        <v>15</v>
      </c>
      <c r="C476" s="14" t="str">
        <f>'[1]02. Matrix'!C485</f>
        <v>EDUCATIONAL LOAN EMI</v>
      </c>
      <c r="D476" s="14">
        <f>'[1]02. Matrix'!D485</f>
        <v>1</v>
      </c>
      <c r="E476" s="15">
        <f>'[1]02. Matrix'!E485</f>
        <v>0</v>
      </c>
      <c r="F476" s="14" t="str">
        <f>_xlfn.XLOOKUP('01. Main'!$B476,[1]Mapping!$D:$D,[1]Mapping!$A:$A,0,0)</f>
        <v>Poush 79</v>
      </c>
      <c r="G476" s="16">
        <f>_xlfn.XLOOKUP('01. Main'!$B476,[1]Mapping!D$2:D$24,[1]Mapping!E$2:E$24,0,0)</f>
        <v>2022</v>
      </c>
    </row>
    <row r="477" spans="1:7" x14ac:dyDescent="0.45">
      <c r="A477" s="17">
        <f>'[1]02. Matrix'!A486</f>
        <v>476</v>
      </c>
      <c r="B477" s="18">
        <f>'[1]02. Matrix'!B486</f>
        <v>15</v>
      </c>
      <c r="C477" s="18" t="str">
        <f>'[1]02. Matrix'!C486</f>
        <v>OVERDRAFT PROFESSION</v>
      </c>
      <c r="D477" s="18">
        <f>'[1]02. Matrix'!D486</f>
        <v>1</v>
      </c>
      <c r="E477" s="19">
        <f>'[1]02. Matrix'!E486</f>
        <v>0</v>
      </c>
      <c r="F477" s="18" t="str">
        <f>_xlfn.XLOOKUP('01. Main'!$B477,[1]Mapping!$D:$D,[1]Mapping!$A:$A,0,0)</f>
        <v>Poush 79</v>
      </c>
      <c r="G477" s="20">
        <f>_xlfn.XLOOKUP('01. Main'!$B477,[1]Mapping!D$2:D$24,[1]Mapping!E$2:E$24,0,0)</f>
        <v>2022</v>
      </c>
    </row>
    <row r="478" spans="1:7" x14ac:dyDescent="0.45">
      <c r="A478" s="13">
        <f>'[1]02. Matrix'!A487</f>
        <v>477</v>
      </c>
      <c r="B478" s="14">
        <f>'[1]02. Matrix'!B487</f>
        <v>15</v>
      </c>
      <c r="C478" s="14" t="str">
        <f>'[1]02. Matrix'!C487</f>
        <v>OD PERSONAL LOAN</v>
      </c>
      <c r="D478" s="14">
        <f>'[1]02. Matrix'!D487</f>
        <v>2</v>
      </c>
      <c r="E478" s="15">
        <f>'[1]02. Matrix'!E487</f>
        <v>2.5476331535166527E-2</v>
      </c>
      <c r="F478" s="14" t="str">
        <f>_xlfn.XLOOKUP('01. Main'!$B478,[1]Mapping!$D:$D,[1]Mapping!$A:$A,0,0)</f>
        <v>Poush 79</v>
      </c>
      <c r="G478" s="16">
        <f>_xlfn.XLOOKUP('01. Main'!$B478,[1]Mapping!D$2:D$24,[1]Mapping!E$2:E$24,0,0)</f>
        <v>2022</v>
      </c>
    </row>
    <row r="479" spans="1:7" x14ac:dyDescent="0.45">
      <c r="A479" s="17">
        <f>'[1]02. Matrix'!A488</f>
        <v>478</v>
      </c>
      <c r="B479" s="18">
        <f>'[1]02. Matrix'!B488</f>
        <v>15</v>
      </c>
      <c r="C479" s="18" t="str">
        <f>'[1]02. Matrix'!C488</f>
        <v>OD BUSINESS LOAN</v>
      </c>
      <c r="D479" s="18">
        <f>'[1]02. Matrix'!D488</f>
        <v>2</v>
      </c>
      <c r="E479" s="19">
        <f>'[1]02. Matrix'!E488</f>
        <v>1.4832916515960519E-2</v>
      </c>
      <c r="F479" s="18" t="str">
        <f>_xlfn.XLOOKUP('01. Main'!$B479,[1]Mapping!$D:$D,[1]Mapping!$A:$A,0,0)</f>
        <v>Poush 79</v>
      </c>
      <c r="G479" s="20">
        <f>_xlfn.XLOOKUP('01. Main'!$B479,[1]Mapping!D$2:D$24,[1]Mapping!E$2:E$24,0,0)</f>
        <v>2022</v>
      </c>
    </row>
    <row r="480" spans="1:7" x14ac:dyDescent="0.45">
      <c r="A480" s="13">
        <f>'[1]02. Matrix'!A489</f>
        <v>479</v>
      </c>
      <c r="B480" s="14">
        <f>'[1]02. Matrix'!B489</f>
        <v>15</v>
      </c>
      <c r="C480" s="14" t="str">
        <f>'[1]02. Matrix'!C489</f>
        <v>OD STAFF LOAN</v>
      </c>
      <c r="D480" s="14">
        <f>'[1]02. Matrix'!D489</f>
        <v>2</v>
      </c>
      <c r="E480" s="15">
        <f>'[1]02. Matrix'!E489</f>
        <v>0</v>
      </c>
      <c r="F480" s="14" t="str">
        <f>_xlfn.XLOOKUP('01. Main'!$B480,[1]Mapping!$D:$D,[1]Mapping!$A:$A,0,0)</f>
        <v>Poush 79</v>
      </c>
      <c r="G480" s="16">
        <f>_xlfn.XLOOKUP('01. Main'!$B480,[1]Mapping!D$2:D$24,[1]Mapping!E$2:E$24,0,0)</f>
        <v>2022</v>
      </c>
    </row>
    <row r="481" spans="1:7" x14ac:dyDescent="0.45">
      <c r="A481" s="17">
        <f>'[1]02. Matrix'!A490</f>
        <v>480</v>
      </c>
      <c r="B481" s="18">
        <f>'[1]02. Matrix'!B490</f>
        <v>15</v>
      </c>
      <c r="C481" s="18" t="str">
        <f>'[1]02. Matrix'!C490</f>
        <v>TERM LOAN</v>
      </c>
      <c r="D481" s="18">
        <f>'[1]02. Matrix'!D490</f>
        <v>2</v>
      </c>
      <c r="E481" s="19">
        <f>'[1]02. Matrix'!E490</f>
        <v>0.21149840134605746</v>
      </c>
      <c r="F481" s="18" t="str">
        <f>_xlfn.XLOOKUP('01. Main'!$B481,[1]Mapping!$D:$D,[1]Mapping!$A:$A,0,0)</f>
        <v>Poush 79</v>
      </c>
      <c r="G481" s="20">
        <f>_xlfn.XLOOKUP('01. Main'!$B481,[1]Mapping!D$2:D$24,[1]Mapping!E$2:E$24,0,0)</f>
        <v>2022</v>
      </c>
    </row>
    <row r="482" spans="1:7" x14ac:dyDescent="0.45">
      <c r="A482" s="13">
        <f>'[1]02. Matrix'!A491</f>
        <v>481</v>
      </c>
      <c r="B482" s="14">
        <f>'[1]02. Matrix'!B491</f>
        <v>15</v>
      </c>
      <c r="C482" s="14" t="str">
        <f>'[1]02. Matrix'!C491</f>
        <v>WC TRADING/IND LOAN</v>
      </c>
      <c r="D482" s="14">
        <f>'[1]02. Matrix'!D491</f>
        <v>2</v>
      </c>
      <c r="E482" s="15">
        <f>'[1]02. Matrix'!E491</f>
        <v>0.24925814758271797</v>
      </c>
      <c r="F482" s="14" t="str">
        <f>_xlfn.XLOOKUP('01. Main'!$B482,[1]Mapping!$D:$D,[1]Mapping!$A:$A,0,0)</f>
        <v>Poush 79</v>
      </c>
      <c r="G482" s="16">
        <f>_xlfn.XLOOKUP('01. Main'!$B482,[1]Mapping!D$2:D$24,[1]Mapping!E$2:E$24,0,0)</f>
        <v>2022</v>
      </c>
    </row>
    <row r="483" spans="1:7" x14ac:dyDescent="0.45">
      <c r="A483" s="17">
        <f>'[1]02. Matrix'!A492</f>
        <v>482</v>
      </c>
      <c r="B483" s="18">
        <f>'[1]02. Matrix'!B492</f>
        <v>15</v>
      </c>
      <c r="C483" s="18" t="str">
        <f>'[1]02. Matrix'!C492</f>
        <v>HOUSING LOAN</v>
      </c>
      <c r="D483" s="18">
        <f>'[1]02. Matrix'!D492</f>
        <v>2</v>
      </c>
      <c r="E483" s="19">
        <f>'[1]02. Matrix'!E492</f>
        <v>0.16189072365200377</v>
      </c>
      <c r="F483" s="18" t="str">
        <f>_xlfn.XLOOKUP('01. Main'!$B483,[1]Mapping!$D:$D,[1]Mapping!$A:$A,0,0)</f>
        <v>Poush 79</v>
      </c>
      <c r="G483" s="20">
        <f>_xlfn.XLOOKUP('01. Main'!$B483,[1]Mapping!D$2:D$24,[1]Mapping!E$2:E$24,0,0)</f>
        <v>2022</v>
      </c>
    </row>
    <row r="484" spans="1:7" x14ac:dyDescent="0.45">
      <c r="A484" s="13">
        <f>'[1]02. Matrix'!A493</f>
        <v>483</v>
      </c>
      <c r="B484" s="14">
        <f>'[1]02. Matrix'!B493</f>
        <v>15</v>
      </c>
      <c r="C484" s="14" t="str">
        <f>'[1]02. Matrix'!C493</f>
        <v>RESI REAL EST LOAN</v>
      </c>
      <c r="D484" s="14">
        <f>'[1]02. Matrix'!D493</f>
        <v>2</v>
      </c>
      <c r="E484" s="15">
        <f>'[1]02. Matrix'!E493</f>
        <v>0.52921260441781759</v>
      </c>
      <c r="F484" s="14" t="str">
        <f>_xlfn.XLOOKUP('01. Main'!$B484,[1]Mapping!$D:$D,[1]Mapping!$A:$A,0,0)</f>
        <v>Poush 79</v>
      </c>
      <c r="G484" s="16">
        <f>_xlfn.XLOOKUP('01. Main'!$B484,[1]Mapping!D$2:D$24,[1]Mapping!E$2:E$24,0,0)</f>
        <v>2022</v>
      </c>
    </row>
    <row r="485" spans="1:7" x14ac:dyDescent="0.45">
      <c r="A485" s="17">
        <f>'[1]02. Matrix'!A494</f>
        <v>484</v>
      </c>
      <c r="B485" s="18">
        <f>'[1]02. Matrix'!B494</f>
        <v>15</v>
      </c>
      <c r="C485" s="18" t="str">
        <f>'[1]02. Matrix'!C494</f>
        <v>MARGIN NATURE LOAN</v>
      </c>
      <c r="D485" s="18">
        <f>'[1]02. Matrix'!D494</f>
        <v>2</v>
      </c>
      <c r="E485" s="19">
        <f>'[1]02. Matrix'!E494</f>
        <v>0</v>
      </c>
      <c r="F485" s="18" t="str">
        <f>_xlfn.XLOOKUP('01. Main'!$B485,[1]Mapping!$D:$D,[1]Mapping!$A:$A,0,0)</f>
        <v>Poush 79</v>
      </c>
      <c r="G485" s="20">
        <f>_xlfn.XLOOKUP('01. Main'!$B485,[1]Mapping!D$2:D$24,[1]Mapping!E$2:E$24,0,0)</f>
        <v>2022</v>
      </c>
    </row>
    <row r="486" spans="1:7" x14ac:dyDescent="0.45">
      <c r="A486" s="13">
        <f>'[1]02. Matrix'!A495</f>
        <v>485</v>
      </c>
      <c r="B486" s="14">
        <f>'[1]02. Matrix'!B495</f>
        <v>15</v>
      </c>
      <c r="C486" s="14" t="str">
        <f>'[1]02. Matrix'!C495</f>
        <v>HIRE PURCHASE LOAN</v>
      </c>
      <c r="D486" s="14">
        <f>'[1]02. Matrix'!D495</f>
        <v>2</v>
      </c>
      <c r="E486" s="15">
        <f>'[1]02. Matrix'!E495</f>
        <v>0.64086120843811101</v>
      </c>
      <c r="F486" s="14" t="str">
        <f>_xlfn.XLOOKUP('01. Main'!$B486,[1]Mapping!$D:$D,[1]Mapping!$A:$A,0,0)</f>
        <v>Poush 79</v>
      </c>
      <c r="G486" s="16">
        <f>_xlfn.XLOOKUP('01. Main'!$B486,[1]Mapping!D$2:D$24,[1]Mapping!E$2:E$24,0,0)</f>
        <v>2022</v>
      </c>
    </row>
    <row r="487" spans="1:7" x14ac:dyDescent="0.45">
      <c r="A487" s="17">
        <f>'[1]02. Matrix'!A496</f>
        <v>486</v>
      </c>
      <c r="B487" s="18">
        <f>'[1]02. Matrix'!B496</f>
        <v>15</v>
      </c>
      <c r="C487" s="18" t="str">
        <f>'[1]02. Matrix'!C496</f>
        <v>DEPRIVED SECTOR LOAN</v>
      </c>
      <c r="D487" s="18">
        <f>'[1]02. Matrix'!D496</f>
        <v>2</v>
      </c>
      <c r="E487" s="19">
        <f>'[1]02. Matrix'!E496</f>
        <v>0.12461378596897005</v>
      </c>
      <c r="F487" s="18" t="str">
        <f>_xlfn.XLOOKUP('01. Main'!$B487,[1]Mapping!$D:$D,[1]Mapping!$A:$A,0,0)</f>
        <v>Poush 79</v>
      </c>
      <c r="G487" s="20">
        <f>_xlfn.XLOOKUP('01. Main'!$B487,[1]Mapping!D$2:D$24,[1]Mapping!E$2:E$24,0,0)</f>
        <v>2022</v>
      </c>
    </row>
    <row r="488" spans="1:7" x14ac:dyDescent="0.45">
      <c r="A488" s="13">
        <f>'[1]02. Matrix'!A497</f>
        <v>487</v>
      </c>
      <c r="B488" s="14">
        <f>'[1]02. Matrix'!B497</f>
        <v>15</v>
      </c>
      <c r="C488" s="14" t="str">
        <f>'[1]02. Matrix'!C497</f>
        <v>EDUCATIONAL LOAN</v>
      </c>
      <c r="D488" s="14">
        <f>'[1]02. Matrix'!D497</f>
        <v>2</v>
      </c>
      <c r="E488" s="15">
        <f>'[1]02. Matrix'!E497</f>
        <v>4.5499682926874304E-3</v>
      </c>
      <c r="F488" s="14" t="str">
        <f>_xlfn.XLOOKUP('01. Main'!$B488,[1]Mapping!$D:$D,[1]Mapping!$A:$A,0,0)</f>
        <v>Poush 79</v>
      </c>
      <c r="G488" s="16">
        <f>_xlfn.XLOOKUP('01. Main'!$B488,[1]Mapping!D$2:D$24,[1]Mapping!E$2:E$24,0,0)</f>
        <v>2022</v>
      </c>
    </row>
    <row r="489" spans="1:7" x14ac:dyDescent="0.45">
      <c r="A489" s="17">
        <f>'[1]02. Matrix'!A498</f>
        <v>488</v>
      </c>
      <c r="B489" s="18">
        <f>'[1]02. Matrix'!B498</f>
        <v>15</v>
      </c>
      <c r="C489" s="18" t="str">
        <f>'[1]02. Matrix'!C498</f>
        <v>AGRICULTURE LOAN</v>
      </c>
      <c r="D489" s="18">
        <f>'[1]02. Matrix'!D498</f>
        <v>2</v>
      </c>
      <c r="E489" s="19">
        <f>'[1]02. Matrix'!E498</f>
        <v>0.23870577833676404</v>
      </c>
      <c r="F489" s="18" t="str">
        <f>_xlfn.XLOOKUP('01. Main'!$B489,[1]Mapping!$D:$D,[1]Mapping!$A:$A,0,0)</f>
        <v>Poush 79</v>
      </c>
      <c r="G489" s="20">
        <f>_xlfn.XLOOKUP('01. Main'!$B489,[1]Mapping!D$2:D$24,[1]Mapping!E$2:E$24,0,0)</f>
        <v>2022</v>
      </c>
    </row>
    <row r="490" spans="1:7" x14ac:dyDescent="0.45">
      <c r="A490" s="13">
        <f>'[1]02. Matrix'!A499</f>
        <v>489</v>
      </c>
      <c r="B490" s="14">
        <f>'[1]02. Matrix'!B499</f>
        <v>15</v>
      </c>
      <c r="C490" s="14" t="str">
        <f>'[1]02. Matrix'!C499</f>
        <v>RESI PER.HOME-EMI</v>
      </c>
      <c r="D490" s="14">
        <f>'[1]02. Matrix'!D499</f>
        <v>2</v>
      </c>
      <c r="E490" s="15">
        <f>'[1]02. Matrix'!E499</f>
        <v>0.29212519769326917</v>
      </c>
      <c r="F490" s="14" t="str">
        <f>_xlfn.XLOOKUP('01. Main'!$B490,[1]Mapping!$D:$D,[1]Mapping!$A:$A,0,0)</f>
        <v>Poush 79</v>
      </c>
      <c r="G490" s="16">
        <f>_xlfn.XLOOKUP('01. Main'!$B490,[1]Mapping!D$2:D$24,[1]Mapping!E$2:E$24,0,0)</f>
        <v>2022</v>
      </c>
    </row>
    <row r="491" spans="1:7" x14ac:dyDescent="0.45">
      <c r="A491" s="17">
        <f>'[1]02. Matrix'!A500</f>
        <v>490</v>
      </c>
      <c r="B491" s="18">
        <f>'[1]02. Matrix'!B500</f>
        <v>15</v>
      </c>
      <c r="C491" s="18" t="str">
        <f>'[1]02. Matrix'!C500</f>
        <v>TERM LOAN - BUSINESS</v>
      </c>
      <c r="D491" s="18">
        <f>'[1]02. Matrix'!D500</f>
        <v>2</v>
      </c>
      <c r="E491" s="19">
        <f>'[1]02. Matrix'!E500</f>
        <v>0</v>
      </c>
      <c r="F491" s="18" t="str">
        <f>_xlfn.XLOOKUP('01. Main'!$B491,[1]Mapping!$D:$D,[1]Mapping!$A:$A,0,0)</f>
        <v>Poush 79</v>
      </c>
      <c r="G491" s="20">
        <f>_xlfn.XLOOKUP('01. Main'!$B491,[1]Mapping!D$2:D$24,[1]Mapping!E$2:E$24,0,0)</f>
        <v>2022</v>
      </c>
    </row>
    <row r="492" spans="1:7" x14ac:dyDescent="0.45">
      <c r="A492" s="13">
        <f>'[1]02. Matrix'!A501</f>
        <v>491</v>
      </c>
      <c r="B492" s="14">
        <f>'[1]02. Matrix'!B501</f>
        <v>15</v>
      </c>
      <c r="C492" s="14" t="str">
        <f>'[1]02. Matrix'!C501</f>
        <v>CONS FIN BUSN TRM LO</v>
      </c>
      <c r="D492" s="14">
        <f>'[1]02. Matrix'!D501</f>
        <v>2</v>
      </c>
      <c r="E492" s="15">
        <f>'[1]02. Matrix'!E501</f>
        <v>0</v>
      </c>
      <c r="F492" s="14" t="str">
        <f>_xlfn.XLOOKUP('01. Main'!$B492,[1]Mapping!$D:$D,[1]Mapping!$A:$A,0,0)</f>
        <v>Poush 79</v>
      </c>
      <c r="G492" s="16">
        <f>_xlfn.XLOOKUP('01. Main'!$B492,[1]Mapping!D$2:D$24,[1]Mapping!E$2:E$24,0,0)</f>
        <v>2022</v>
      </c>
    </row>
    <row r="493" spans="1:7" x14ac:dyDescent="0.45">
      <c r="A493" s="17">
        <f>'[1]02. Matrix'!A502</f>
        <v>492</v>
      </c>
      <c r="B493" s="18">
        <f>'[1]02. Matrix'!B502</f>
        <v>15</v>
      </c>
      <c r="C493" s="18" t="str">
        <f>'[1]02. Matrix'!C502</f>
        <v>BIS/PERHIRE PURCHASE</v>
      </c>
      <c r="D493" s="18">
        <f>'[1]02. Matrix'!D502</f>
        <v>2</v>
      </c>
      <c r="E493" s="19">
        <f>'[1]02. Matrix'!E502</f>
        <v>0.62399972541202142</v>
      </c>
      <c r="F493" s="18" t="str">
        <f>_xlfn.XLOOKUP('01. Main'!$B493,[1]Mapping!$D:$D,[1]Mapping!$A:$A,0,0)</f>
        <v>Poush 79</v>
      </c>
      <c r="G493" s="20">
        <f>_xlfn.XLOOKUP('01. Main'!$B493,[1]Mapping!D$2:D$24,[1]Mapping!E$2:E$24,0,0)</f>
        <v>2022</v>
      </c>
    </row>
    <row r="494" spans="1:7" x14ac:dyDescent="0.45">
      <c r="A494" s="13">
        <f>'[1]02. Matrix'!A503</f>
        <v>493</v>
      </c>
      <c r="B494" s="14">
        <f>'[1]02. Matrix'!B503</f>
        <v>15</v>
      </c>
      <c r="C494" s="14" t="str">
        <f>'[1]02. Matrix'!C503</f>
        <v xml:space="preserve">INT CAP TERM LOAN </v>
      </c>
      <c r="D494" s="14">
        <f>'[1]02. Matrix'!D503</f>
        <v>2</v>
      </c>
      <c r="E494" s="15">
        <f>'[1]02. Matrix'!E503</f>
        <v>0</v>
      </c>
      <c r="F494" s="14" t="str">
        <f>_xlfn.XLOOKUP('01. Main'!$B494,[1]Mapping!$D:$D,[1]Mapping!$A:$A,0,0)</f>
        <v>Poush 79</v>
      </c>
      <c r="G494" s="16">
        <f>_xlfn.XLOOKUP('01. Main'!$B494,[1]Mapping!D$2:D$24,[1]Mapping!E$2:E$24,0,0)</f>
        <v>2022</v>
      </c>
    </row>
    <row r="495" spans="1:7" x14ac:dyDescent="0.45">
      <c r="A495" s="17">
        <f>'[1]02. Matrix'!A504</f>
        <v>494</v>
      </c>
      <c r="B495" s="18">
        <f>'[1]02. Matrix'!B504</f>
        <v>15</v>
      </c>
      <c r="C495" s="18" t="str">
        <f>'[1]02. Matrix'!C504</f>
        <v>PERSONAL LOAN</v>
      </c>
      <c r="D495" s="18">
        <f>'[1]02. Matrix'!D504</f>
        <v>2</v>
      </c>
      <c r="E495" s="19">
        <f>'[1]02. Matrix'!E504</f>
        <v>0.13299493223216566</v>
      </c>
      <c r="F495" s="18" t="str">
        <f>_xlfn.XLOOKUP('01. Main'!$B495,[1]Mapping!$D:$D,[1]Mapping!$A:$A,0,0)</f>
        <v>Poush 79</v>
      </c>
      <c r="G495" s="20">
        <f>_xlfn.XLOOKUP('01. Main'!$B495,[1]Mapping!D$2:D$24,[1]Mapping!E$2:E$24,0,0)</f>
        <v>2022</v>
      </c>
    </row>
    <row r="496" spans="1:7" x14ac:dyDescent="0.45">
      <c r="A496" s="13">
        <f>'[1]02. Matrix'!A505</f>
        <v>495</v>
      </c>
      <c r="B496" s="14">
        <f>'[1]02. Matrix'!B505</f>
        <v>15</v>
      </c>
      <c r="C496" s="14" t="str">
        <f>'[1]02. Matrix'!C505</f>
        <v>MORTGAGE LOAN</v>
      </c>
      <c r="D496" s="14">
        <f>'[1]02. Matrix'!D505</f>
        <v>2</v>
      </c>
      <c r="E496" s="15">
        <f>'[1]02. Matrix'!E505</f>
        <v>0.30629594341622823</v>
      </c>
      <c r="F496" s="14" t="str">
        <f>_xlfn.XLOOKUP('01. Main'!$B496,[1]Mapping!$D:$D,[1]Mapping!$A:$A,0,0)</f>
        <v>Poush 79</v>
      </c>
      <c r="G496" s="16">
        <f>_xlfn.XLOOKUP('01. Main'!$B496,[1]Mapping!D$2:D$24,[1]Mapping!E$2:E$24,0,0)</f>
        <v>2022</v>
      </c>
    </row>
    <row r="497" spans="1:7" x14ac:dyDescent="0.45">
      <c r="A497" s="17">
        <f>'[1]02. Matrix'!A506</f>
        <v>496</v>
      </c>
      <c r="B497" s="18">
        <f>'[1]02. Matrix'!B506</f>
        <v>15</v>
      </c>
      <c r="C497" s="18" t="str">
        <f>'[1]02. Matrix'!C506</f>
        <v>LOAN AGAINST FDR</v>
      </c>
      <c r="D497" s="18">
        <f>'[1]02. Matrix'!D506</f>
        <v>2</v>
      </c>
      <c r="E497" s="19">
        <f>'[1]02. Matrix'!E506</f>
        <v>0</v>
      </c>
      <c r="F497" s="18" t="str">
        <f>_xlfn.XLOOKUP('01. Main'!$B497,[1]Mapping!$D:$D,[1]Mapping!$A:$A,0,0)</f>
        <v>Poush 79</v>
      </c>
      <c r="G497" s="20">
        <f>_xlfn.XLOOKUP('01. Main'!$B497,[1]Mapping!D$2:D$24,[1]Mapping!E$2:E$24,0,0)</f>
        <v>2022</v>
      </c>
    </row>
    <row r="498" spans="1:7" x14ac:dyDescent="0.45">
      <c r="A498" s="13">
        <f>'[1]02. Matrix'!A507</f>
        <v>497</v>
      </c>
      <c r="B498" s="14">
        <f>'[1]02. Matrix'!B507</f>
        <v>15</v>
      </c>
      <c r="C498" s="14" t="str">
        <f>'[1]02. Matrix'!C507</f>
        <v>RECEIVABLE LOAN</v>
      </c>
      <c r="D498" s="14">
        <f>'[1]02. Matrix'!D507</f>
        <v>2</v>
      </c>
      <c r="E498" s="15">
        <f>'[1]02. Matrix'!E507</f>
        <v>0</v>
      </c>
      <c r="F498" s="14" t="str">
        <f>_xlfn.XLOOKUP('01. Main'!$B498,[1]Mapping!$D:$D,[1]Mapping!$A:$A,0,0)</f>
        <v>Poush 79</v>
      </c>
      <c r="G498" s="16">
        <f>_xlfn.XLOOKUP('01. Main'!$B498,[1]Mapping!D$2:D$24,[1]Mapping!E$2:E$24,0,0)</f>
        <v>2022</v>
      </c>
    </row>
    <row r="499" spans="1:7" x14ac:dyDescent="0.45">
      <c r="A499" s="17">
        <f>'[1]02. Matrix'!A508</f>
        <v>498</v>
      </c>
      <c r="B499" s="18">
        <f>'[1]02. Matrix'!B508</f>
        <v>15</v>
      </c>
      <c r="C499" s="18" t="str">
        <f>'[1]02. Matrix'!C508</f>
        <v>STAFF LOAN</v>
      </c>
      <c r="D499" s="18">
        <f>'[1]02. Matrix'!D508</f>
        <v>2</v>
      </c>
      <c r="E499" s="19">
        <f>'[1]02. Matrix'!E508</f>
        <v>0</v>
      </c>
      <c r="F499" s="18" t="str">
        <f>_xlfn.XLOOKUP('01. Main'!$B499,[1]Mapping!$D:$D,[1]Mapping!$A:$A,0,0)</f>
        <v>Poush 79</v>
      </c>
      <c r="G499" s="20">
        <f>_xlfn.XLOOKUP('01. Main'!$B499,[1]Mapping!D$2:D$24,[1]Mapping!E$2:E$24,0,0)</f>
        <v>2022</v>
      </c>
    </row>
    <row r="500" spans="1:7" x14ac:dyDescent="0.45">
      <c r="A500" s="13">
        <f>'[1]02. Matrix'!A509</f>
        <v>499</v>
      </c>
      <c r="B500" s="14">
        <f>'[1]02. Matrix'!B509</f>
        <v>15</v>
      </c>
      <c r="C500" s="14" t="str">
        <f>'[1]02. Matrix'!C509</f>
        <v>AGRICULTURAL LOAN</v>
      </c>
      <c r="D500" s="14">
        <f>'[1]02. Matrix'!D509</f>
        <v>2</v>
      </c>
      <c r="E500" s="15">
        <f>'[1]02. Matrix'!E509</f>
        <v>0</v>
      </c>
      <c r="F500" s="14" t="str">
        <f>_xlfn.XLOOKUP('01. Main'!$B500,[1]Mapping!$D:$D,[1]Mapping!$A:$A,0,0)</f>
        <v>Poush 79</v>
      </c>
      <c r="G500" s="16">
        <f>_xlfn.XLOOKUP('01. Main'!$B500,[1]Mapping!D$2:D$24,[1]Mapping!E$2:E$24,0,0)</f>
        <v>2022</v>
      </c>
    </row>
    <row r="501" spans="1:7" x14ac:dyDescent="0.45">
      <c r="A501" s="17">
        <f>'[1]02. Matrix'!A510</f>
        <v>500</v>
      </c>
      <c r="B501" s="18">
        <f>'[1]02. Matrix'!B510</f>
        <v>15</v>
      </c>
      <c r="C501" s="18" t="str">
        <f>'[1]02. Matrix'!C510</f>
        <v>EARTHQUAKE RELIEF LO</v>
      </c>
      <c r="D501" s="18">
        <f>'[1]02. Matrix'!D510</f>
        <v>2</v>
      </c>
      <c r="E501" s="19">
        <f>'[1]02. Matrix'!E510</f>
        <v>0</v>
      </c>
      <c r="F501" s="18" t="str">
        <f>_xlfn.XLOOKUP('01. Main'!$B501,[1]Mapping!$D:$D,[1]Mapping!$A:$A,0,0)</f>
        <v>Poush 79</v>
      </c>
      <c r="G501" s="20">
        <f>_xlfn.XLOOKUP('01. Main'!$B501,[1]Mapping!D$2:D$24,[1]Mapping!E$2:E$24,0,0)</f>
        <v>2022</v>
      </c>
    </row>
    <row r="502" spans="1:7" x14ac:dyDescent="0.45">
      <c r="A502" s="13">
        <f>'[1]02. Matrix'!A511</f>
        <v>501</v>
      </c>
      <c r="B502" s="14">
        <f>'[1]02. Matrix'!B511</f>
        <v>15</v>
      </c>
      <c r="C502" s="14" t="str">
        <f>'[1]02. Matrix'!C511</f>
        <v>TOURISM SECTOR LOAN</v>
      </c>
      <c r="D502" s="14">
        <f>'[1]02. Matrix'!D511</f>
        <v>2</v>
      </c>
      <c r="E502" s="15">
        <f>'[1]02. Matrix'!E511</f>
        <v>0</v>
      </c>
      <c r="F502" s="14" t="str">
        <f>_xlfn.XLOOKUP('01. Main'!$B502,[1]Mapping!$D:$D,[1]Mapping!$A:$A,0,0)</f>
        <v>Poush 79</v>
      </c>
      <c r="G502" s="16">
        <f>_xlfn.XLOOKUP('01. Main'!$B502,[1]Mapping!D$2:D$24,[1]Mapping!E$2:E$24,0,0)</f>
        <v>2022</v>
      </c>
    </row>
    <row r="503" spans="1:7" x14ac:dyDescent="0.45">
      <c r="A503" s="17">
        <f>'[1]02. Matrix'!A512</f>
        <v>502</v>
      </c>
      <c r="B503" s="18">
        <f>'[1]02. Matrix'!B512</f>
        <v>15</v>
      </c>
      <c r="C503" s="18" t="str">
        <f>'[1]02. Matrix'!C512</f>
        <v>SME LOAN</v>
      </c>
      <c r="D503" s="18">
        <f>'[1]02. Matrix'!D512</f>
        <v>2</v>
      </c>
      <c r="E503" s="19">
        <f>'[1]02. Matrix'!E512</f>
        <v>0</v>
      </c>
      <c r="F503" s="18" t="str">
        <f>_xlfn.XLOOKUP('01. Main'!$B503,[1]Mapping!$D:$D,[1]Mapping!$A:$A,0,0)</f>
        <v>Poush 79</v>
      </c>
      <c r="G503" s="20">
        <f>_xlfn.XLOOKUP('01. Main'!$B503,[1]Mapping!D$2:D$24,[1]Mapping!E$2:E$24,0,0)</f>
        <v>2022</v>
      </c>
    </row>
    <row r="504" spans="1:7" x14ac:dyDescent="0.45">
      <c r="A504" s="13">
        <f>'[1]02. Matrix'!A513</f>
        <v>503</v>
      </c>
      <c r="B504" s="14">
        <f>'[1]02. Matrix'!B513</f>
        <v>15</v>
      </c>
      <c r="C504" s="14" t="str">
        <f>'[1]02. Matrix'!C513</f>
        <v>EDUCATIONAL LOAN EMI</v>
      </c>
      <c r="D504" s="14">
        <f>'[1]02. Matrix'!D513</f>
        <v>2</v>
      </c>
      <c r="E504" s="15">
        <f>'[1]02. Matrix'!E513</f>
        <v>0</v>
      </c>
      <c r="F504" s="14" t="str">
        <f>_xlfn.XLOOKUP('01. Main'!$B504,[1]Mapping!$D:$D,[1]Mapping!$A:$A,0,0)</f>
        <v>Poush 79</v>
      </c>
      <c r="G504" s="16">
        <f>_xlfn.XLOOKUP('01. Main'!$B504,[1]Mapping!D$2:D$24,[1]Mapping!E$2:E$24,0,0)</f>
        <v>2022</v>
      </c>
    </row>
    <row r="505" spans="1:7" x14ac:dyDescent="0.45">
      <c r="A505" s="17">
        <f>'[1]02. Matrix'!A514</f>
        <v>504</v>
      </c>
      <c r="B505" s="18">
        <f>'[1]02. Matrix'!B514</f>
        <v>15</v>
      </c>
      <c r="C505" s="18" t="str">
        <f>'[1]02. Matrix'!C514</f>
        <v>OVERDRAFT PROFESSION</v>
      </c>
      <c r="D505" s="18">
        <f>'[1]02. Matrix'!D514</f>
        <v>2</v>
      </c>
      <c r="E505" s="19">
        <f>'[1]02. Matrix'!E514</f>
        <v>0</v>
      </c>
      <c r="F505" s="18" t="str">
        <f>_xlfn.XLOOKUP('01. Main'!$B505,[1]Mapping!$D:$D,[1]Mapping!$A:$A,0,0)</f>
        <v>Poush 79</v>
      </c>
      <c r="G505" s="20">
        <f>_xlfn.XLOOKUP('01. Main'!$B505,[1]Mapping!D$2:D$24,[1]Mapping!E$2:E$24,0,0)</f>
        <v>2022</v>
      </c>
    </row>
    <row r="506" spans="1:7" x14ac:dyDescent="0.45">
      <c r="A506" s="13">
        <f>'[1]02. Matrix'!A515</f>
        <v>505</v>
      </c>
      <c r="B506" s="14">
        <f>'[1]02. Matrix'!B515</f>
        <v>14</v>
      </c>
      <c r="C506" s="14" t="str">
        <f>'[1]02. Matrix'!C515</f>
        <v>OD PERSONAL LOAN</v>
      </c>
      <c r="D506" s="14">
        <f>'[1]02. Matrix'!D515</f>
        <v>1</v>
      </c>
      <c r="E506" s="15">
        <f>'[1]02. Matrix'!E515</f>
        <v>0</v>
      </c>
      <c r="F506" s="14" t="str">
        <f>_xlfn.XLOOKUP('01. Main'!$B506,[1]Mapping!$D:$D,[1]Mapping!$A:$A,0,0)</f>
        <v>Ashoj 79</v>
      </c>
      <c r="G506" s="16">
        <f>_xlfn.XLOOKUP('01. Main'!$B506,[1]Mapping!D$2:D$24,[1]Mapping!E$2:E$24,0,0)</f>
        <v>2022</v>
      </c>
    </row>
    <row r="507" spans="1:7" x14ac:dyDescent="0.45">
      <c r="A507" s="17">
        <f>'[1]02. Matrix'!A516</f>
        <v>506</v>
      </c>
      <c r="B507" s="18">
        <f>'[1]02. Matrix'!B516</f>
        <v>14</v>
      </c>
      <c r="C507" s="18" t="str">
        <f>'[1]02. Matrix'!C516</f>
        <v>OD BUSINESS LOAN</v>
      </c>
      <c r="D507" s="18">
        <f>'[1]02. Matrix'!D516</f>
        <v>1</v>
      </c>
      <c r="E507" s="19">
        <f>'[1]02. Matrix'!E516</f>
        <v>0</v>
      </c>
      <c r="F507" s="18" t="str">
        <f>_xlfn.XLOOKUP('01. Main'!$B507,[1]Mapping!$D:$D,[1]Mapping!$A:$A,0,0)</f>
        <v>Ashoj 79</v>
      </c>
      <c r="G507" s="20">
        <f>_xlfn.XLOOKUP('01. Main'!$B507,[1]Mapping!D$2:D$24,[1]Mapping!E$2:E$24,0,0)</f>
        <v>2022</v>
      </c>
    </row>
    <row r="508" spans="1:7" x14ac:dyDescent="0.45">
      <c r="A508" s="13">
        <f>'[1]02. Matrix'!A517</f>
        <v>507</v>
      </c>
      <c r="B508" s="14">
        <f>'[1]02. Matrix'!B517</f>
        <v>14</v>
      </c>
      <c r="C508" s="14" t="str">
        <f>'[1]02. Matrix'!C517</f>
        <v>OD STAFF LOAN</v>
      </c>
      <c r="D508" s="14">
        <f>'[1]02. Matrix'!D517</f>
        <v>1</v>
      </c>
      <c r="E508" s="15">
        <f>'[1]02. Matrix'!E517</f>
        <v>0</v>
      </c>
      <c r="F508" s="14" t="str">
        <f>_xlfn.XLOOKUP('01. Main'!$B508,[1]Mapping!$D:$D,[1]Mapping!$A:$A,0,0)</f>
        <v>Ashoj 79</v>
      </c>
      <c r="G508" s="16">
        <f>_xlfn.XLOOKUP('01. Main'!$B508,[1]Mapping!D$2:D$24,[1]Mapping!E$2:E$24,0,0)</f>
        <v>2022</v>
      </c>
    </row>
    <row r="509" spans="1:7" x14ac:dyDescent="0.45">
      <c r="A509" s="17">
        <f>'[1]02. Matrix'!A518</f>
        <v>508</v>
      </c>
      <c r="B509" s="18">
        <f>'[1]02. Matrix'!B518</f>
        <v>14</v>
      </c>
      <c r="C509" s="18" t="str">
        <f>'[1]02. Matrix'!C518</f>
        <v>TERM LOAN</v>
      </c>
      <c r="D509" s="18">
        <f>'[1]02. Matrix'!D518</f>
        <v>1</v>
      </c>
      <c r="E509" s="19">
        <f>'[1]02. Matrix'!E518</f>
        <v>0.17664745790190461</v>
      </c>
      <c r="F509" s="18" t="str">
        <f>_xlfn.XLOOKUP('01. Main'!$B509,[1]Mapping!$D:$D,[1]Mapping!$A:$A,0,0)</f>
        <v>Ashoj 79</v>
      </c>
      <c r="G509" s="20">
        <f>_xlfn.XLOOKUP('01. Main'!$B509,[1]Mapping!D$2:D$24,[1]Mapping!E$2:E$24,0,0)</f>
        <v>2022</v>
      </c>
    </row>
    <row r="510" spans="1:7" x14ac:dyDescent="0.45">
      <c r="A510" s="13">
        <f>'[1]02. Matrix'!A519</f>
        <v>509</v>
      </c>
      <c r="B510" s="14">
        <f>'[1]02. Matrix'!B519</f>
        <v>14</v>
      </c>
      <c r="C510" s="14" t="str">
        <f>'[1]02. Matrix'!C519</f>
        <v>WC TRADING/IND LOAN</v>
      </c>
      <c r="D510" s="14">
        <f>'[1]02. Matrix'!D519</f>
        <v>1</v>
      </c>
      <c r="E510" s="15">
        <f>'[1]02. Matrix'!E519</f>
        <v>0.22493363841068717</v>
      </c>
      <c r="F510" s="14" t="str">
        <f>_xlfn.XLOOKUP('01. Main'!$B510,[1]Mapping!$D:$D,[1]Mapping!$A:$A,0,0)</f>
        <v>Ashoj 79</v>
      </c>
      <c r="G510" s="16">
        <f>_xlfn.XLOOKUP('01. Main'!$B510,[1]Mapping!D$2:D$24,[1]Mapping!E$2:E$24,0,0)</f>
        <v>2022</v>
      </c>
    </row>
    <row r="511" spans="1:7" x14ac:dyDescent="0.45">
      <c r="A511" s="17">
        <f>'[1]02. Matrix'!A520</f>
        <v>510</v>
      </c>
      <c r="B511" s="18">
        <f>'[1]02. Matrix'!B520</f>
        <v>14</v>
      </c>
      <c r="C511" s="18" t="str">
        <f>'[1]02. Matrix'!C520</f>
        <v>HOUSING LOAN</v>
      </c>
      <c r="D511" s="18">
        <f>'[1]02. Matrix'!D520</f>
        <v>1</v>
      </c>
      <c r="E511" s="19">
        <f>'[1]02. Matrix'!E520</f>
        <v>0.2599501930809297</v>
      </c>
      <c r="F511" s="18" t="str">
        <f>_xlfn.XLOOKUP('01. Main'!$B511,[1]Mapping!$D:$D,[1]Mapping!$A:$A,0,0)</f>
        <v>Ashoj 79</v>
      </c>
      <c r="G511" s="20">
        <f>_xlfn.XLOOKUP('01. Main'!$B511,[1]Mapping!D$2:D$24,[1]Mapping!E$2:E$24,0,0)</f>
        <v>2022</v>
      </c>
    </row>
    <row r="512" spans="1:7" x14ac:dyDescent="0.45">
      <c r="A512" s="13">
        <f>'[1]02. Matrix'!A521</f>
        <v>511</v>
      </c>
      <c r="B512" s="14">
        <f>'[1]02. Matrix'!B521</f>
        <v>14</v>
      </c>
      <c r="C512" s="14" t="str">
        <f>'[1]02. Matrix'!C521</f>
        <v>RESI REAL EST LOAN</v>
      </c>
      <c r="D512" s="14">
        <f>'[1]02. Matrix'!D521</f>
        <v>1</v>
      </c>
      <c r="E512" s="15">
        <f>'[1]02. Matrix'!E521</f>
        <v>0.1955161514188288</v>
      </c>
      <c r="F512" s="14" t="str">
        <f>_xlfn.XLOOKUP('01. Main'!$B512,[1]Mapping!$D:$D,[1]Mapping!$A:$A,0,0)</f>
        <v>Ashoj 79</v>
      </c>
      <c r="G512" s="16">
        <f>_xlfn.XLOOKUP('01. Main'!$B512,[1]Mapping!D$2:D$24,[1]Mapping!E$2:E$24,0,0)</f>
        <v>2022</v>
      </c>
    </row>
    <row r="513" spans="1:7" x14ac:dyDescent="0.45">
      <c r="A513" s="17">
        <f>'[1]02. Matrix'!A522</f>
        <v>512</v>
      </c>
      <c r="B513" s="18">
        <f>'[1]02. Matrix'!B522</f>
        <v>14</v>
      </c>
      <c r="C513" s="18" t="str">
        <f>'[1]02. Matrix'!C522</f>
        <v>MARGIN NATURE LOAN</v>
      </c>
      <c r="D513" s="18">
        <f>'[1]02. Matrix'!D522</f>
        <v>1</v>
      </c>
      <c r="E513" s="19">
        <f>'[1]02. Matrix'!E522</f>
        <v>0</v>
      </c>
      <c r="F513" s="18" t="str">
        <f>_xlfn.XLOOKUP('01. Main'!$B513,[1]Mapping!$D:$D,[1]Mapping!$A:$A,0,0)</f>
        <v>Ashoj 79</v>
      </c>
      <c r="G513" s="20">
        <f>_xlfn.XLOOKUP('01. Main'!$B513,[1]Mapping!D$2:D$24,[1]Mapping!E$2:E$24,0,0)</f>
        <v>2022</v>
      </c>
    </row>
    <row r="514" spans="1:7" x14ac:dyDescent="0.45">
      <c r="A514" s="13">
        <f>'[1]02. Matrix'!A523</f>
        <v>513</v>
      </c>
      <c r="B514" s="14">
        <f>'[1]02. Matrix'!B523</f>
        <v>14</v>
      </c>
      <c r="C514" s="14" t="str">
        <f>'[1]02. Matrix'!C523</f>
        <v>HIRE PURCHASE LOAN</v>
      </c>
      <c r="D514" s="14">
        <f>'[1]02. Matrix'!D523</f>
        <v>1</v>
      </c>
      <c r="E514" s="15">
        <f>'[1]02. Matrix'!E523</f>
        <v>0.47648156878262682</v>
      </c>
      <c r="F514" s="14" t="str">
        <f>_xlfn.XLOOKUP('01. Main'!$B514,[1]Mapping!$D:$D,[1]Mapping!$A:$A,0,0)</f>
        <v>Ashoj 79</v>
      </c>
      <c r="G514" s="16">
        <f>_xlfn.XLOOKUP('01. Main'!$B514,[1]Mapping!D$2:D$24,[1]Mapping!E$2:E$24,0,0)</f>
        <v>2022</v>
      </c>
    </row>
    <row r="515" spans="1:7" x14ac:dyDescent="0.45">
      <c r="A515" s="17">
        <f>'[1]02. Matrix'!A524</f>
        <v>514</v>
      </c>
      <c r="B515" s="18">
        <f>'[1]02. Matrix'!B524</f>
        <v>14</v>
      </c>
      <c r="C515" s="18" t="str">
        <f>'[1]02. Matrix'!C524</f>
        <v>DEPRIVED SECTOR LOAN</v>
      </c>
      <c r="D515" s="18">
        <f>'[1]02. Matrix'!D524</f>
        <v>1</v>
      </c>
      <c r="E515" s="19">
        <f>'[1]02. Matrix'!E524</f>
        <v>7.1693071412729948E-3</v>
      </c>
      <c r="F515" s="18" t="str">
        <f>_xlfn.XLOOKUP('01. Main'!$B515,[1]Mapping!$D:$D,[1]Mapping!$A:$A,0,0)</f>
        <v>Ashoj 79</v>
      </c>
      <c r="G515" s="20">
        <f>_xlfn.XLOOKUP('01. Main'!$B515,[1]Mapping!D$2:D$24,[1]Mapping!E$2:E$24,0,0)</f>
        <v>2022</v>
      </c>
    </row>
    <row r="516" spans="1:7" x14ac:dyDescent="0.45">
      <c r="A516" s="13">
        <f>'[1]02. Matrix'!A525</f>
        <v>515</v>
      </c>
      <c r="B516" s="14">
        <f>'[1]02. Matrix'!B525</f>
        <v>14</v>
      </c>
      <c r="C516" s="14" t="str">
        <f>'[1]02. Matrix'!C525</f>
        <v>EDUCATIONAL LOAN</v>
      </c>
      <c r="D516" s="14">
        <f>'[1]02. Matrix'!D525</f>
        <v>1</v>
      </c>
      <c r="E516" s="15">
        <f>'[1]02. Matrix'!E525</f>
        <v>7.2513712073597775E-2</v>
      </c>
      <c r="F516" s="14" t="str">
        <f>_xlfn.XLOOKUP('01. Main'!$B516,[1]Mapping!$D:$D,[1]Mapping!$A:$A,0,0)</f>
        <v>Ashoj 79</v>
      </c>
      <c r="G516" s="16">
        <f>_xlfn.XLOOKUP('01. Main'!$B516,[1]Mapping!D$2:D$24,[1]Mapping!E$2:E$24,0,0)</f>
        <v>2022</v>
      </c>
    </row>
    <row r="517" spans="1:7" x14ac:dyDescent="0.45">
      <c r="A517" s="17">
        <f>'[1]02. Matrix'!A526</f>
        <v>516</v>
      </c>
      <c r="B517" s="18">
        <f>'[1]02. Matrix'!B526</f>
        <v>14</v>
      </c>
      <c r="C517" s="18" t="str">
        <f>'[1]02. Matrix'!C526</f>
        <v>AGRICULTURE LOAN</v>
      </c>
      <c r="D517" s="18">
        <f>'[1]02. Matrix'!D526</f>
        <v>1</v>
      </c>
      <c r="E517" s="19">
        <f>'[1]02. Matrix'!E526</f>
        <v>0.16945083036275255</v>
      </c>
      <c r="F517" s="18" t="str">
        <f>_xlfn.XLOOKUP('01. Main'!$B517,[1]Mapping!$D:$D,[1]Mapping!$A:$A,0,0)</f>
        <v>Ashoj 79</v>
      </c>
      <c r="G517" s="20">
        <f>_xlfn.XLOOKUP('01. Main'!$B517,[1]Mapping!D$2:D$24,[1]Mapping!E$2:E$24,0,0)</f>
        <v>2022</v>
      </c>
    </row>
    <row r="518" spans="1:7" x14ac:dyDescent="0.45">
      <c r="A518" s="13">
        <f>'[1]02. Matrix'!A527</f>
        <v>517</v>
      </c>
      <c r="B518" s="14">
        <f>'[1]02. Matrix'!B527</f>
        <v>14</v>
      </c>
      <c r="C518" s="14" t="str">
        <f>'[1]02. Matrix'!C527</f>
        <v>RESI PER.HOME-EMI</v>
      </c>
      <c r="D518" s="14">
        <f>'[1]02. Matrix'!D527</f>
        <v>1</v>
      </c>
      <c r="E518" s="15">
        <f>'[1]02. Matrix'!E527</f>
        <v>0.40946726061312905</v>
      </c>
      <c r="F518" s="14" t="str">
        <f>_xlfn.XLOOKUP('01. Main'!$B518,[1]Mapping!$D:$D,[1]Mapping!$A:$A,0,0)</f>
        <v>Ashoj 79</v>
      </c>
      <c r="G518" s="16">
        <f>_xlfn.XLOOKUP('01. Main'!$B518,[1]Mapping!D$2:D$24,[1]Mapping!E$2:E$24,0,0)</f>
        <v>2022</v>
      </c>
    </row>
    <row r="519" spans="1:7" x14ac:dyDescent="0.45">
      <c r="A519" s="17">
        <f>'[1]02. Matrix'!A528</f>
        <v>518</v>
      </c>
      <c r="B519" s="18">
        <f>'[1]02. Matrix'!B528</f>
        <v>14</v>
      </c>
      <c r="C519" s="18" t="str">
        <f>'[1]02. Matrix'!C528</f>
        <v>TERM LOAN - BUSINESS</v>
      </c>
      <c r="D519" s="18">
        <f>'[1]02. Matrix'!D528</f>
        <v>1</v>
      </c>
      <c r="E519" s="19">
        <f>'[1]02. Matrix'!E528</f>
        <v>0</v>
      </c>
      <c r="F519" s="18" t="str">
        <f>_xlfn.XLOOKUP('01. Main'!$B519,[1]Mapping!$D:$D,[1]Mapping!$A:$A,0,0)</f>
        <v>Ashoj 79</v>
      </c>
      <c r="G519" s="20">
        <f>_xlfn.XLOOKUP('01. Main'!$B519,[1]Mapping!D$2:D$24,[1]Mapping!E$2:E$24,0,0)</f>
        <v>2022</v>
      </c>
    </row>
    <row r="520" spans="1:7" x14ac:dyDescent="0.45">
      <c r="A520" s="13">
        <f>'[1]02. Matrix'!A529</f>
        <v>519</v>
      </c>
      <c r="B520" s="14">
        <f>'[1]02. Matrix'!B529</f>
        <v>14</v>
      </c>
      <c r="C520" s="14" t="str">
        <f>'[1]02. Matrix'!C529</f>
        <v>CONS FIN BUSN TRM LO</v>
      </c>
      <c r="D520" s="14">
        <f>'[1]02. Matrix'!D529</f>
        <v>1</v>
      </c>
      <c r="E520" s="15">
        <f>'[1]02. Matrix'!E529</f>
        <v>0</v>
      </c>
      <c r="F520" s="14" t="str">
        <f>_xlfn.XLOOKUP('01. Main'!$B520,[1]Mapping!$D:$D,[1]Mapping!$A:$A,0,0)</f>
        <v>Ashoj 79</v>
      </c>
      <c r="G520" s="16">
        <f>_xlfn.XLOOKUP('01. Main'!$B520,[1]Mapping!D$2:D$24,[1]Mapping!E$2:E$24,0,0)</f>
        <v>2022</v>
      </c>
    </row>
    <row r="521" spans="1:7" x14ac:dyDescent="0.45">
      <c r="A521" s="17">
        <f>'[1]02. Matrix'!A530</f>
        <v>520</v>
      </c>
      <c r="B521" s="18">
        <f>'[1]02. Matrix'!B530</f>
        <v>14</v>
      </c>
      <c r="C521" s="18" t="str">
        <f>'[1]02. Matrix'!C530</f>
        <v>BIS/PERHIRE PURCHASE</v>
      </c>
      <c r="D521" s="18">
        <f>'[1]02. Matrix'!D530</f>
        <v>1</v>
      </c>
      <c r="E521" s="19">
        <f>'[1]02. Matrix'!E530</f>
        <v>0.22496243853810552</v>
      </c>
      <c r="F521" s="18" t="str">
        <f>_xlfn.XLOOKUP('01. Main'!$B521,[1]Mapping!$D:$D,[1]Mapping!$A:$A,0,0)</f>
        <v>Ashoj 79</v>
      </c>
      <c r="G521" s="20">
        <f>_xlfn.XLOOKUP('01. Main'!$B521,[1]Mapping!D$2:D$24,[1]Mapping!E$2:E$24,0,0)</f>
        <v>2022</v>
      </c>
    </row>
    <row r="522" spans="1:7" x14ac:dyDescent="0.45">
      <c r="A522" s="13">
        <f>'[1]02. Matrix'!A531</f>
        <v>521</v>
      </c>
      <c r="B522" s="14">
        <f>'[1]02. Matrix'!B531</f>
        <v>14</v>
      </c>
      <c r="C522" s="14" t="str">
        <f>'[1]02. Matrix'!C531</f>
        <v xml:space="preserve">INT CAP TERM LOAN </v>
      </c>
      <c r="D522" s="14">
        <f>'[1]02. Matrix'!D531</f>
        <v>1</v>
      </c>
      <c r="E522" s="15">
        <f>'[1]02. Matrix'!E531</f>
        <v>0</v>
      </c>
      <c r="F522" s="14" t="str">
        <f>_xlfn.XLOOKUP('01. Main'!$B522,[1]Mapping!$D:$D,[1]Mapping!$A:$A,0,0)</f>
        <v>Ashoj 79</v>
      </c>
      <c r="G522" s="16">
        <f>_xlfn.XLOOKUP('01. Main'!$B522,[1]Mapping!D$2:D$24,[1]Mapping!E$2:E$24,0,0)</f>
        <v>2022</v>
      </c>
    </row>
    <row r="523" spans="1:7" x14ac:dyDescent="0.45">
      <c r="A523" s="17">
        <f>'[1]02. Matrix'!A532</f>
        <v>522</v>
      </c>
      <c r="B523" s="18">
        <f>'[1]02. Matrix'!B532</f>
        <v>14</v>
      </c>
      <c r="C523" s="18" t="str">
        <f>'[1]02. Matrix'!C532</f>
        <v>PERSONAL LOAN</v>
      </c>
      <c r="D523" s="18">
        <f>'[1]02. Matrix'!D532</f>
        <v>1</v>
      </c>
      <c r="E523" s="19">
        <f>'[1]02. Matrix'!E532</f>
        <v>0.18513857386759361</v>
      </c>
      <c r="F523" s="18" t="str">
        <f>_xlfn.XLOOKUP('01. Main'!$B523,[1]Mapping!$D:$D,[1]Mapping!$A:$A,0,0)</f>
        <v>Ashoj 79</v>
      </c>
      <c r="G523" s="20">
        <f>_xlfn.XLOOKUP('01. Main'!$B523,[1]Mapping!D$2:D$24,[1]Mapping!E$2:E$24,0,0)</f>
        <v>2022</v>
      </c>
    </row>
    <row r="524" spans="1:7" x14ac:dyDescent="0.45">
      <c r="A524" s="13">
        <f>'[1]02. Matrix'!A533</f>
        <v>523</v>
      </c>
      <c r="B524" s="14">
        <f>'[1]02. Matrix'!B533</f>
        <v>14</v>
      </c>
      <c r="C524" s="14" t="str">
        <f>'[1]02. Matrix'!C533</f>
        <v>MORTGAGE LOAN</v>
      </c>
      <c r="D524" s="14">
        <f>'[1]02. Matrix'!D533</f>
        <v>1</v>
      </c>
      <c r="E524" s="15">
        <f>'[1]02. Matrix'!E533</f>
        <v>0.10478751107475855</v>
      </c>
      <c r="F524" s="14" t="str">
        <f>_xlfn.XLOOKUP('01. Main'!$B524,[1]Mapping!$D:$D,[1]Mapping!$A:$A,0,0)</f>
        <v>Ashoj 79</v>
      </c>
      <c r="G524" s="16">
        <f>_xlfn.XLOOKUP('01. Main'!$B524,[1]Mapping!D$2:D$24,[1]Mapping!E$2:E$24,0,0)</f>
        <v>2022</v>
      </c>
    </row>
    <row r="525" spans="1:7" x14ac:dyDescent="0.45">
      <c r="A525" s="17">
        <f>'[1]02. Matrix'!A534</f>
        <v>524</v>
      </c>
      <c r="B525" s="18">
        <f>'[1]02. Matrix'!B534</f>
        <v>14</v>
      </c>
      <c r="C525" s="18" t="str">
        <f>'[1]02. Matrix'!C534</f>
        <v>LOAN AGAINST FDR</v>
      </c>
      <c r="D525" s="18">
        <f>'[1]02. Matrix'!D534</f>
        <v>1</v>
      </c>
      <c r="E525" s="19">
        <f>'[1]02. Matrix'!E534</f>
        <v>0</v>
      </c>
      <c r="F525" s="18" t="str">
        <f>_xlfn.XLOOKUP('01. Main'!$B525,[1]Mapping!$D:$D,[1]Mapping!$A:$A,0,0)</f>
        <v>Ashoj 79</v>
      </c>
      <c r="G525" s="20">
        <f>_xlfn.XLOOKUP('01. Main'!$B525,[1]Mapping!D$2:D$24,[1]Mapping!E$2:E$24,0,0)</f>
        <v>2022</v>
      </c>
    </row>
    <row r="526" spans="1:7" x14ac:dyDescent="0.45">
      <c r="A526" s="13">
        <f>'[1]02. Matrix'!A535</f>
        <v>525</v>
      </c>
      <c r="B526" s="14">
        <f>'[1]02. Matrix'!B535</f>
        <v>14</v>
      </c>
      <c r="C526" s="14" t="str">
        <f>'[1]02. Matrix'!C535</f>
        <v>RECEIVABLE LOAN</v>
      </c>
      <c r="D526" s="14">
        <f>'[1]02. Matrix'!D535</f>
        <v>1</v>
      </c>
      <c r="E526" s="15">
        <f>'[1]02. Matrix'!E535</f>
        <v>0</v>
      </c>
      <c r="F526" s="14" t="str">
        <f>_xlfn.XLOOKUP('01. Main'!$B526,[1]Mapping!$D:$D,[1]Mapping!$A:$A,0,0)</f>
        <v>Ashoj 79</v>
      </c>
      <c r="G526" s="16">
        <f>_xlfn.XLOOKUP('01. Main'!$B526,[1]Mapping!D$2:D$24,[1]Mapping!E$2:E$24,0,0)</f>
        <v>2022</v>
      </c>
    </row>
    <row r="527" spans="1:7" x14ac:dyDescent="0.45">
      <c r="A527" s="17">
        <f>'[1]02. Matrix'!A536</f>
        <v>526</v>
      </c>
      <c r="B527" s="18">
        <f>'[1]02. Matrix'!B536</f>
        <v>14</v>
      </c>
      <c r="C527" s="18" t="str">
        <f>'[1]02. Matrix'!C536</f>
        <v>STAFF LOAN</v>
      </c>
      <c r="D527" s="18">
        <f>'[1]02. Matrix'!D536</f>
        <v>1</v>
      </c>
      <c r="E527" s="19">
        <f>'[1]02. Matrix'!E536</f>
        <v>0</v>
      </c>
      <c r="F527" s="18" t="str">
        <f>_xlfn.XLOOKUP('01. Main'!$B527,[1]Mapping!$D:$D,[1]Mapping!$A:$A,0,0)</f>
        <v>Ashoj 79</v>
      </c>
      <c r="G527" s="20">
        <f>_xlfn.XLOOKUP('01. Main'!$B527,[1]Mapping!D$2:D$24,[1]Mapping!E$2:E$24,0,0)</f>
        <v>2022</v>
      </c>
    </row>
    <row r="528" spans="1:7" x14ac:dyDescent="0.45">
      <c r="A528" s="13">
        <f>'[1]02. Matrix'!A537</f>
        <v>527</v>
      </c>
      <c r="B528" s="14">
        <f>'[1]02. Matrix'!B537</f>
        <v>14</v>
      </c>
      <c r="C528" s="14" t="str">
        <f>'[1]02. Matrix'!C537</f>
        <v>AGRICULTURAL LOAN</v>
      </c>
      <c r="D528" s="14">
        <f>'[1]02. Matrix'!D537</f>
        <v>1</v>
      </c>
      <c r="E528" s="15">
        <f>'[1]02. Matrix'!E537</f>
        <v>0</v>
      </c>
      <c r="F528" s="14" t="str">
        <f>_xlfn.XLOOKUP('01. Main'!$B528,[1]Mapping!$D:$D,[1]Mapping!$A:$A,0,0)</f>
        <v>Ashoj 79</v>
      </c>
      <c r="G528" s="16">
        <f>_xlfn.XLOOKUP('01. Main'!$B528,[1]Mapping!D$2:D$24,[1]Mapping!E$2:E$24,0,0)</f>
        <v>2022</v>
      </c>
    </row>
    <row r="529" spans="1:7" x14ac:dyDescent="0.45">
      <c r="A529" s="17">
        <f>'[1]02. Matrix'!A538</f>
        <v>528</v>
      </c>
      <c r="B529" s="18">
        <f>'[1]02. Matrix'!B538</f>
        <v>14</v>
      </c>
      <c r="C529" s="18" t="str">
        <f>'[1]02. Matrix'!C538</f>
        <v>EARTHQUAKE RELIEF LO</v>
      </c>
      <c r="D529" s="18">
        <f>'[1]02. Matrix'!D538</f>
        <v>1</v>
      </c>
      <c r="E529" s="19">
        <f>'[1]02. Matrix'!E538</f>
        <v>0</v>
      </c>
      <c r="F529" s="18" t="str">
        <f>_xlfn.XLOOKUP('01. Main'!$B529,[1]Mapping!$D:$D,[1]Mapping!$A:$A,0,0)</f>
        <v>Ashoj 79</v>
      </c>
      <c r="G529" s="20">
        <f>_xlfn.XLOOKUP('01. Main'!$B529,[1]Mapping!D$2:D$24,[1]Mapping!E$2:E$24,0,0)</f>
        <v>2022</v>
      </c>
    </row>
    <row r="530" spans="1:7" x14ac:dyDescent="0.45">
      <c r="A530" s="13">
        <f>'[1]02. Matrix'!A539</f>
        <v>529</v>
      </c>
      <c r="B530" s="14">
        <f>'[1]02. Matrix'!B539</f>
        <v>14</v>
      </c>
      <c r="C530" s="14" t="str">
        <f>'[1]02. Matrix'!C539</f>
        <v>TOURISM SECTOR LOAN</v>
      </c>
      <c r="D530" s="14">
        <f>'[1]02. Matrix'!D539</f>
        <v>1</v>
      </c>
      <c r="E530" s="15">
        <f>'[1]02. Matrix'!E539</f>
        <v>0</v>
      </c>
      <c r="F530" s="14" t="str">
        <f>_xlfn.XLOOKUP('01. Main'!$B530,[1]Mapping!$D:$D,[1]Mapping!$A:$A,0,0)</f>
        <v>Ashoj 79</v>
      </c>
      <c r="G530" s="16">
        <f>_xlfn.XLOOKUP('01. Main'!$B530,[1]Mapping!D$2:D$24,[1]Mapping!E$2:E$24,0,0)</f>
        <v>2022</v>
      </c>
    </row>
    <row r="531" spans="1:7" x14ac:dyDescent="0.45">
      <c r="A531" s="17">
        <f>'[1]02. Matrix'!A540</f>
        <v>530</v>
      </c>
      <c r="B531" s="18">
        <f>'[1]02. Matrix'!B540</f>
        <v>14</v>
      </c>
      <c r="C531" s="18" t="str">
        <f>'[1]02. Matrix'!C540</f>
        <v>SME LOAN</v>
      </c>
      <c r="D531" s="18">
        <f>'[1]02. Matrix'!D540</f>
        <v>1</v>
      </c>
      <c r="E531" s="19">
        <f>'[1]02. Matrix'!E540</f>
        <v>0</v>
      </c>
      <c r="F531" s="18" t="str">
        <f>_xlfn.XLOOKUP('01. Main'!$B531,[1]Mapping!$D:$D,[1]Mapping!$A:$A,0,0)</f>
        <v>Ashoj 79</v>
      </c>
      <c r="G531" s="20">
        <f>_xlfn.XLOOKUP('01. Main'!$B531,[1]Mapping!D$2:D$24,[1]Mapping!E$2:E$24,0,0)</f>
        <v>2022</v>
      </c>
    </row>
    <row r="532" spans="1:7" x14ac:dyDescent="0.45">
      <c r="A532" s="13">
        <f>'[1]02. Matrix'!A541</f>
        <v>531</v>
      </c>
      <c r="B532" s="14">
        <f>'[1]02. Matrix'!B541</f>
        <v>14</v>
      </c>
      <c r="C532" s="14" t="str">
        <f>'[1]02. Matrix'!C541</f>
        <v>EDUCATIONAL LOAN EMI</v>
      </c>
      <c r="D532" s="14">
        <f>'[1]02. Matrix'!D541</f>
        <v>1</v>
      </c>
      <c r="E532" s="15">
        <f>'[1]02. Matrix'!E541</f>
        <v>0</v>
      </c>
      <c r="F532" s="14" t="str">
        <f>_xlfn.XLOOKUP('01. Main'!$B532,[1]Mapping!$D:$D,[1]Mapping!$A:$A,0,0)</f>
        <v>Ashoj 79</v>
      </c>
      <c r="G532" s="16">
        <f>_xlfn.XLOOKUP('01. Main'!$B532,[1]Mapping!D$2:D$24,[1]Mapping!E$2:E$24,0,0)</f>
        <v>2022</v>
      </c>
    </row>
    <row r="533" spans="1:7" x14ac:dyDescent="0.45">
      <c r="A533" s="17">
        <f>'[1]02. Matrix'!A542</f>
        <v>532</v>
      </c>
      <c r="B533" s="18">
        <f>'[1]02. Matrix'!B542</f>
        <v>14</v>
      </c>
      <c r="C533" s="18" t="str">
        <f>'[1]02. Matrix'!C542</f>
        <v>OVERDRAFT PROFESSION</v>
      </c>
      <c r="D533" s="18">
        <f>'[1]02. Matrix'!D542</f>
        <v>1</v>
      </c>
      <c r="E533" s="19">
        <f>'[1]02. Matrix'!E542</f>
        <v>0</v>
      </c>
      <c r="F533" s="18" t="str">
        <f>_xlfn.XLOOKUP('01. Main'!$B533,[1]Mapping!$D:$D,[1]Mapping!$A:$A,0,0)</f>
        <v>Ashoj 79</v>
      </c>
      <c r="G533" s="20">
        <f>_xlfn.XLOOKUP('01. Main'!$B533,[1]Mapping!D$2:D$24,[1]Mapping!E$2:E$24,0,0)</f>
        <v>2022</v>
      </c>
    </row>
    <row r="534" spans="1:7" x14ac:dyDescent="0.45">
      <c r="A534" s="13">
        <f>'[1]02. Matrix'!A543</f>
        <v>533</v>
      </c>
      <c r="B534" s="14">
        <f>'[1]02. Matrix'!B543</f>
        <v>14</v>
      </c>
      <c r="C534" s="14" t="str">
        <f>'[1]02. Matrix'!C543</f>
        <v>OD PERSONAL LOAN</v>
      </c>
      <c r="D534" s="14">
        <f>'[1]02. Matrix'!D543</f>
        <v>2</v>
      </c>
      <c r="E534" s="15">
        <f>'[1]02. Matrix'!E543</f>
        <v>0</v>
      </c>
      <c r="F534" s="14" t="str">
        <f>_xlfn.XLOOKUP('01. Main'!$B534,[1]Mapping!$D:$D,[1]Mapping!$A:$A,0,0)</f>
        <v>Ashoj 79</v>
      </c>
      <c r="G534" s="16">
        <f>_xlfn.XLOOKUP('01. Main'!$B534,[1]Mapping!D$2:D$24,[1]Mapping!E$2:E$24,0,0)</f>
        <v>2022</v>
      </c>
    </row>
    <row r="535" spans="1:7" x14ac:dyDescent="0.45">
      <c r="A535" s="17">
        <f>'[1]02. Matrix'!A544</f>
        <v>534</v>
      </c>
      <c r="B535" s="18">
        <f>'[1]02. Matrix'!B544</f>
        <v>14</v>
      </c>
      <c r="C535" s="18" t="str">
        <f>'[1]02. Matrix'!C544</f>
        <v>OD BUSINESS LOAN</v>
      </c>
      <c r="D535" s="18">
        <f>'[1]02. Matrix'!D544</f>
        <v>2</v>
      </c>
      <c r="E535" s="19">
        <f>'[1]02. Matrix'!E544</f>
        <v>0</v>
      </c>
      <c r="F535" s="18" t="str">
        <f>_xlfn.XLOOKUP('01. Main'!$B535,[1]Mapping!$D:$D,[1]Mapping!$A:$A,0,0)</f>
        <v>Ashoj 79</v>
      </c>
      <c r="G535" s="20">
        <f>_xlfn.XLOOKUP('01. Main'!$B535,[1]Mapping!D$2:D$24,[1]Mapping!E$2:E$24,0,0)</f>
        <v>2022</v>
      </c>
    </row>
    <row r="536" spans="1:7" x14ac:dyDescent="0.45">
      <c r="A536" s="13">
        <f>'[1]02. Matrix'!A545</f>
        <v>535</v>
      </c>
      <c r="B536" s="14">
        <f>'[1]02. Matrix'!B545</f>
        <v>14</v>
      </c>
      <c r="C536" s="14" t="str">
        <f>'[1]02. Matrix'!C545</f>
        <v>OD STAFF LOAN</v>
      </c>
      <c r="D536" s="14">
        <f>'[1]02. Matrix'!D545</f>
        <v>2</v>
      </c>
      <c r="E536" s="15">
        <f>'[1]02. Matrix'!E545</f>
        <v>0</v>
      </c>
      <c r="F536" s="14" t="str">
        <f>_xlfn.XLOOKUP('01. Main'!$B536,[1]Mapping!$D:$D,[1]Mapping!$A:$A,0,0)</f>
        <v>Ashoj 79</v>
      </c>
      <c r="G536" s="16">
        <f>_xlfn.XLOOKUP('01. Main'!$B536,[1]Mapping!D$2:D$24,[1]Mapping!E$2:E$24,0,0)</f>
        <v>2022</v>
      </c>
    </row>
    <row r="537" spans="1:7" x14ac:dyDescent="0.45">
      <c r="A537" s="17">
        <f>'[1]02. Matrix'!A546</f>
        <v>536</v>
      </c>
      <c r="B537" s="18">
        <f>'[1]02. Matrix'!B546</f>
        <v>14</v>
      </c>
      <c r="C537" s="18" t="str">
        <f>'[1]02. Matrix'!C546</f>
        <v>TERM LOAN</v>
      </c>
      <c r="D537" s="18">
        <f>'[1]02. Matrix'!D546</f>
        <v>2</v>
      </c>
      <c r="E537" s="19">
        <f>'[1]02. Matrix'!E546</f>
        <v>0.36297445939466771</v>
      </c>
      <c r="F537" s="18" t="str">
        <f>_xlfn.XLOOKUP('01. Main'!$B537,[1]Mapping!$D:$D,[1]Mapping!$A:$A,0,0)</f>
        <v>Ashoj 79</v>
      </c>
      <c r="G537" s="20">
        <f>_xlfn.XLOOKUP('01. Main'!$B537,[1]Mapping!D$2:D$24,[1]Mapping!E$2:E$24,0,0)</f>
        <v>2022</v>
      </c>
    </row>
    <row r="538" spans="1:7" x14ac:dyDescent="0.45">
      <c r="A538" s="13">
        <f>'[1]02. Matrix'!A547</f>
        <v>537</v>
      </c>
      <c r="B538" s="14">
        <f>'[1]02. Matrix'!B547</f>
        <v>14</v>
      </c>
      <c r="C538" s="14" t="str">
        <f>'[1]02. Matrix'!C547</f>
        <v>WC TRADING/IND LOAN</v>
      </c>
      <c r="D538" s="14">
        <f>'[1]02. Matrix'!D547</f>
        <v>2</v>
      </c>
      <c r="E538" s="15">
        <f>'[1]02. Matrix'!E547</f>
        <v>0.21538869018984633</v>
      </c>
      <c r="F538" s="14" t="str">
        <f>_xlfn.XLOOKUP('01. Main'!$B538,[1]Mapping!$D:$D,[1]Mapping!$A:$A,0,0)</f>
        <v>Ashoj 79</v>
      </c>
      <c r="G538" s="16">
        <f>_xlfn.XLOOKUP('01. Main'!$B538,[1]Mapping!D$2:D$24,[1]Mapping!E$2:E$24,0,0)</f>
        <v>2022</v>
      </c>
    </row>
    <row r="539" spans="1:7" x14ac:dyDescent="0.45">
      <c r="A539" s="17">
        <f>'[1]02. Matrix'!A548</f>
        <v>538</v>
      </c>
      <c r="B539" s="18">
        <f>'[1]02. Matrix'!B548</f>
        <v>14</v>
      </c>
      <c r="C539" s="18" t="str">
        <f>'[1]02. Matrix'!C548</f>
        <v>HOUSING LOAN</v>
      </c>
      <c r="D539" s="18">
        <f>'[1]02. Matrix'!D548</f>
        <v>2</v>
      </c>
      <c r="E539" s="19">
        <f>'[1]02. Matrix'!E548</f>
        <v>0.38989197017707589</v>
      </c>
      <c r="F539" s="18" t="str">
        <f>_xlfn.XLOOKUP('01. Main'!$B539,[1]Mapping!$D:$D,[1]Mapping!$A:$A,0,0)</f>
        <v>Ashoj 79</v>
      </c>
      <c r="G539" s="20">
        <f>_xlfn.XLOOKUP('01. Main'!$B539,[1]Mapping!D$2:D$24,[1]Mapping!E$2:E$24,0,0)</f>
        <v>2022</v>
      </c>
    </row>
    <row r="540" spans="1:7" x14ac:dyDescent="0.45">
      <c r="A540" s="13">
        <f>'[1]02. Matrix'!A549</f>
        <v>539</v>
      </c>
      <c r="B540" s="14">
        <f>'[1]02. Matrix'!B549</f>
        <v>14</v>
      </c>
      <c r="C540" s="14" t="str">
        <f>'[1]02. Matrix'!C549</f>
        <v>RESI REAL EST LOAN</v>
      </c>
      <c r="D540" s="14">
        <f>'[1]02. Matrix'!D549</f>
        <v>2</v>
      </c>
      <c r="E540" s="15">
        <f>'[1]02. Matrix'!E549</f>
        <v>2.5468979702669162E-2</v>
      </c>
      <c r="F540" s="14" t="str">
        <f>_xlfn.XLOOKUP('01. Main'!$B540,[1]Mapping!$D:$D,[1]Mapping!$A:$A,0,0)</f>
        <v>Ashoj 79</v>
      </c>
      <c r="G540" s="16">
        <f>_xlfn.XLOOKUP('01. Main'!$B540,[1]Mapping!D$2:D$24,[1]Mapping!E$2:E$24,0,0)</f>
        <v>2022</v>
      </c>
    </row>
    <row r="541" spans="1:7" x14ac:dyDescent="0.45">
      <c r="A541" s="17">
        <f>'[1]02. Matrix'!A550</f>
        <v>540</v>
      </c>
      <c r="B541" s="18">
        <f>'[1]02. Matrix'!B550</f>
        <v>14</v>
      </c>
      <c r="C541" s="18" t="str">
        <f>'[1]02. Matrix'!C550</f>
        <v>MARGIN NATURE LOAN</v>
      </c>
      <c r="D541" s="18">
        <f>'[1]02. Matrix'!D550</f>
        <v>2</v>
      </c>
      <c r="E541" s="19">
        <f>'[1]02. Matrix'!E550</f>
        <v>0</v>
      </c>
      <c r="F541" s="18" t="str">
        <f>_xlfn.XLOOKUP('01. Main'!$B541,[1]Mapping!$D:$D,[1]Mapping!$A:$A,0,0)</f>
        <v>Ashoj 79</v>
      </c>
      <c r="G541" s="20">
        <f>_xlfn.XLOOKUP('01. Main'!$B541,[1]Mapping!D$2:D$24,[1]Mapping!E$2:E$24,0,0)</f>
        <v>2022</v>
      </c>
    </row>
    <row r="542" spans="1:7" x14ac:dyDescent="0.45">
      <c r="A542" s="13">
        <f>'[1]02. Matrix'!A551</f>
        <v>541</v>
      </c>
      <c r="B542" s="14">
        <f>'[1]02. Matrix'!B551</f>
        <v>14</v>
      </c>
      <c r="C542" s="14" t="str">
        <f>'[1]02. Matrix'!C551</f>
        <v>HIRE PURCHASE LOAN</v>
      </c>
      <c r="D542" s="14">
        <f>'[1]02. Matrix'!D551</f>
        <v>2</v>
      </c>
      <c r="E542" s="15">
        <f>'[1]02. Matrix'!E551</f>
        <v>0.66383940214447257</v>
      </c>
      <c r="F542" s="14" t="str">
        <f>_xlfn.XLOOKUP('01. Main'!$B542,[1]Mapping!$D:$D,[1]Mapping!$A:$A,0,0)</f>
        <v>Ashoj 79</v>
      </c>
      <c r="G542" s="16">
        <f>_xlfn.XLOOKUP('01. Main'!$B542,[1]Mapping!D$2:D$24,[1]Mapping!E$2:E$24,0,0)</f>
        <v>2022</v>
      </c>
    </row>
    <row r="543" spans="1:7" x14ac:dyDescent="0.45">
      <c r="A543" s="17">
        <f>'[1]02. Matrix'!A552</f>
        <v>542</v>
      </c>
      <c r="B543" s="18">
        <f>'[1]02. Matrix'!B552</f>
        <v>14</v>
      </c>
      <c r="C543" s="18" t="str">
        <f>'[1]02. Matrix'!C552</f>
        <v>DEPRIVED SECTOR LOAN</v>
      </c>
      <c r="D543" s="18">
        <f>'[1]02. Matrix'!D552</f>
        <v>2</v>
      </c>
      <c r="E543" s="19">
        <f>'[1]02. Matrix'!E552</f>
        <v>0.11835973113586012</v>
      </c>
      <c r="F543" s="18" t="str">
        <f>_xlfn.XLOOKUP('01. Main'!$B543,[1]Mapping!$D:$D,[1]Mapping!$A:$A,0,0)</f>
        <v>Ashoj 79</v>
      </c>
      <c r="G543" s="20">
        <f>_xlfn.XLOOKUP('01. Main'!$B543,[1]Mapping!D$2:D$24,[1]Mapping!E$2:E$24,0,0)</f>
        <v>2022</v>
      </c>
    </row>
    <row r="544" spans="1:7" x14ac:dyDescent="0.45">
      <c r="A544" s="13">
        <f>'[1]02. Matrix'!A553</f>
        <v>543</v>
      </c>
      <c r="B544" s="14">
        <f>'[1]02. Matrix'!B553</f>
        <v>14</v>
      </c>
      <c r="C544" s="14" t="str">
        <f>'[1]02. Matrix'!C553</f>
        <v>EDUCATIONAL LOAN</v>
      </c>
      <c r="D544" s="14">
        <f>'[1]02. Matrix'!D553</f>
        <v>2</v>
      </c>
      <c r="E544" s="15">
        <f>'[1]02. Matrix'!E553</f>
        <v>0.11462825396681414</v>
      </c>
      <c r="F544" s="14" t="str">
        <f>_xlfn.XLOOKUP('01. Main'!$B544,[1]Mapping!$D:$D,[1]Mapping!$A:$A,0,0)</f>
        <v>Ashoj 79</v>
      </c>
      <c r="G544" s="16">
        <f>_xlfn.XLOOKUP('01. Main'!$B544,[1]Mapping!D$2:D$24,[1]Mapping!E$2:E$24,0,0)</f>
        <v>2022</v>
      </c>
    </row>
    <row r="545" spans="1:7" x14ac:dyDescent="0.45">
      <c r="A545" s="17">
        <f>'[1]02. Matrix'!A554</f>
        <v>544</v>
      </c>
      <c r="B545" s="18">
        <f>'[1]02. Matrix'!B554</f>
        <v>14</v>
      </c>
      <c r="C545" s="18" t="str">
        <f>'[1]02. Matrix'!C554</f>
        <v>AGRICULTURE LOAN</v>
      </c>
      <c r="D545" s="18">
        <f>'[1]02. Matrix'!D554</f>
        <v>2</v>
      </c>
      <c r="E545" s="19">
        <f>'[1]02. Matrix'!E554</f>
        <v>0.24411049792967154</v>
      </c>
      <c r="F545" s="18" t="str">
        <f>_xlfn.XLOOKUP('01. Main'!$B545,[1]Mapping!$D:$D,[1]Mapping!$A:$A,0,0)</f>
        <v>Ashoj 79</v>
      </c>
      <c r="G545" s="20">
        <f>_xlfn.XLOOKUP('01. Main'!$B545,[1]Mapping!D$2:D$24,[1]Mapping!E$2:E$24,0,0)</f>
        <v>2022</v>
      </c>
    </row>
    <row r="546" spans="1:7" x14ac:dyDescent="0.45">
      <c r="A546" s="13">
        <f>'[1]02. Matrix'!A555</f>
        <v>545</v>
      </c>
      <c r="B546" s="14">
        <f>'[1]02. Matrix'!B555</f>
        <v>14</v>
      </c>
      <c r="C546" s="14" t="str">
        <f>'[1]02. Matrix'!C555</f>
        <v>RESI PER.HOME-EMI</v>
      </c>
      <c r="D546" s="14">
        <f>'[1]02. Matrix'!D555</f>
        <v>2</v>
      </c>
      <c r="E546" s="15">
        <f>'[1]02. Matrix'!E555</f>
        <v>0.72686074209428031</v>
      </c>
      <c r="F546" s="14" t="str">
        <f>_xlfn.XLOOKUP('01. Main'!$B546,[1]Mapping!$D:$D,[1]Mapping!$A:$A,0,0)</f>
        <v>Ashoj 79</v>
      </c>
      <c r="G546" s="16">
        <f>_xlfn.XLOOKUP('01. Main'!$B546,[1]Mapping!D$2:D$24,[1]Mapping!E$2:E$24,0,0)</f>
        <v>2022</v>
      </c>
    </row>
    <row r="547" spans="1:7" x14ac:dyDescent="0.45">
      <c r="A547" s="17">
        <f>'[1]02. Matrix'!A556</f>
        <v>546</v>
      </c>
      <c r="B547" s="18">
        <f>'[1]02. Matrix'!B556</f>
        <v>14</v>
      </c>
      <c r="C547" s="18" t="str">
        <f>'[1]02. Matrix'!C556</f>
        <v>TERM LOAN - BUSINESS</v>
      </c>
      <c r="D547" s="18">
        <f>'[1]02. Matrix'!D556</f>
        <v>2</v>
      </c>
      <c r="E547" s="19">
        <f>'[1]02. Matrix'!E556</f>
        <v>0</v>
      </c>
      <c r="F547" s="18" t="str">
        <f>_xlfn.XLOOKUP('01. Main'!$B547,[1]Mapping!$D:$D,[1]Mapping!$A:$A,0,0)</f>
        <v>Ashoj 79</v>
      </c>
      <c r="G547" s="20">
        <f>_xlfn.XLOOKUP('01. Main'!$B547,[1]Mapping!D$2:D$24,[1]Mapping!E$2:E$24,0,0)</f>
        <v>2022</v>
      </c>
    </row>
    <row r="548" spans="1:7" x14ac:dyDescent="0.45">
      <c r="A548" s="13">
        <f>'[1]02. Matrix'!A557</f>
        <v>547</v>
      </c>
      <c r="B548" s="14">
        <f>'[1]02. Matrix'!B557</f>
        <v>14</v>
      </c>
      <c r="C548" s="14" t="str">
        <f>'[1]02. Matrix'!C557</f>
        <v>CONS FIN BUSN TRM LO</v>
      </c>
      <c r="D548" s="14">
        <f>'[1]02. Matrix'!D557</f>
        <v>2</v>
      </c>
      <c r="E548" s="15">
        <f>'[1]02. Matrix'!E557</f>
        <v>0</v>
      </c>
      <c r="F548" s="14" t="str">
        <f>_xlfn.XLOOKUP('01. Main'!$B548,[1]Mapping!$D:$D,[1]Mapping!$A:$A,0,0)</f>
        <v>Ashoj 79</v>
      </c>
      <c r="G548" s="16">
        <f>_xlfn.XLOOKUP('01. Main'!$B548,[1]Mapping!D$2:D$24,[1]Mapping!E$2:E$24,0,0)</f>
        <v>2022</v>
      </c>
    </row>
    <row r="549" spans="1:7" x14ac:dyDescent="0.45">
      <c r="A549" s="17">
        <f>'[1]02. Matrix'!A558</f>
        <v>548</v>
      </c>
      <c r="B549" s="18">
        <f>'[1]02. Matrix'!B558</f>
        <v>14</v>
      </c>
      <c r="C549" s="18" t="str">
        <f>'[1]02. Matrix'!C558</f>
        <v>BIS/PERHIRE PURCHASE</v>
      </c>
      <c r="D549" s="18">
        <f>'[1]02. Matrix'!D558</f>
        <v>2</v>
      </c>
      <c r="E549" s="19">
        <f>'[1]02. Matrix'!E558</f>
        <v>0.36191516053357575</v>
      </c>
      <c r="F549" s="18" t="str">
        <f>_xlfn.XLOOKUP('01. Main'!$B549,[1]Mapping!$D:$D,[1]Mapping!$A:$A,0,0)</f>
        <v>Ashoj 79</v>
      </c>
      <c r="G549" s="20">
        <f>_xlfn.XLOOKUP('01. Main'!$B549,[1]Mapping!D$2:D$24,[1]Mapping!E$2:E$24,0,0)</f>
        <v>2022</v>
      </c>
    </row>
    <row r="550" spans="1:7" x14ac:dyDescent="0.45">
      <c r="A550" s="13">
        <f>'[1]02. Matrix'!A559</f>
        <v>549</v>
      </c>
      <c r="B550" s="14">
        <f>'[1]02. Matrix'!B559</f>
        <v>14</v>
      </c>
      <c r="C550" s="14" t="str">
        <f>'[1]02. Matrix'!C559</f>
        <v xml:space="preserve">INT CAP TERM LOAN </v>
      </c>
      <c r="D550" s="14">
        <f>'[1]02. Matrix'!D559</f>
        <v>2</v>
      </c>
      <c r="E550" s="15">
        <f>'[1]02. Matrix'!E559</f>
        <v>0</v>
      </c>
      <c r="F550" s="14" t="str">
        <f>_xlfn.XLOOKUP('01. Main'!$B550,[1]Mapping!$D:$D,[1]Mapping!$A:$A,0,0)</f>
        <v>Ashoj 79</v>
      </c>
      <c r="G550" s="16">
        <f>_xlfn.XLOOKUP('01. Main'!$B550,[1]Mapping!D$2:D$24,[1]Mapping!E$2:E$24,0,0)</f>
        <v>2022</v>
      </c>
    </row>
    <row r="551" spans="1:7" x14ac:dyDescent="0.45">
      <c r="A551" s="17">
        <f>'[1]02. Matrix'!A560</f>
        <v>550</v>
      </c>
      <c r="B551" s="18">
        <f>'[1]02. Matrix'!B560</f>
        <v>14</v>
      </c>
      <c r="C551" s="18" t="str">
        <f>'[1]02. Matrix'!C560</f>
        <v>PERSONAL LOAN</v>
      </c>
      <c r="D551" s="18">
        <f>'[1]02. Matrix'!D560</f>
        <v>2</v>
      </c>
      <c r="E551" s="19">
        <f>'[1]02. Matrix'!E560</f>
        <v>0.21812764804578569</v>
      </c>
      <c r="F551" s="18" t="str">
        <f>_xlfn.XLOOKUP('01. Main'!$B551,[1]Mapping!$D:$D,[1]Mapping!$A:$A,0,0)</f>
        <v>Ashoj 79</v>
      </c>
      <c r="G551" s="20">
        <f>_xlfn.XLOOKUP('01. Main'!$B551,[1]Mapping!D$2:D$24,[1]Mapping!E$2:E$24,0,0)</f>
        <v>2022</v>
      </c>
    </row>
    <row r="552" spans="1:7" x14ac:dyDescent="0.45">
      <c r="A552" s="13">
        <f>'[1]02. Matrix'!A561</f>
        <v>551</v>
      </c>
      <c r="B552" s="14">
        <f>'[1]02. Matrix'!B561</f>
        <v>14</v>
      </c>
      <c r="C552" s="14" t="str">
        <f>'[1]02. Matrix'!C561</f>
        <v>MORTGAGE LOAN</v>
      </c>
      <c r="D552" s="14">
        <f>'[1]02. Matrix'!D561</f>
        <v>2</v>
      </c>
      <c r="E552" s="15">
        <f>'[1]02. Matrix'!E561</f>
        <v>5.9269883464250675E-2</v>
      </c>
      <c r="F552" s="14" t="str">
        <f>_xlfn.XLOOKUP('01. Main'!$B552,[1]Mapping!$D:$D,[1]Mapping!$A:$A,0,0)</f>
        <v>Ashoj 79</v>
      </c>
      <c r="G552" s="16">
        <f>_xlfn.XLOOKUP('01. Main'!$B552,[1]Mapping!D$2:D$24,[1]Mapping!E$2:E$24,0,0)</f>
        <v>2022</v>
      </c>
    </row>
    <row r="553" spans="1:7" x14ac:dyDescent="0.45">
      <c r="A553" s="17">
        <f>'[1]02. Matrix'!A562</f>
        <v>552</v>
      </c>
      <c r="B553" s="18">
        <f>'[1]02. Matrix'!B562</f>
        <v>14</v>
      </c>
      <c r="C553" s="18" t="str">
        <f>'[1]02. Matrix'!C562</f>
        <v>LOAN AGAINST FDR</v>
      </c>
      <c r="D553" s="18">
        <f>'[1]02. Matrix'!D562</f>
        <v>2</v>
      </c>
      <c r="E553" s="19">
        <f>'[1]02. Matrix'!E562</f>
        <v>0</v>
      </c>
      <c r="F553" s="18" t="str">
        <f>_xlfn.XLOOKUP('01. Main'!$B553,[1]Mapping!$D:$D,[1]Mapping!$A:$A,0,0)</f>
        <v>Ashoj 79</v>
      </c>
      <c r="G553" s="20">
        <f>_xlfn.XLOOKUP('01. Main'!$B553,[1]Mapping!D$2:D$24,[1]Mapping!E$2:E$24,0,0)</f>
        <v>2022</v>
      </c>
    </row>
    <row r="554" spans="1:7" x14ac:dyDescent="0.45">
      <c r="A554" s="13">
        <f>'[1]02. Matrix'!A563</f>
        <v>553</v>
      </c>
      <c r="B554" s="14">
        <f>'[1]02. Matrix'!B563</f>
        <v>14</v>
      </c>
      <c r="C554" s="14" t="str">
        <f>'[1]02. Matrix'!C563</f>
        <v>RECEIVABLE LOAN</v>
      </c>
      <c r="D554" s="14">
        <f>'[1]02. Matrix'!D563</f>
        <v>2</v>
      </c>
      <c r="E554" s="15">
        <f>'[1]02. Matrix'!E563</f>
        <v>0</v>
      </c>
      <c r="F554" s="14" t="str">
        <f>_xlfn.XLOOKUP('01. Main'!$B554,[1]Mapping!$D:$D,[1]Mapping!$A:$A,0,0)</f>
        <v>Ashoj 79</v>
      </c>
      <c r="G554" s="16">
        <f>_xlfn.XLOOKUP('01. Main'!$B554,[1]Mapping!D$2:D$24,[1]Mapping!E$2:E$24,0,0)</f>
        <v>2022</v>
      </c>
    </row>
    <row r="555" spans="1:7" x14ac:dyDescent="0.45">
      <c r="A555" s="17">
        <f>'[1]02. Matrix'!A564</f>
        <v>554</v>
      </c>
      <c r="B555" s="18">
        <f>'[1]02. Matrix'!B564</f>
        <v>14</v>
      </c>
      <c r="C555" s="18" t="str">
        <f>'[1]02. Matrix'!C564</f>
        <v>STAFF LOAN</v>
      </c>
      <c r="D555" s="18">
        <f>'[1]02. Matrix'!D564</f>
        <v>2</v>
      </c>
      <c r="E555" s="19">
        <f>'[1]02. Matrix'!E564</f>
        <v>0</v>
      </c>
      <c r="F555" s="18" t="str">
        <f>_xlfn.XLOOKUP('01. Main'!$B555,[1]Mapping!$D:$D,[1]Mapping!$A:$A,0,0)</f>
        <v>Ashoj 79</v>
      </c>
      <c r="G555" s="20">
        <f>_xlfn.XLOOKUP('01. Main'!$B555,[1]Mapping!D$2:D$24,[1]Mapping!E$2:E$24,0,0)</f>
        <v>2022</v>
      </c>
    </row>
    <row r="556" spans="1:7" x14ac:dyDescent="0.45">
      <c r="A556" s="13">
        <f>'[1]02. Matrix'!A565</f>
        <v>555</v>
      </c>
      <c r="B556" s="14">
        <f>'[1]02. Matrix'!B565</f>
        <v>14</v>
      </c>
      <c r="C556" s="14" t="str">
        <f>'[1]02. Matrix'!C565</f>
        <v>AGRICULTURAL LOAN</v>
      </c>
      <c r="D556" s="14">
        <f>'[1]02. Matrix'!D565</f>
        <v>2</v>
      </c>
      <c r="E556" s="15">
        <f>'[1]02. Matrix'!E565</f>
        <v>0</v>
      </c>
      <c r="F556" s="14" t="str">
        <f>_xlfn.XLOOKUP('01. Main'!$B556,[1]Mapping!$D:$D,[1]Mapping!$A:$A,0,0)</f>
        <v>Ashoj 79</v>
      </c>
      <c r="G556" s="16">
        <f>_xlfn.XLOOKUP('01. Main'!$B556,[1]Mapping!D$2:D$24,[1]Mapping!E$2:E$24,0,0)</f>
        <v>2022</v>
      </c>
    </row>
    <row r="557" spans="1:7" x14ac:dyDescent="0.45">
      <c r="A557" s="17">
        <f>'[1]02. Matrix'!A566</f>
        <v>556</v>
      </c>
      <c r="B557" s="18">
        <f>'[1]02. Matrix'!B566</f>
        <v>14</v>
      </c>
      <c r="C557" s="18" t="str">
        <f>'[1]02. Matrix'!C566</f>
        <v>EARTHQUAKE RELIEF LO</v>
      </c>
      <c r="D557" s="18">
        <f>'[1]02. Matrix'!D566</f>
        <v>2</v>
      </c>
      <c r="E557" s="19">
        <f>'[1]02. Matrix'!E566</f>
        <v>0</v>
      </c>
      <c r="F557" s="18" t="str">
        <f>_xlfn.XLOOKUP('01. Main'!$B557,[1]Mapping!$D:$D,[1]Mapping!$A:$A,0,0)</f>
        <v>Ashoj 79</v>
      </c>
      <c r="G557" s="20">
        <f>_xlfn.XLOOKUP('01. Main'!$B557,[1]Mapping!D$2:D$24,[1]Mapping!E$2:E$24,0,0)</f>
        <v>2022</v>
      </c>
    </row>
    <row r="558" spans="1:7" x14ac:dyDescent="0.45">
      <c r="A558" s="13">
        <f>'[1]02. Matrix'!A567</f>
        <v>557</v>
      </c>
      <c r="B558" s="14">
        <f>'[1]02. Matrix'!B567</f>
        <v>14</v>
      </c>
      <c r="C558" s="14" t="str">
        <f>'[1]02. Matrix'!C567</f>
        <v>TOURISM SECTOR LOAN</v>
      </c>
      <c r="D558" s="14">
        <f>'[1]02. Matrix'!D567</f>
        <v>2</v>
      </c>
      <c r="E558" s="15">
        <f>'[1]02. Matrix'!E567</f>
        <v>0</v>
      </c>
      <c r="F558" s="14" t="str">
        <f>_xlfn.XLOOKUP('01. Main'!$B558,[1]Mapping!$D:$D,[1]Mapping!$A:$A,0,0)</f>
        <v>Ashoj 79</v>
      </c>
      <c r="G558" s="16">
        <f>_xlfn.XLOOKUP('01. Main'!$B558,[1]Mapping!D$2:D$24,[1]Mapping!E$2:E$24,0,0)</f>
        <v>2022</v>
      </c>
    </row>
    <row r="559" spans="1:7" x14ac:dyDescent="0.45">
      <c r="A559" s="17">
        <f>'[1]02. Matrix'!A568</f>
        <v>558</v>
      </c>
      <c r="B559" s="18">
        <f>'[1]02. Matrix'!B568</f>
        <v>14</v>
      </c>
      <c r="C559" s="18" t="str">
        <f>'[1]02. Matrix'!C568</f>
        <v>SME LOAN</v>
      </c>
      <c r="D559" s="18">
        <f>'[1]02. Matrix'!D568</f>
        <v>2</v>
      </c>
      <c r="E559" s="19">
        <f>'[1]02. Matrix'!E568</f>
        <v>0</v>
      </c>
      <c r="F559" s="18" t="str">
        <f>_xlfn.XLOOKUP('01. Main'!$B559,[1]Mapping!$D:$D,[1]Mapping!$A:$A,0,0)</f>
        <v>Ashoj 79</v>
      </c>
      <c r="G559" s="20">
        <f>_xlfn.XLOOKUP('01. Main'!$B559,[1]Mapping!D$2:D$24,[1]Mapping!E$2:E$24,0,0)</f>
        <v>2022</v>
      </c>
    </row>
    <row r="560" spans="1:7" x14ac:dyDescent="0.45">
      <c r="A560" s="13">
        <f>'[1]02. Matrix'!A569</f>
        <v>559</v>
      </c>
      <c r="B560" s="14">
        <f>'[1]02. Matrix'!B569</f>
        <v>14</v>
      </c>
      <c r="C560" s="14" t="str">
        <f>'[1]02. Matrix'!C569</f>
        <v>EDUCATIONAL LOAN EMI</v>
      </c>
      <c r="D560" s="14">
        <f>'[1]02. Matrix'!D569</f>
        <v>2</v>
      </c>
      <c r="E560" s="15">
        <f>'[1]02. Matrix'!E569</f>
        <v>0</v>
      </c>
      <c r="F560" s="14" t="str">
        <f>_xlfn.XLOOKUP('01. Main'!$B560,[1]Mapping!$D:$D,[1]Mapping!$A:$A,0,0)</f>
        <v>Ashoj 79</v>
      </c>
      <c r="G560" s="16">
        <f>_xlfn.XLOOKUP('01. Main'!$B560,[1]Mapping!D$2:D$24,[1]Mapping!E$2:E$24,0,0)</f>
        <v>2022</v>
      </c>
    </row>
    <row r="561" spans="1:7" x14ac:dyDescent="0.45">
      <c r="A561" s="17">
        <f>'[1]02. Matrix'!A570</f>
        <v>560</v>
      </c>
      <c r="B561" s="18">
        <f>'[1]02. Matrix'!B570</f>
        <v>14</v>
      </c>
      <c r="C561" s="18" t="str">
        <f>'[1]02. Matrix'!C570</f>
        <v>OVERDRAFT PROFESSION</v>
      </c>
      <c r="D561" s="18">
        <f>'[1]02. Matrix'!D570</f>
        <v>2</v>
      </c>
      <c r="E561" s="19">
        <f>'[1]02. Matrix'!E570</f>
        <v>0</v>
      </c>
      <c r="F561" s="18" t="str">
        <f>_xlfn.XLOOKUP('01. Main'!$B561,[1]Mapping!$D:$D,[1]Mapping!$A:$A,0,0)</f>
        <v>Ashoj 79</v>
      </c>
      <c r="G561" s="20">
        <f>_xlfn.XLOOKUP('01. Main'!$B561,[1]Mapping!D$2:D$24,[1]Mapping!E$2:E$24,0,0)</f>
        <v>2022</v>
      </c>
    </row>
    <row r="562" spans="1:7" x14ac:dyDescent="0.45">
      <c r="A562" s="13">
        <f>'[1]02. Matrix'!A571</f>
        <v>561</v>
      </c>
      <c r="B562" s="14">
        <f>'[1]02. Matrix'!B571</f>
        <v>13</v>
      </c>
      <c r="C562" s="14" t="str">
        <f>'[1]02. Matrix'!C571</f>
        <v>OD PERSONAL LOAN</v>
      </c>
      <c r="D562" s="14">
        <f>'[1]02. Matrix'!D571</f>
        <v>1</v>
      </c>
      <c r="E562" s="15">
        <f>'[1]02. Matrix'!E571</f>
        <v>0</v>
      </c>
      <c r="F562" s="14" t="str">
        <f>_xlfn.XLOOKUP('01. Main'!$B562,[1]Mapping!$D:$D,[1]Mapping!$A:$A,0,0)</f>
        <v>Asadh 79</v>
      </c>
      <c r="G562" s="16">
        <f>_xlfn.XLOOKUP('01. Main'!$B562,[1]Mapping!D$2:D$24,[1]Mapping!E$2:E$24,0,0)</f>
        <v>2022</v>
      </c>
    </row>
    <row r="563" spans="1:7" x14ac:dyDescent="0.45">
      <c r="A563" s="17">
        <f>'[1]02. Matrix'!A572</f>
        <v>562</v>
      </c>
      <c r="B563" s="18">
        <f>'[1]02. Matrix'!B572</f>
        <v>13</v>
      </c>
      <c r="C563" s="18" t="str">
        <f>'[1]02. Matrix'!C572</f>
        <v>OD BUSINESS LOAN</v>
      </c>
      <c r="D563" s="18">
        <f>'[1]02. Matrix'!D572</f>
        <v>1</v>
      </c>
      <c r="E563" s="19">
        <f>'[1]02. Matrix'!E572</f>
        <v>0</v>
      </c>
      <c r="F563" s="18" t="str">
        <f>_xlfn.XLOOKUP('01. Main'!$B563,[1]Mapping!$D:$D,[1]Mapping!$A:$A,0,0)</f>
        <v>Asadh 79</v>
      </c>
      <c r="G563" s="20">
        <f>_xlfn.XLOOKUP('01. Main'!$B563,[1]Mapping!D$2:D$24,[1]Mapping!E$2:E$24,0,0)</f>
        <v>2022</v>
      </c>
    </row>
    <row r="564" spans="1:7" x14ac:dyDescent="0.45">
      <c r="A564" s="13">
        <f>'[1]02. Matrix'!A573</f>
        <v>563</v>
      </c>
      <c r="B564" s="14">
        <f>'[1]02. Matrix'!B573</f>
        <v>13</v>
      </c>
      <c r="C564" s="14" t="str">
        <f>'[1]02. Matrix'!C573</f>
        <v>OD STAFF LOAN</v>
      </c>
      <c r="D564" s="14">
        <f>'[1]02. Matrix'!D573</f>
        <v>1</v>
      </c>
      <c r="E564" s="15">
        <f>'[1]02. Matrix'!E573</f>
        <v>0</v>
      </c>
      <c r="F564" s="14" t="str">
        <f>_xlfn.XLOOKUP('01. Main'!$B564,[1]Mapping!$D:$D,[1]Mapping!$A:$A,0,0)</f>
        <v>Asadh 79</v>
      </c>
      <c r="G564" s="16">
        <f>_xlfn.XLOOKUP('01. Main'!$B564,[1]Mapping!D$2:D$24,[1]Mapping!E$2:E$24,0,0)</f>
        <v>2022</v>
      </c>
    </row>
    <row r="565" spans="1:7" x14ac:dyDescent="0.45">
      <c r="A565" s="17">
        <f>'[1]02. Matrix'!A574</f>
        <v>564</v>
      </c>
      <c r="B565" s="18">
        <f>'[1]02. Matrix'!B574</f>
        <v>13</v>
      </c>
      <c r="C565" s="18" t="str">
        <f>'[1]02. Matrix'!C574</f>
        <v>TERM LOAN</v>
      </c>
      <c r="D565" s="18">
        <f>'[1]02. Matrix'!D574</f>
        <v>1</v>
      </c>
      <c r="E565" s="19">
        <f>'[1]02. Matrix'!E574</f>
        <v>0</v>
      </c>
      <c r="F565" s="18" t="str">
        <f>_xlfn.XLOOKUP('01. Main'!$B565,[1]Mapping!$D:$D,[1]Mapping!$A:$A,0,0)</f>
        <v>Asadh 79</v>
      </c>
      <c r="G565" s="20">
        <f>_xlfn.XLOOKUP('01. Main'!$B565,[1]Mapping!D$2:D$24,[1]Mapping!E$2:E$24,0,0)</f>
        <v>2022</v>
      </c>
    </row>
    <row r="566" spans="1:7" x14ac:dyDescent="0.45">
      <c r="A566" s="13">
        <f>'[1]02. Matrix'!A575</f>
        <v>565</v>
      </c>
      <c r="B566" s="14">
        <f>'[1]02. Matrix'!B575</f>
        <v>13</v>
      </c>
      <c r="C566" s="14" t="str">
        <f>'[1]02. Matrix'!C575</f>
        <v>WC TRADING/IND LOAN</v>
      </c>
      <c r="D566" s="14">
        <f>'[1]02. Matrix'!D575</f>
        <v>1</v>
      </c>
      <c r="E566" s="15">
        <f>'[1]02. Matrix'!E575</f>
        <v>0</v>
      </c>
      <c r="F566" s="14" t="str">
        <f>_xlfn.XLOOKUP('01. Main'!$B566,[1]Mapping!$D:$D,[1]Mapping!$A:$A,0,0)</f>
        <v>Asadh 79</v>
      </c>
      <c r="G566" s="16">
        <f>_xlfn.XLOOKUP('01. Main'!$B566,[1]Mapping!D$2:D$24,[1]Mapping!E$2:E$24,0,0)</f>
        <v>2022</v>
      </c>
    </row>
    <row r="567" spans="1:7" x14ac:dyDescent="0.45">
      <c r="A567" s="17">
        <f>'[1]02. Matrix'!A576</f>
        <v>566</v>
      </c>
      <c r="B567" s="18">
        <f>'[1]02. Matrix'!B576</f>
        <v>13</v>
      </c>
      <c r="C567" s="18" t="str">
        <f>'[1]02. Matrix'!C576</f>
        <v>HOUSING LOAN</v>
      </c>
      <c r="D567" s="18">
        <f>'[1]02. Matrix'!D576</f>
        <v>1</v>
      </c>
      <c r="E567" s="19">
        <f>'[1]02. Matrix'!E576</f>
        <v>0</v>
      </c>
      <c r="F567" s="18" t="str">
        <f>_xlfn.XLOOKUP('01. Main'!$B567,[1]Mapping!$D:$D,[1]Mapping!$A:$A,0,0)</f>
        <v>Asadh 79</v>
      </c>
      <c r="G567" s="20">
        <f>_xlfn.XLOOKUP('01. Main'!$B567,[1]Mapping!D$2:D$24,[1]Mapping!E$2:E$24,0,0)</f>
        <v>2022</v>
      </c>
    </row>
    <row r="568" spans="1:7" x14ac:dyDescent="0.45">
      <c r="A568" s="13">
        <f>'[1]02. Matrix'!A577</f>
        <v>567</v>
      </c>
      <c r="B568" s="14">
        <f>'[1]02. Matrix'!B577</f>
        <v>13</v>
      </c>
      <c r="C568" s="14" t="str">
        <f>'[1]02. Matrix'!C577</f>
        <v>RESI REAL EST LOAN</v>
      </c>
      <c r="D568" s="14">
        <f>'[1]02. Matrix'!D577</f>
        <v>1</v>
      </c>
      <c r="E568" s="15">
        <f>'[1]02. Matrix'!E577</f>
        <v>0</v>
      </c>
      <c r="F568" s="14" t="str">
        <f>_xlfn.XLOOKUP('01. Main'!$B568,[1]Mapping!$D:$D,[1]Mapping!$A:$A,0,0)</f>
        <v>Asadh 79</v>
      </c>
      <c r="G568" s="16">
        <f>_xlfn.XLOOKUP('01. Main'!$B568,[1]Mapping!D$2:D$24,[1]Mapping!E$2:E$24,0,0)</f>
        <v>2022</v>
      </c>
    </row>
    <row r="569" spans="1:7" x14ac:dyDescent="0.45">
      <c r="A569" s="17">
        <f>'[1]02. Matrix'!A578</f>
        <v>568</v>
      </c>
      <c r="B569" s="18">
        <f>'[1]02. Matrix'!B578</f>
        <v>13</v>
      </c>
      <c r="C569" s="18" t="str">
        <f>'[1]02. Matrix'!C578</f>
        <v>MARGIN NATURE LOAN</v>
      </c>
      <c r="D569" s="18">
        <f>'[1]02. Matrix'!D578</f>
        <v>1</v>
      </c>
      <c r="E569" s="19">
        <f>'[1]02. Matrix'!E578</f>
        <v>0</v>
      </c>
      <c r="F569" s="18" t="str">
        <f>_xlfn.XLOOKUP('01. Main'!$B569,[1]Mapping!$D:$D,[1]Mapping!$A:$A,0,0)</f>
        <v>Asadh 79</v>
      </c>
      <c r="G569" s="20">
        <f>_xlfn.XLOOKUP('01. Main'!$B569,[1]Mapping!D$2:D$24,[1]Mapping!E$2:E$24,0,0)</f>
        <v>2022</v>
      </c>
    </row>
    <row r="570" spans="1:7" x14ac:dyDescent="0.45">
      <c r="A570" s="13">
        <f>'[1]02. Matrix'!A579</f>
        <v>569</v>
      </c>
      <c r="B570" s="14">
        <f>'[1]02. Matrix'!B579</f>
        <v>13</v>
      </c>
      <c r="C570" s="14" t="str">
        <f>'[1]02. Matrix'!C579</f>
        <v>HIRE PURCHASE LOAN</v>
      </c>
      <c r="D570" s="14">
        <f>'[1]02. Matrix'!D579</f>
        <v>1</v>
      </c>
      <c r="E570" s="15">
        <f>'[1]02. Matrix'!E579</f>
        <v>0</v>
      </c>
      <c r="F570" s="14" t="str">
        <f>_xlfn.XLOOKUP('01. Main'!$B570,[1]Mapping!$D:$D,[1]Mapping!$A:$A,0,0)</f>
        <v>Asadh 79</v>
      </c>
      <c r="G570" s="16">
        <f>_xlfn.XLOOKUP('01. Main'!$B570,[1]Mapping!D$2:D$24,[1]Mapping!E$2:E$24,0,0)</f>
        <v>2022</v>
      </c>
    </row>
    <row r="571" spans="1:7" x14ac:dyDescent="0.45">
      <c r="A571" s="17">
        <f>'[1]02. Matrix'!A580</f>
        <v>570</v>
      </c>
      <c r="B571" s="18">
        <f>'[1]02. Matrix'!B580</f>
        <v>13</v>
      </c>
      <c r="C571" s="18" t="str">
        <f>'[1]02. Matrix'!C580</f>
        <v>DEPRIVED SECTOR LOAN</v>
      </c>
      <c r="D571" s="18">
        <f>'[1]02. Matrix'!D580</f>
        <v>1</v>
      </c>
      <c r="E571" s="19">
        <f>'[1]02. Matrix'!E580</f>
        <v>0</v>
      </c>
      <c r="F571" s="18" t="str">
        <f>_xlfn.XLOOKUP('01. Main'!$B571,[1]Mapping!$D:$D,[1]Mapping!$A:$A,0,0)</f>
        <v>Asadh 79</v>
      </c>
      <c r="G571" s="20">
        <f>_xlfn.XLOOKUP('01. Main'!$B571,[1]Mapping!D$2:D$24,[1]Mapping!E$2:E$24,0,0)</f>
        <v>2022</v>
      </c>
    </row>
    <row r="572" spans="1:7" x14ac:dyDescent="0.45">
      <c r="A572" s="13">
        <f>'[1]02. Matrix'!A581</f>
        <v>571</v>
      </c>
      <c r="B572" s="14">
        <f>'[1]02. Matrix'!B581</f>
        <v>13</v>
      </c>
      <c r="C572" s="14" t="str">
        <f>'[1]02. Matrix'!C581</f>
        <v>EDUCATIONAL LOAN</v>
      </c>
      <c r="D572" s="14">
        <f>'[1]02. Matrix'!D581</f>
        <v>1</v>
      </c>
      <c r="E572" s="15">
        <f>'[1]02. Matrix'!E581</f>
        <v>0</v>
      </c>
      <c r="F572" s="14" t="str">
        <f>_xlfn.XLOOKUP('01. Main'!$B572,[1]Mapping!$D:$D,[1]Mapping!$A:$A,0,0)</f>
        <v>Asadh 79</v>
      </c>
      <c r="G572" s="16">
        <f>_xlfn.XLOOKUP('01. Main'!$B572,[1]Mapping!D$2:D$24,[1]Mapping!E$2:E$24,0,0)</f>
        <v>2022</v>
      </c>
    </row>
    <row r="573" spans="1:7" x14ac:dyDescent="0.45">
      <c r="A573" s="17">
        <f>'[1]02. Matrix'!A582</f>
        <v>572</v>
      </c>
      <c r="B573" s="18">
        <f>'[1]02. Matrix'!B582</f>
        <v>13</v>
      </c>
      <c r="C573" s="18" t="str">
        <f>'[1]02. Matrix'!C582</f>
        <v>AGRICULTURE LOAN</v>
      </c>
      <c r="D573" s="18">
        <f>'[1]02. Matrix'!D582</f>
        <v>1</v>
      </c>
      <c r="E573" s="19">
        <f>'[1]02. Matrix'!E582</f>
        <v>0</v>
      </c>
      <c r="F573" s="18" t="str">
        <f>_xlfn.XLOOKUP('01. Main'!$B573,[1]Mapping!$D:$D,[1]Mapping!$A:$A,0,0)</f>
        <v>Asadh 79</v>
      </c>
      <c r="G573" s="20">
        <f>_xlfn.XLOOKUP('01. Main'!$B573,[1]Mapping!D$2:D$24,[1]Mapping!E$2:E$24,0,0)</f>
        <v>2022</v>
      </c>
    </row>
    <row r="574" spans="1:7" x14ac:dyDescent="0.45">
      <c r="A574" s="13">
        <f>'[1]02. Matrix'!A583</f>
        <v>573</v>
      </c>
      <c r="B574" s="14">
        <f>'[1]02. Matrix'!B583</f>
        <v>13</v>
      </c>
      <c r="C574" s="14" t="str">
        <f>'[1]02. Matrix'!C583</f>
        <v>RESI PER.HOME-EMI</v>
      </c>
      <c r="D574" s="14">
        <f>'[1]02. Matrix'!D583</f>
        <v>1</v>
      </c>
      <c r="E574" s="15">
        <f>'[1]02. Matrix'!E583</f>
        <v>0</v>
      </c>
      <c r="F574" s="14" t="str">
        <f>_xlfn.XLOOKUP('01. Main'!$B574,[1]Mapping!$D:$D,[1]Mapping!$A:$A,0,0)</f>
        <v>Asadh 79</v>
      </c>
      <c r="G574" s="16">
        <f>_xlfn.XLOOKUP('01. Main'!$B574,[1]Mapping!D$2:D$24,[1]Mapping!E$2:E$24,0,0)</f>
        <v>2022</v>
      </c>
    </row>
    <row r="575" spans="1:7" x14ac:dyDescent="0.45">
      <c r="A575" s="17">
        <f>'[1]02. Matrix'!A584</f>
        <v>574</v>
      </c>
      <c r="B575" s="18">
        <f>'[1]02. Matrix'!B584</f>
        <v>13</v>
      </c>
      <c r="C575" s="18" t="str">
        <f>'[1]02. Matrix'!C584</f>
        <v>TERM LOAN - BUSINESS</v>
      </c>
      <c r="D575" s="18">
        <f>'[1]02. Matrix'!D584</f>
        <v>1</v>
      </c>
      <c r="E575" s="19">
        <f>'[1]02. Matrix'!E584</f>
        <v>0</v>
      </c>
      <c r="F575" s="18" t="str">
        <f>_xlfn.XLOOKUP('01. Main'!$B575,[1]Mapping!$D:$D,[1]Mapping!$A:$A,0,0)</f>
        <v>Asadh 79</v>
      </c>
      <c r="G575" s="20">
        <f>_xlfn.XLOOKUP('01. Main'!$B575,[1]Mapping!D$2:D$24,[1]Mapping!E$2:E$24,0,0)</f>
        <v>2022</v>
      </c>
    </row>
    <row r="576" spans="1:7" x14ac:dyDescent="0.45">
      <c r="A576" s="13">
        <f>'[1]02. Matrix'!A585</f>
        <v>575</v>
      </c>
      <c r="B576" s="14">
        <f>'[1]02. Matrix'!B585</f>
        <v>13</v>
      </c>
      <c r="C576" s="14" t="str">
        <f>'[1]02. Matrix'!C585</f>
        <v>CONS FIN BUSN TRM LO</v>
      </c>
      <c r="D576" s="14">
        <f>'[1]02. Matrix'!D585</f>
        <v>1</v>
      </c>
      <c r="E576" s="15">
        <f>'[1]02. Matrix'!E585</f>
        <v>0</v>
      </c>
      <c r="F576" s="14" t="str">
        <f>_xlfn.XLOOKUP('01. Main'!$B576,[1]Mapping!$D:$D,[1]Mapping!$A:$A,0,0)</f>
        <v>Asadh 79</v>
      </c>
      <c r="G576" s="16">
        <f>_xlfn.XLOOKUP('01. Main'!$B576,[1]Mapping!D$2:D$24,[1]Mapping!E$2:E$24,0,0)</f>
        <v>2022</v>
      </c>
    </row>
    <row r="577" spans="1:7" x14ac:dyDescent="0.45">
      <c r="A577" s="17">
        <f>'[1]02. Matrix'!A586</f>
        <v>576</v>
      </c>
      <c r="B577" s="18">
        <f>'[1]02. Matrix'!B586</f>
        <v>13</v>
      </c>
      <c r="C577" s="18" t="str">
        <f>'[1]02. Matrix'!C586</f>
        <v>BIS/PERHIRE PURCHASE</v>
      </c>
      <c r="D577" s="18">
        <f>'[1]02. Matrix'!D586</f>
        <v>1</v>
      </c>
      <c r="E577" s="19">
        <f>'[1]02. Matrix'!E586</f>
        <v>0</v>
      </c>
      <c r="F577" s="18" t="str">
        <f>_xlfn.XLOOKUP('01. Main'!$B577,[1]Mapping!$D:$D,[1]Mapping!$A:$A,0,0)</f>
        <v>Asadh 79</v>
      </c>
      <c r="G577" s="20">
        <f>_xlfn.XLOOKUP('01. Main'!$B577,[1]Mapping!D$2:D$24,[1]Mapping!E$2:E$24,0,0)</f>
        <v>2022</v>
      </c>
    </row>
    <row r="578" spans="1:7" x14ac:dyDescent="0.45">
      <c r="A578" s="13">
        <f>'[1]02. Matrix'!A587</f>
        <v>577</v>
      </c>
      <c r="B578" s="14">
        <f>'[1]02. Matrix'!B587</f>
        <v>13</v>
      </c>
      <c r="C578" s="14" t="str">
        <f>'[1]02. Matrix'!C587</f>
        <v xml:space="preserve">INT CAP TERM LOAN </v>
      </c>
      <c r="D578" s="14">
        <f>'[1]02. Matrix'!D587</f>
        <v>1</v>
      </c>
      <c r="E578" s="15">
        <f>'[1]02. Matrix'!E587</f>
        <v>0</v>
      </c>
      <c r="F578" s="14" t="str">
        <f>_xlfn.XLOOKUP('01. Main'!$B578,[1]Mapping!$D:$D,[1]Mapping!$A:$A,0,0)</f>
        <v>Asadh 79</v>
      </c>
      <c r="G578" s="16">
        <f>_xlfn.XLOOKUP('01. Main'!$B578,[1]Mapping!D$2:D$24,[1]Mapping!E$2:E$24,0,0)</f>
        <v>2022</v>
      </c>
    </row>
    <row r="579" spans="1:7" x14ac:dyDescent="0.45">
      <c r="A579" s="17">
        <f>'[1]02. Matrix'!A588</f>
        <v>578</v>
      </c>
      <c r="B579" s="18">
        <f>'[1]02. Matrix'!B588</f>
        <v>13</v>
      </c>
      <c r="C579" s="18" t="str">
        <f>'[1]02. Matrix'!C588</f>
        <v>PERSONAL LOAN</v>
      </c>
      <c r="D579" s="18">
        <f>'[1]02. Matrix'!D588</f>
        <v>1</v>
      </c>
      <c r="E579" s="19">
        <f>'[1]02. Matrix'!E588</f>
        <v>0</v>
      </c>
      <c r="F579" s="18" t="str">
        <f>_xlfn.XLOOKUP('01. Main'!$B579,[1]Mapping!$D:$D,[1]Mapping!$A:$A,0,0)</f>
        <v>Asadh 79</v>
      </c>
      <c r="G579" s="20">
        <f>_xlfn.XLOOKUP('01. Main'!$B579,[1]Mapping!D$2:D$24,[1]Mapping!E$2:E$24,0,0)</f>
        <v>2022</v>
      </c>
    </row>
    <row r="580" spans="1:7" x14ac:dyDescent="0.45">
      <c r="A580" s="13">
        <f>'[1]02. Matrix'!A589</f>
        <v>579</v>
      </c>
      <c r="B580" s="14">
        <f>'[1]02. Matrix'!B589</f>
        <v>13</v>
      </c>
      <c r="C580" s="14" t="str">
        <f>'[1]02. Matrix'!C589</f>
        <v>MORTGAGE LOAN</v>
      </c>
      <c r="D580" s="14">
        <f>'[1]02. Matrix'!D589</f>
        <v>1</v>
      </c>
      <c r="E580" s="15">
        <f>'[1]02. Matrix'!E589</f>
        <v>0</v>
      </c>
      <c r="F580" s="14" t="str">
        <f>_xlfn.XLOOKUP('01. Main'!$B580,[1]Mapping!$D:$D,[1]Mapping!$A:$A,0,0)</f>
        <v>Asadh 79</v>
      </c>
      <c r="G580" s="16">
        <f>_xlfn.XLOOKUP('01. Main'!$B580,[1]Mapping!D$2:D$24,[1]Mapping!E$2:E$24,0,0)</f>
        <v>2022</v>
      </c>
    </row>
    <row r="581" spans="1:7" x14ac:dyDescent="0.45">
      <c r="A581" s="17">
        <f>'[1]02. Matrix'!A590</f>
        <v>580</v>
      </c>
      <c r="B581" s="18">
        <f>'[1]02. Matrix'!B590</f>
        <v>13</v>
      </c>
      <c r="C581" s="18" t="str">
        <f>'[1]02. Matrix'!C590</f>
        <v>LOAN AGAINST FDR</v>
      </c>
      <c r="D581" s="18">
        <f>'[1]02. Matrix'!D590</f>
        <v>1</v>
      </c>
      <c r="E581" s="19">
        <f>'[1]02. Matrix'!E590</f>
        <v>0</v>
      </c>
      <c r="F581" s="18" t="str">
        <f>_xlfn.XLOOKUP('01. Main'!$B581,[1]Mapping!$D:$D,[1]Mapping!$A:$A,0,0)</f>
        <v>Asadh 79</v>
      </c>
      <c r="G581" s="20">
        <f>_xlfn.XLOOKUP('01. Main'!$B581,[1]Mapping!D$2:D$24,[1]Mapping!E$2:E$24,0,0)</f>
        <v>2022</v>
      </c>
    </row>
    <row r="582" spans="1:7" x14ac:dyDescent="0.45">
      <c r="A582" s="13">
        <f>'[1]02. Matrix'!A591</f>
        <v>581</v>
      </c>
      <c r="B582" s="14">
        <f>'[1]02. Matrix'!B591</f>
        <v>13</v>
      </c>
      <c r="C582" s="14" t="str">
        <f>'[1]02. Matrix'!C591</f>
        <v>RECEIVABLE LOAN</v>
      </c>
      <c r="D582" s="14">
        <f>'[1]02. Matrix'!D591</f>
        <v>1</v>
      </c>
      <c r="E582" s="15">
        <f>'[1]02. Matrix'!E591</f>
        <v>0</v>
      </c>
      <c r="F582" s="14" t="str">
        <f>_xlfn.XLOOKUP('01. Main'!$B582,[1]Mapping!$D:$D,[1]Mapping!$A:$A,0,0)</f>
        <v>Asadh 79</v>
      </c>
      <c r="G582" s="16">
        <f>_xlfn.XLOOKUP('01. Main'!$B582,[1]Mapping!D$2:D$24,[1]Mapping!E$2:E$24,0,0)</f>
        <v>2022</v>
      </c>
    </row>
    <row r="583" spans="1:7" x14ac:dyDescent="0.45">
      <c r="A583" s="17">
        <f>'[1]02. Matrix'!A592</f>
        <v>582</v>
      </c>
      <c r="B583" s="18">
        <f>'[1]02. Matrix'!B592</f>
        <v>13</v>
      </c>
      <c r="C583" s="18" t="str">
        <f>'[1]02. Matrix'!C592</f>
        <v>STAFF LOAN</v>
      </c>
      <c r="D583" s="18">
        <f>'[1]02. Matrix'!D592</f>
        <v>1</v>
      </c>
      <c r="E583" s="19">
        <f>'[1]02. Matrix'!E592</f>
        <v>0</v>
      </c>
      <c r="F583" s="18" t="str">
        <f>_xlfn.XLOOKUP('01. Main'!$B583,[1]Mapping!$D:$D,[1]Mapping!$A:$A,0,0)</f>
        <v>Asadh 79</v>
      </c>
      <c r="G583" s="20">
        <f>_xlfn.XLOOKUP('01. Main'!$B583,[1]Mapping!D$2:D$24,[1]Mapping!E$2:E$24,0,0)</f>
        <v>2022</v>
      </c>
    </row>
    <row r="584" spans="1:7" x14ac:dyDescent="0.45">
      <c r="A584" s="13">
        <f>'[1]02. Matrix'!A593</f>
        <v>583</v>
      </c>
      <c r="B584" s="14">
        <f>'[1]02. Matrix'!B593</f>
        <v>13</v>
      </c>
      <c r="C584" s="14" t="str">
        <f>'[1]02. Matrix'!C593</f>
        <v>AGRICULTURAL LOAN</v>
      </c>
      <c r="D584" s="14">
        <f>'[1]02. Matrix'!D593</f>
        <v>1</v>
      </c>
      <c r="E584" s="15">
        <f>'[1]02. Matrix'!E593</f>
        <v>0</v>
      </c>
      <c r="F584" s="14" t="str">
        <f>_xlfn.XLOOKUP('01. Main'!$B584,[1]Mapping!$D:$D,[1]Mapping!$A:$A,0,0)</f>
        <v>Asadh 79</v>
      </c>
      <c r="G584" s="16">
        <f>_xlfn.XLOOKUP('01. Main'!$B584,[1]Mapping!D$2:D$24,[1]Mapping!E$2:E$24,0,0)</f>
        <v>2022</v>
      </c>
    </row>
    <row r="585" spans="1:7" x14ac:dyDescent="0.45">
      <c r="A585" s="17">
        <f>'[1]02. Matrix'!A594</f>
        <v>584</v>
      </c>
      <c r="B585" s="18">
        <f>'[1]02. Matrix'!B594</f>
        <v>13</v>
      </c>
      <c r="C585" s="18" t="str">
        <f>'[1]02. Matrix'!C594</f>
        <v>EARTHQUAKE RELIEF LO</v>
      </c>
      <c r="D585" s="18">
        <f>'[1]02. Matrix'!D594</f>
        <v>1</v>
      </c>
      <c r="E585" s="19">
        <f>'[1]02. Matrix'!E594</f>
        <v>0</v>
      </c>
      <c r="F585" s="18" t="str">
        <f>_xlfn.XLOOKUP('01. Main'!$B585,[1]Mapping!$D:$D,[1]Mapping!$A:$A,0,0)</f>
        <v>Asadh 79</v>
      </c>
      <c r="G585" s="20">
        <f>_xlfn.XLOOKUP('01. Main'!$B585,[1]Mapping!D$2:D$24,[1]Mapping!E$2:E$24,0,0)</f>
        <v>2022</v>
      </c>
    </row>
    <row r="586" spans="1:7" x14ac:dyDescent="0.45">
      <c r="A586" s="13">
        <f>'[1]02. Matrix'!A595</f>
        <v>585</v>
      </c>
      <c r="B586" s="14">
        <f>'[1]02. Matrix'!B595</f>
        <v>13</v>
      </c>
      <c r="C586" s="14" t="str">
        <f>'[1]02. Matrix'!C595</f>
        <v>TOURISM SECTOR LOAN</v>
      </c>
      <c r="D586" s="14">
        <f>'[1]02. Matrix'!D595</f>
        <v>1</v>
      </c>
      <c r="E586" s="15">
        <f>'[1]02. Matrix'!E595</f>
        <v>0</v>
      </c>
      <c r="F586" s="14" t="str">
        <f>_xlfn.XLOOKUP('01. Main'!$B586,[1]Mapping!$D:$D,[1]Mapping!$A:$A,0,0)</f>
        <v>Asadh 79</v>
      </c>
      <c r="G586" s="16">
        <f>_xlfn.XLOOKUP('01. Main'!$B586,[1]Mapping!D$2:D$24,[1]Mapping!E$2:E$24,0,0)</f>
        <v>2022</v>
      </c>
    </row>
    <row r="587" spans="1:7" x14ac:dyDescent="0.45">
      <c r="A587" s="17">
        <f>'[1]02. Matrix'!A596</f>
        <v>586</v>
      </c>
      <c r="B587" s="18">
        <f>'[1]02. Matrix'!B596</f>
        <v>13</v>
      </c>
      <c r="C587" s="18" t="str">
        <f>'[1]02. Matrix'!C596</f>
        <v>SME LOAN</v>
      </c>
      <c r="D587" s="18">
        <f>'[1]02. Matrix'!D596</f>
        <v>1</v>
      </c>
      <c r="E587" s="19">
        <f>'[1]02. Matrix'!E596</f>
        <v>0</v>
      </c>
      <c r="F587" s="18" t="str">
        <f>_xlfn.XLOOKUP('01. Main'!$B587,[1]Mapping!$D:$D,[1]Mapping!$A:$A,0,0)</f>
        <v>Asadh 79</v>
      </c>
      <c r="G587" s="20">
        <f>_xlfn.XLOOKUP('01. Main'!$B587,[1]Mapping!D$2:D$24,[1]Mapping!E$2:E$24,0,0)</f>
        <v>2022</v>
      </c>
    </row>
    <row r="588" spans="1:7" x14ac:dyDescent="0.45">
      <c r="A588" s="13">
        <f>'[1]02. Matrix'!A597</f>
        <v>587</v>
      </c>
      <c r="B588" s="14">
        <f>'[1]02. Matrix'!B597</f>
        <v>13</v>
      </c>
      <c r="C588" s="14" t="str">
        <f>'[1]02. Matrix'!C597</f>
        <v>EDUCATIONAL LOAN EMI</v>
      </c>
      <c r="D588" s="14">
        <f>'[1]02. Matrix'!D597</f>
        <v>1</v>
      </c>
      <c r="E588" s="15">
        <f>'[1]02. Matrix'!E597</f>
        <v>0</v>
      </c>
      <c r="F588" s="14" t="str">
        <f>_xlfn.XLOOKUP('01. Main'!$B588,[1]Mapping!$D:$D,[1]Mapping!$A:$A,0,0)</f>
        <v>Asadh 79</v>
      </c>
      <c r="G588" s="16">
        <f>_xlfn.XLOOKUP('01. Main'!$B588,[1]Mapping!D$2:D$24,[1]Mapping!E$2:E$24,0,0)</f>
        <v>2022</v>
      </c>
    </row>
    <row r="589" spans="1:7" x14ac:dyDescent="0.45">
      <c r="A589" s="17">
        <f>'[1]02. Matrix'!A598</f>
        <v>588</v>
      </c>
      <c r="B589" s="18">
        <f>'[1]02. Matrix'!B598</f>
        <v>13</v>
      </c>
      <c r="C589" s="18" t="str">
        <f>'[1]02. Matrix'!C598</f>
        <v>OVERDRAFT PROFESSION</v>
      </c>
      <c r="D589" s="18">
        <f>'[1]02. Matrix'!D598</f>
        <v>1</v>
      </c>
      <c r="E589" s="19">
        <f>'[1]02. Matrix'!E598</f>
        <v>0</v>
      </c>
      <c r="F589" s="18" t="str">
        <f>_xlfn.XLOOKUP('01. Main'!$B589,[1]Mapping!$D:$D,[1]Mapping!$A:$A,0,0)</f>
        <v>Asadh 79</v>
      </c>
      <c r="G589" s="20">
        <f>_xlfn.XLOOKUP('01. Main'!$B589,[1]Mapping!D$2:D$24,[1]Mapping!E$2:E$24,0,0)</f>
        <v>2022</v>
      </c>
    </row>
    <row r="590" spans="1:7" x14ac:dyDescent="0.45">
      <c r="A590" s="13">
        <f>'[1]02. Matrix'!A599</f>
        <v>589</v>
      </c>
      <c r="B590" s="14">
        <f>'[1]02. Matrix'!B599</f>
        <v>13</v>
      </c>
      <c r="C590" s="14" t="str">
        <f>'[1]02. Matrix'!C599</f>
        <v>OD PERSONAL LOAN</v>
      </c>
      <c r="D590" s="14">
        <f>'[1]02. Matrix'!D599</f>
        <v>2</v>
      </c>
      <c r="E590" s="15">
        <f>'[1]02. Matrix'!E599</f>
        <v>0</v>
      </c>
      <c r="F590" s="14" t="str">
        <f>_xlfn.XLOOKUP('01. Main'!$B590,[1]Mapping!$D:$D,[1]Mapping!$A:$A,0,0)</f>
        <v>Asadh 79</v>
      </c>
      <c r="G590" s="16">
        <f>_xlfn.XLOOKUP('01. Main'!$B590,[1]Mapping!D$2:D$24,[1]Mapping!E$2:E$24,0,0)</f>
        <v>2022</v>
      </c>
    </row>
    <row r="591" spans="1:7" x14ac:dyDescent="0.45">
      <c r="A591" s="17">
        <f>'[1]02. Matrix'!A600</f>
        <v>590</v>
      </c>
      <c r="B591" s="18">
        <f>'[1]02. Matrix'!B600</f>
        <v>13</v>
      </c>
      <c r="C591" s="18" t="str">
        <f>'[1]02. Matrix'!C600</f>
        <v>OD BUSINESS LOAN</v>
      </c>
      <c r="D591" s="18">
        <f>'[1]02. Matrix'!D600</f>
        <v>2</v>
      </c>
      <c r="E591" s="19">
        <f>'[1]02. Matrix'!E600</f>
        <v>0</v>
      </c>
      <c r="F591" s="18" t="str">
        <f>_xlfn.XLOOKUP('01. Main'!$B591,[1]Mapping!$D:$D,[1]Mapping!$A:$A,0,0)</f>
        <v>Asadh 79</v>
      </c>
      <c r="G591" s="20">
        <f>_xlfn.XLOOKUP('01. Main'!$B591,[1]Mapping!D$2:D$24,[1]Mapping!E$2:E$24,0,0)</f>
        <v>2022</v>
      </c>
    </row>
    <row r="592" spans="1:7" x14ac:dyDescent="0.45">
      <c r="A592" s="13">
        <f>'[1]02. Matrix'!A601</f>
        <v>591</v>
      </c>
      <c r="B592" s="14">
        <f>'[1]02. Matrix'!B601</f>
        <v>13</v>
      </c>
      <c r="C592" s="14" t="str">
        <f>'[1]02. Matrix'!C601</f>
        <v>OD STAFF LOAN</v>
      </c>
      <c r="D592" s="14">
        <f>'[1]02. Matrix'!D601</f>
        <v>2</v>
      </c>
      <c r="E592" s="15">
        <f>'[1]02. Matrix'!E601</f>
        <v>0</v>
      </c>
      <c r="F592" s="14" t="str">
        <f>_xlfn.XLOOKUP('01. Main'!$B592,[1]Mapping!$D:$D,[1]Mapping!$A:$A,0,0)</f>
        <v>Asadh 79</v>
      </c>
      <c r="G592" s="16">
        <f>_xlfn.XLOOKUP('01. Main'!$B592,[1]Mapping!D$2:D$24,[1]Mapping!E$2:E$24,0,0)</f>
        <v>2022</v>
      </c>
    </row>
    <row r="593" spans="1:7" x14ac:dyDescent="0.45">
      <c r="A593" s="17">
        <f>'[1]02. Matrix'!A602</f>
        <v>592</v>
      </c>
      <c r="B593" s="18">
        <f>'[1]02. Matrix'!B602</f>
        <v>13</v>
      </c>
      <c r="C593" s="18" t="str">
        <f>'[1]02. Matrix'!C602</f>
        <v>TERM LOAN</v>
      </c>
      <c r="D593" s="18">
        <f>'[1]02. Matrix'!D602</f>
        <v>2</v>
      </c>
      <c r="E593" s="19">
        <f>'[1]02. Matrix'!E602</f>
        <v>0</v>
      </c>
      <c r="F593" s="18" t="str">
        <f>_xlfn.XLOOKUP('01. Main'!$B593,[1]Mapping!$D:$D,[1]Mapping!$A:$A,0,0)</f>
        <v>Asadh 79</v>
      </c>
      <c r="G593" s="20">
        <f>_xlfn.XLOOKUP('01. Main'!$B593,[1]Mapping!D$2:D$24,[1]Mapping!E$2:E$24,0,0)</f>
        <v>2022</v>
      </c>
    </row>
    <row r="594" spans="1:7" x14ac:dyDescent="0.45">
      <c r="A594" s="13">
        <f>'[1]02. Matrix'!A603</f>
        <v>593</v>
      </c>
      <c r="B594" s="14">
        <f>'[1]02. Matrix'!B603</f>
        <v>13</v>
      </c>
      <c r="C594" s="14" t="str">
        <f>'[1]02. Matrix'!C603</f>
        <v>WC TRADING/IND LOAN</v>
      </c>
      <c r="D594" s="14">
        <f>'[1]02. Matrix'!D603</f>
        <v>2</v>
      </c>
      <c r="E594" s="15">
        <f>'[1]02. Matrix'!E603</f>
        <v>0</v>
      </c>
      <c r="F594" s="14" t="str">
        <f>_xlfn.XLOOKUP('01. Main'!$B594,[1]Mapping!$D:$D,[1]Mapping!$A:$A,0,0)</f>
        <v>Asadh 79</v>
      </c>
      <c r="G594" s="16">
        <f>_xlfn.XLOOKUP('01. Main'!$B594,[1]Mapping!D$2:D$24,[1]Mapping!E$2:E$24,0,0)</f>
        <v>2022</v>
      </c>
    </row>
    <row r="595" spans="1:7" x14ac:dyDescent="0.45">
      <c r="A595" s="17">
        <f>'[1]02. Matrix'!A604</f>
        <v>594</v>
      </c>
      <c r="B595" s="18">
        <f>'[1]02. Matrix'!B604</f>
        <v>13</v>
      </c>
      <c r="C595" s="18" t="str">
        <f>'[1]02. Matrix'!C604</f>
        <v>HOUSING LOAN</v>
      </c>
      <c r="D595" s="18">
        <f>'[1]02. Matrix'!D604</f>
        <v>2</v>
      </c>
      <c r="E595" s="19">
        <f>'[1]02. Matrix'!E604</f>
        <v>0</v>
      </c>
      <c r="F595" s="18" t="str">
        <f>_xlfn.XLOOKUP('01. Main'!$B595,[1]Mapping!$D:$D,[1]Mapping!$A:$A,0,0)</f>
        <v>Asadh 79</v>
      </c>
      <c r="G595" s="20">
        <f>_xlfn.XLOOKUP('01. Main'!$B595,[1]Mapping!D$2:D$24,[1]Mapping!E$2:E$24,0,0)</f>
        <v>2022</v>
      </c>
    </row>
    <row r="596" spans="1:7" x14ac:dyDescent="0.45">
      <c r="A596" s="13">
        <f>'[1]02. Matrix'!A605</f>
        <v>595</v>
      </c>
      <c r="B596" s="14">
        <f>'[1]02. Matrix'!B605</f>
        <v>13</v>
      </c>
      <c r="C596" s="14" t="str">
        <f>'[1]02. Matrix'!C605</f>
        <v>RESI REAL EST LOAN</v>
      </c>
      <c r="D596" s="14">
        <f>'[1]02. Matrix'!D605</f>
        <v>2</v>
      </c>
      <c r="E596" s="15">
        <f>'[1]02. Matrix'!E605</f>
        <v>0</v>
      </c>
      <c r="F596" s="14" t="str">
        <f>_xlfn.XLOOKUP('01. Main'!$B596,[1]Mapping!$D:$D,[1]Mapping!$A:$A,0,0)</f>
        <v>Asadh 79</v>
      </c>
      <c r="G596" s="16">
        <f>_xlfn.XLOOKUP('01. Main'!$B596,[1]Mapping!D$2:D$24,[1]Mapping!E$2:E$24,0,0)</f>
        <v>2022</v>
      </c>
    </row>
    <row r="597" spans="1:7" x14ac:dyDescent="0.45">
      <c r="A597" s="17">
        <f>'[1]02. Matrix'!A606</f>
        <v>596</v>
      </c>
      <c r="B597" s="18">
        <f>'[1]02. Matrix'!B606</f>
        <v>13</v>
      </c>
      <c r="C597" s="18" t="str">
        <f>'[1]02. Matrix'!C606</f>
        <v>MARGIN NATURE LOAN</v>
      </c>
      <c r="D597" s="18">
        <f>'[1]02. Matrix'!D606</f>
        <v>2</v>
      </c>
      <c r="E597" s="19">
        <f>'[1]02. Matrix'!E606</f>
        <v>0</v>
      </c>
      <c r="F597" s="18" t="str">
        <f>_xlfn.XLOOKUP('01. Main'!$B597,[1]Mapping!$D:$D,[1]Mapping!$A:$A,0,0)</f>
        <v>Asadh 79</v>
      </c>
      <c r="G597" s="20">
        <f>_xlfn.XLOOKUP('01. Main'!$B597,[1]Mapping!D$2:D$24,[1]Mapping!E$2:E$24,0,0)</f>
        <v>2022</v>
      </c>
    </row>
    <row r="598" spans="1:7" x14ac:dyDescent="0.45">
      <c r="A598" s="13">
        <f>'[1]02. Matrix'!A607</f>
        <v>597</v>
      </c>
      <c r="B598" s="14">
        <f>'[1]02. Matrix'!B607</f>
        <v>13</v>
      </c>
      <c r="C598" s="14" t="str">
        <f>'[1]02. Matrix'!C607</f>
        <v>HIRE PURCHASE LOAN</v>
      </c>
      <c r="D598" s="14">
        <f>'[1]02. Matrix'!D607</f>
        <v>2</v>
      </c>
      <c r="E598" s="15">
        <f>'[1]02. Matrix'!E607</f>
        <v>0</v>
      </c>
      <c r="F598" s="14" t="str">
        <f>_xlfn.XLOOKUP('01. Main'!$B598,[1]Mapping!$D:$D,[1]Mapping!$A:$A,0,0)</f>
        <v>Asadh 79</v>
      </c>
      <c r="G598" s="16">
        <f>_xlfn.XLOOKUP('01. Main'!$B598,[1]Mapping!D$2:D$24,[1]Mapping!E$2:E$24,0,0)</f>
        <v>2022</v>
      </c>
    </row>
    <row r="599" spans="1:7" x14ac:dyDescent="0.45">
      <c r="A599" s="17">
        <f>'[1]02. Matrix'!A608</f>
        <v>598</v>
      </c>
      <c r="B599" s="18">
        <f>'[1]02. Matrix'!B608</f>
        <v>13</v>
      </c>
      <c r="C599" s="18" t="str">
        <f>'[1]02. Matrix'!C608</f>
        <v>DEPRIVED SECTOR LOAN</v>
      </c>
      <c r="D599" s="18">
        <f>'[1]02. Matrix'!D608</f>
        <v>2</v>
      </c>
      <c r="E599" s="19">
        <f>'[1]02. Matrix'!E608</f>
        <v>0</v>
      </c>
      <c r="F599" s="18" t="str">
        <f>_xlfn.XLOOKUP('01. Main'!$B599,[1]Mapping!$D:$D,[1]Mapping!$A:$A,0,0)</f>
        <v>Asadh 79</v>
      </c>
      <c r="G599" s="20">
        <f>_xlfn.XLOOKUP('01. Main'!$B599,[1]Mapping!D$2:D$24,[1]Mapping!E$2:E$24,0,0)</f>
        <v>2022</v>
      </c>
    </row>
    <row r="600" spans="1:7" x14ac:dyDescent="0.45">
      <c r="A600" s="13">
        <f>'[1]02. Matrix'!A609</f>
        <v>599</v>
      </c>
      <c r="B600" s="14">
        <f>'[1]02. Matrix'!B609</f>
        <v>13</v>
      </c>
      <c r="C600" s="14" t="str">
        <f>'[1]02. Matrix'!C609</f>
        <v>EDUCATIONAL LOAN</v>
      </c>
      <c r="D600" s="14">
        <f>'[1]02. Matrix'!D609</f>
        <v>2</v>
      </c>
      <c r="E600" s="15">
        <f>'[1]02. Matrix'!E609</f>
        <v>0</v>
      </c>
      <c r="F600" s="14" t="str">
        <f>_xlfn.XLOOKUP('01. Main'!$B600,[1]Mapping!$D:$D,[1]Mapping!$A:$A,0,0)</f>
        <v>Asadh 79</v>
      </c>
      <c r="G600" s="16">
        <f>_xlfn.XLOOKUP('01. Main'!$B600,[1]Mapping!D$2:D$24,[1]Mapping!E$2:E$24,0,0)</f>
        <v>2022</v>
      </c>
    </row>
    <row r="601" spans="1:7" x14ac:dyDescent="0.45">
      <c r="A601" s="17">
        <f>'[1]02. Matrix'!A610</f>
        <v>600</v>
      </c>
      <c r="B601" s="18">
        <f>'[1]02. Matrix'!B610</f>
        <v>13</v>
      </c>
      <c r="C601" s="18" t="str">
        <f>'[1]02. Matrix'!C610</f>
        <v>AGRICULTURE LOAN</v>
      </c>
      <c r="D601" s="18">
        <f>'[1]02. Matrix'!D610</f>
        <v>2</v>
      </c>
      <c r="E601" s="19">
        <f>'[1]02. Matrix'!E610</f>
        <v>0</v>
      </c>
      <c r="F601" s="18" t="str">
        <f>_xlfn.XLOOKUP('01. Main'!$B601,[1]Mapping!$D:$D,[1]Mapping!$A:$A,0,0)</f>
        <v>Asadh 79</v>
      </c>
      <c r="G601" s="20">
        <f>_xlfn.XLOOKUP('01. Main'!$B601,[1]Mapping!D$2:D$24,[1]Mapping!E$2:E$24,0,0)</f>
        <v>2022</v>
      </c>
    </row>
    <row r="602" spans="1:7" x14ac:dyDescent="0.45">
      <c r="A602" s="13">
        <f>'[1]02. Matrix'!A611</f>
        <v>601</v>
      </c>
      <c r="B602" s="14">
        <f>'[1]02. Matrix'!B611</f>
        <v>13</v>
      </c>
      <c r="C602" s="14" t="str">
        <f>'[1]02. Matrix'!C611</f>
        <v>RESI PER.HOME-EMI</v>
      </c>
      <c r="D602" s="14">
        <f>'[1]02. Matrix'!D611</f>
        <v>2</v>
      </c>
      <c r="E602" s="15">
        <f>'[1]02. Matrix'!E611</f>
        <v>0</v>
      </c>
      <c r="F602" s="14" t="str">
        <f>_xlfn.XLOOKUP('01. Main'!$B602,[1]Mapping!$D:$D,[1]Mapping!$A:$A,0,0)</f>
        <v>Asadh 79</v>
      </c>
      <c r="G602" s="16">
        <f>_xlfn.XLOOKUP('01. Main'!$B602,[1]Mapping!D$2:D$24,[1]Mapping!E$2:E$24,0,0)</f>
        <v>2022</v>
      </c>
    </row>
    <row r="603" spans="1:7" x14ac:dyDescent="0.45">
      <c r="A603" s="17">
        <f>'[1]02. Matrix'!A612</f>
        <v>602</v>
      </c>
      <c r="B603" s="18">
        <f>'[1]02. Matrix'!B612</f>
        <v>13</v>
      </c>
      <c r="C603" s="18" t="str">
        <f>'[1]02. Matrix'!C612</f>
        <v>TERM LOAN - BUSINESS</v>
      </c>
      <c r="D603" s="18">
        <f>'[1]02. Matrix'!D612</f>
        <v>2</v>
      </c>
      <c r="E603" s="19">
        <f>'[1]02. Matrix'!E612</f>
        <v>0</v>
      </c>
      <c r="F603" s="18" t="str">
        <f>_xlfn.XLOOKUP('01. Main'!$B603,[1]Mapping!$D:$D,[1]Mapping!$A:$A,0,0)</f>
        <v>Asadh 79</v>
      </c>
      <c r="G603" s="20">
        <f>_xlfn.XLOOKUP('01. Main'!$B603,[1]Mapping!D$2:D$24,[1]Mapping!E$2:E$24,0,0)</f>
        <v>2022</v>
      </c>
    </row>
    <row r="604" spans="1:7" x14ac:dyDescent="0.45">
      <c r="A604" s="13">
        <f>'[1]02. Matrix'!A613</f>
        <v>603</v>
      </c>
      <c r="B604" s="14">
        <f>'[1]02. Matrix'!B613</f>
        <v>13</v>
      </c>
      <c r="C604" s="14" t="str">
        <f>'[1]02. Matrix'!C613</f>
        <v>CONS FIN BUSN TRM LO</v>
      </c>
      <c r="D604" s="14">
        <f>'[1]02. Matrix'!D613</f>
        <v>2</v>
      </c>
      <c r="E604" s="15">
        <f>'[1]02. Matrix'!E613</f>
        <v>0</v>
      </c>
      <c r="F604" s="14" t="str">
        <f>_xlfn.XLOOKUP('01. Main'!$B604,[1]Mapping!$D:$D,[1]Mapping!$A:$A,0,0)</f>
        <v>Asadh 79</v>
      </c>
      <c r="G604" s="16">
        <f>_xlfn.XLOOKUP('01. Main'!$B604,[1]Mapping!D$2:D$24,[1]Mapping!E$2:E$24,0,0)</f>
        <v>2022</v>
      </c>
    </row>
    <row r="605" spans="1:7" x14ac:dyDescent="0.45">
      <c r="A605" s="17">
        <f>'[1]02. Matrix'!A614</f>
        <v>604</v>
      </c>
      <c r="B605" s="18">
        <f>'[1]02. Matrix'!B614</f>
        <v>13</v>
      </c>
      <c r="C605" s="18" t="str">
        <f>'[1]02. Matrix'!C614</f>
        <v>BIS/PERHIRE PURCHASE</v>
      </c>
      <c r="D605" s="18">
        <f>'[1]02. Matrix'!D614</f>
        <v>2</v>
      </c>
      <c r="E605" s="19">
        <f>'[1]02. Matrix'!E614</f>
        <v>0</v>
      </c>
      <c r="F605" s="18" t="str">
        <f>_xlfn.XLOOKUP('01. Main'!$B605,[1]Mapping!$D:$D,[1]Mapping!$A:$A,0,0)</f>
        <v>Asadh 79</v>
      </c>
      <c r="G605" s="20">
        <f>_xlfn.XLOOKUP('01. Main'!$B605,[1]Mapping!D$2:D$24,[1]Mapping!E$2:E$24,0,0)</f>
        <v>2022</v>
      </c>
    </row>
    <row r="606" spans="1:7" x14ac:dyDescent="0.45">
      <c r="A606" s="13">
        <f>'[1]02. Matrix'!A615</f>
        <v>605</v>
      </c>
      <c r="B606" s="14">
        <f>'[1]02. Matrix'!B615</f>
        <v>13</v>
      </c>
      <c r="C606" s="14" t="str">
        <f>'[1]02. Matrix'!C615</f>
        <v xml:space="preserve">INT CAP TERM LOAN </v>
      </c>
      <c r="D606" s="14">
        <f>'[1]02. Matrix'!D615</f>
        <v>2</v>
      </c>
      <c r="E606" s="15">
        <f>'[1]02. Matrix'!E615</f>
        <v>0</v>
      </c>
      <c r="F606" s="14" t="str">
        <f>_xlfn.XLOOKUP('01. Main'!$B606,[1]Mapping!$D:$D,[1]Mapping!$A:$A,0,0)</f>
        <v>Asadh 79</v>
      </c>
      <c r="G606" s="16">
        <f>_xlfn.XLOOKUP('01. Main'!$B606,[1]Mapping!D$2:D$24,[1]Mapping!E$2:E$24,0,0)</f>
        <v>2022</v>
      </c>
    </row>
    <row r="607" spans="1:7" x14ac:dyDescent="0.45">
      <c r="A607" s="17">
        <f>'[1]02. Matrix'!A616</f>
        <v>606</v>
      </c>
      <c r="B607" s="18">
        <f>'[1]02. Matrix'!B616</f>
        <v>13</v>
      </c>
      <c r="C607" s="18" t="str">
        <f>'[1]02. Matrix'!C616</f>
        <v>PERSONAL LOAN</v>
      </c>
      <c r="D607" s="18">
        <f>'[1]02. Matrix'!D616</f>
        <v>2</v>
      </c>
      <c r="E607" s="19">
        <f>'[1]02. Matrix'!E616</f>
        <v>0</v>
      </c>
      <c r="F607" s="18" t="str">
        <f>_xlfn.XLOOKUP('01. Main'!$B607,[1]Mapping!$D:$D,[1]Mapping!$A:$A,0,0)</f>
        <v>Asadh 79</v>
      </c>
      <c r="G607" s="20">
        <f>_xlfn.XLOOKUP('01. Main'!$B607,[1]Mapping!D$2:D$24,[1]Mapping!E$2:E$24,0,0)</f>
        <v>2022</v>
      </c>
    </row>
    <row r="608" spans="1:7" x14ac:dyDescent="0.45">
      <c r="A608" s="13">
        <f>'[1]02. Matrix'!A617</f>
        <v>607</v>
      </c>
      <c r="B608" s="14">
        <f>'[1]02. Matrix'!B617</f>
        <v>13</v>
      </c>
      <c r="C608" s="14" t="str">
        <f>'[1]02. Matrix'!C617</f>
        <v>MORTGAGE LOAN</v>
      </c>
      <c r="D608" s="14">
        <f>'[1]02. Matrix'!D617</f>
        <v>2</v>
      </c>
      <c r="E608" s="15">
        <f>'[1]02. Matrix'!E617</f>
        <v>0</v>
      </c>
      <c r="F608" s="14" t="str">
        <f>_xlfn.XLOOKUP('01. Main'!$B608,[1]Mapping!$D:$D,[1]Mapping!$A:$A,0,0)</f>
        <v>Asadh 79</v>
      </c>
      <c r="G608" s="16">
        <f>_xlfn.XLOOKUP('01. Main'!$B608,[1]Mapping!D$2:D$24,[1]Mapping!E$2:E$24,0,0)</f>
        <v>2022</v>
      </c>
    </row>
    <row r="609" spans="1:7" x14ac:dyDescent="0.45">
      <c r="A609" s="17">
        <f>'[1]02. Matrix'!A618</f>
        <v>608</v>
      </c>
      <c r="B609" s="18">
        <f>'[1]02. Matrix'!B618</f>
        <v>13</v>
      </c>
      <c r="C609" s="18" t="str">
        <f>'[1]02. Matrix'!C618</f>
        <v>LOAN AGAINST FDR</v>
      </c>
      <c r="D609" s="18">
        <f>'[1]02. Matrix'!D618</f>
        <v>2</v>
      </c>
      <c r="E609" s="19">
        <f>'[1]02. Matrix'!E618</f>
        <v>0</v>
      </c>
      <c r="F609" s="18" t="str">
        <f>_xlfn.XLOOKUP('01. Main'!$B609,[1]Mapping!$D:$D,[1]Mapping!$A:$A,0,0)</f>
        <v>Asadh 79</v>
      </c>
      <c r="G609" s="20">
        <f>_xlfn.XLOOKUP('01. Main'!$B609,[1]Mapping!D$2:D$24,[1]Mapping!E$2:E$24,0,0)</f>
        <v>2022</v>
      </c>
    </row>
    <row r="610" spans="1:7" x14ac:dyDescent="0.45">
      <c r="A610" s="13">
        <f>'[1]02. Matrix'!A619</f>
        <v>609</v>
      </c>
      <c r="B610" s="14">
        <f>'[1]02. Matrix'!B619</f>
        <v>13</v>
      </c>
      <c r="C610" s="14" t="str">
        <f>'[1]02. Matrix'!C619</f>
        <v>RECEIVABLE LOAN</v>
      </c>
      <c r="D610" s="14">
        <f>'[1]02. Matrix'!D619</f>
        <v>2</v>
      </c>
      <c r="E610" s="15">
        <f>'[1]02. Matrix'!E619</f>
        <v>0</v>
      </c>
      <c r="F610" s="14" t="str">
        <f>_xlfn.XLOOKUP('01. Main'!$B610,[1]Mapping!$D:$D,[1]Mapping!$A:$A,0,0)</f>
        <v>Asadh 79</v>
      </c>
      <c r="G610" s="16">
        <f>_xlfn.XLOOKUP('01. Main'!$B610,[1]Mapping!D$2:D$24,[1]Mapping!E$2:E$24,0,0)</f>
        <v>2022</v>
      </c>
    </row>
    <row r="611" spans="1:7" x14ac:dyDescent="0.45">
      <c r="A611" s="17">
        <f>'[1]02. Matrix'!A620</f>
        <v>610</v>
      </c>
      <c r="B611" s="18">
        <f>'[1]02. Matrix'!B620</f>
        <v>13</v>
      </c>
      <c r="C611" s="18" t="str">
        <f>'[1]02. Matrix'!C620</f>
        <v>STAFF LOAN</v>
      </c>
      <c r="D611" s="18">
        <f>'[1]02. Matrix'!D620</f>
        <v>2</v>
      </c>
      <c r="E611" s="19">
        <f>'[1]02. Matrix'!E620</f>
        <v>0</v>
      </c>
      <c r="F611" s="18" t="str">
        <f>_xlfn.XLOOKUP('01. Main'!$B611,[1]Mapping!$D:$D,[1]Mapping!$A:$A,0,0)</f>
        <v>Asadh 79</v>
      </c>
      <c r="G611" s="20">
        <f>_xlfn.XLOOKUP('01. Main'!$B611,[1]Mapping!D$2:D$24,[1]Mapping!E$2:E$24,0,0)</f>
        <v>2022</v>
      </c>
    </row>
    <row r="612" spans="1:7" x14ac:dyDescent="0.45">
      <c r="A612" s="13">
        <f>'[1]02. Matrix'!A621</f>
        <v>611</v>
      </c>
      <c r="B612" s="14">
        <f>'[1]02. Matrix'!B621</f>
        <v>13</v>
      </c>
      <c r="C612" s="14" t="str">
        <f>'[1]02. Matrix'!C621</f>
        <v>AGRICULTURAL LOAN</v>
      </c>
      <c r="D612" s="14">
        <f>'[1]02. Matrix'!D621</f>
        <v>2</v>
      </c>
      <c r="E612" s="15">
        <f>'[1]02. Matrix'!E621</f>
        <v>0</v>
      </c>
      <c r="F612" s="14" t="str">
        <f>_xlfn.XLOOKUP('01. Main'!$B612,[1]Mapping!$D:$D,[1]Mapping!$A:$A,0,0)</f>
        <v>Asadh 79</v>
      </c>
      <c r="G612" s="16">
        <f>_xlfn.XLOOKUP('01. Main'!$B612,[1]Mapping!D$2:D$24,[1]Mapping!E$2:E$24,0,0)</f>
        <v>2022</v>
      </c>
    </row>
    <row r="613" spans="1:7" x14ac:dyDescent="0.45">
      <c r="A613" s="17">
        <f>'[1]02. Matrix'!A622</f>
        <v>612</v>
      </c>
      <c r="B613" s="18">
        <f>'[1]02. Matrix'!B622</f>
        <v>13</v>
      </c>
      <c r="C613" s="18" t="str">
        <f>'[1]02. Matrix'!C622</f>
        <v>EARTHQUAKE RELIEF LO</v>
      </c>
      <c r="D613" s="18">
        <f>'[1]02. Matrix'!D622</f>
        <v>2</v>
      </c>
      <c r="E613" s="19">
        <f>'[1]02. Matrix'!E622</f>
        <v>0</v>
      </c>
      <c r="F613" s="18" t="str">
        <f>_xlfn.XLOOKUP('01. Main'!$B613,[1]Mapping!$D:$D,[1]Mapping!$A:$A,0,0)</f>
        <v>Asadh 79</v>
      </c>
      <c r="G613" s="20">
        <f>_xlfn.XLOOKUP('01. Main'!$B613,[1]Mapping!D$2:D$24,[1]Mapping!E$2:E$24,0,0)</f>
        <v>2022</v>
      </c>
    </row>
    <row r="614" spans="1:7" x14ac:dyDescent="0.45">
      <c r="A614" s="13">
        <f>'[1]02. Matrix'!A623</f>
        <v>613</v>
      </c>
      <c r="B614" s="14">
        <f>'[1]02. Matrix'!B623</f>
        <v>13</v>
      </c>
      <c r="C614" s="14" t="str">
        <f>'[1]02. Matrix'!C623</f>
        <v>TOURISM SECTOR LOAN</v>
      </c>
      <c r="D614" s="14">
        <f>'[1]02. Matrix'!D623</f>
        <v>2</v>
      </c>
      <c r="E614" s="15">
        <f>'[1]02. Matrix'!E623</f>
        <v>0</v>
      </c>
      <c r="F614" s="14" t="str">
        <f>_xlfn.XLOOKUP('01. Main'!$B614,[1]Mapping!$D:$D,[1]Mapping!$A:$A,0,0)</f>
        <v>Asadh 79</v>
      </c>
      <c r="G614" s="16">
        <f>_xlfn.XLOOKUP('01. Main'!$B614,[1]Mapping!D$2:D$24,[1]Mapping!E$2:E$24,0,0)</f>
        <v>2022</v>
      </c>
    </row>
    <row r="615" spans="1:7" x14ac:dyDescent="0.45">
      <c r="A615" s="17">
        <f>'[1]02. Matrix'!A624</f>
        <v>614</v>
      </c>
      <c r="B615" s="18">
        <f>'[1]02. Matrix'!B624</f>
        <v>13</v>
      </c>
      <c r="C615" s="18" t="str">
        <f>'[1]02. Matrix'!C624</f>
        <v>SME LOAN</v>
      </c>
      <c r="D615" s="18">
        <f>'[1]02. Matrix'!D624</f>
        <v>2</v>
      </c>
      <c r="E615" s="19">
        <f>'[1]02. Matrix'!E624</f>
        <v>0</v>
      </c>
      <c r="F615" s="18" t="str">
        <f>_xlfn.XLOOKUP('01. Main'!$B615,[1]Mapping!$D:$D,[1]Mapping!$A:$A,0,0)</f>
        <v>Asadh 79</v>
      </c>
      <c r="G615" s="20">
        <f>_xlfn.XLOOKUP('01. Main'!$B615,[1]Mapping!D$2:D$24,[1]Mapping!E$2:E$24,0,0)</f>
        <v>2022</v>
      </c>
    </row>
    <row r="616" spans="1:7" x14ac:dyDescent="0.45">
      <c r="A616" s="13">
        <f>'[1]02. Matrix'!A625</f>
        <v>615</v>
      </c>
      <c r="B616" s="14">
        <f>'[1]02. Matrix'!B625</f>
        <v>13</v>
      </c>
      <c r="C616" s="14" t="str">
        <f>'[1]02. Matrix'!C625</f>
        <v>EDUCATIONAL LOAN EMI</v>
      </c>
      <c r="D616" s="14">
        <f>'[1]02. Matrix'!D625</f>
        <v>2</v>
      </c>
      <c r="E616" s="15">
        <f>'[1]02. Matrix'!E625</f>
        <v>0</v>
      </c>
      <c r="F616" s="14" t="str">
        <f>_xlfn.XLOOKUP('01. Main'!$B616,[1]Mapping!$D:$D,[1]Mapping!$A:$A,0,0)</f>
        <v>Asadh 79</v>
      </c>
      <c r="G616" s="16">
        <f>_xlfn.XLOOKUP('01. Main'!$B616,[1]Mapping!D$2:D$24,[1]Mapping!E$2:E$24,0,0)</f>
        <v>2022</v>
      </c>
    </row>
    <row r="617" spans="1:7" x14ac:dyDescent="0.45">
      <c r="A617" s="17">
        <f>'[1]02. Matrix'!A626</f>
        <v>616</v>
      </c>
      <c r="B617" s="18">
        <f>'[1]02. Matrix'!B626</f>
        <v>13</v>
      </c>
      <c r="C617" s="18" t="str">
        <f>'[1]02. Matrix'!C626</f>
        <v>OVERDRAFT PROFESSION</v>
      </c>
      <c r="D617" s="18">
        <f>'[1]02. Matrix'!D626</f>
        <v>2</v>
      </c>
      <c r="E617" s="19">
        <f>'[1]02. Matrix'!E626</f>
        <v>0</v>
      </c>
      <c r="F617" s="18" t="str">
        <f>_xlfn.XLOOKUP('01. Main'!$B617,[1]Mapping!$D:$D,[1]Mapping!$A:$A,0,0)</f>
        <v>Asadh 79</v>
      </c>
      <c r="G617" s="20">
        <f>_xlfn.XLOOKUP('01. Main'!$B617,[1]Mapping!D$2:D$24,[1]Mapping!E$2:E$24,0,0)</f>
        <v>2022</v>
      </c>
    </row>
    <row r="618" spans="1:7" x14ac:dyDescent="0.45">
      <c r="A618" s="13">
        <f>'[1]02. Matrix'!A627</f>
        <v>617</v>
      </c>
      <c r="B618" s="14">
        <f>'[1]02. Matrix'!B627</f>
        <v>12</v>
      </c>
      <c r="C618" s="14" t="str">
        <f>'[1]02. Matrix'!C627</f>
        <v>OD PERSONAL LOAN</v>
      </c>
      <c r="D618" s="14">
        <f>'[1]02. Matrix'!D627</f>
        <v>1</v>
      </c>
      <c r="E618" s="15">
        <f>'[1]02. Matrix'!E627</f>
        <v>0</v>
      </c>
      <c r="F618" s="14" t="str">
        <f>_xlfn.XLOOKUP('01. Main'!$B618,[1]Mapping!$D:$D,[1]Mapping!$A:$A,0,0)</f>
        <v>Chaitra 78</v>
      </c>
      <c r="G618" s="16">
        <f>_xlfn.XLOOKUP('01. Main'!$B618,[1]Mapping!D$2:D$24,[1]Mapping!E$2:E$24,0,0)</f>
        <v>2022</v>
      </c>
    </row>
    <row r="619" spans="1:7" x14ac:dyDescent="0.45">
      <c r="A619" s="17">
        <f>'[1]02. Matrix'!A628</f>
        <v>618</v>
      </c>
      <c r="B619" s="18">
        <f>'[1]02. Matrix'!B628</f>
        <v>12</v>
      </c>
      <c r="C619" s="18" t="str">
        <f>'[1]02. Matrix'!C628</f>
        <v>OD BUSINESS LOAN</v>
      </c>
      <c r="D619" s="18">
        <f>'[1]02. Matrix'!D628</f>
        <v>1</v>
      </c>
      <c r="E619" s="19">
        <f>'[1]02. Matrix'!E628</f>
        <v>0</v>
      </c>
      <c r="F619" s="18" t="str">
        <f>_xlfn.XLOOKUP('01. Main'!$B619,[1]Mapping!$D:$D,[1]Mapping!$A:$A,0,0)</f>
        <v>Chaitra 78</v>
      </c>
      <c r="G619" s="20">
        <f>_xlfn.XLOOKUP('01. Main'!$B619,[1]Mapping!D$2:D$24,[1]Mapping!E$2:E$24,0,0)</f>
        <v>2022</v>
      </c>
    </row>
    <row r="620" spans="1:7" x14ac:dyDescent="0.45">
      <c r="A620" s="13">
        <f>'[1]02. Matrix'!A629</f>
        <v>619</v>
      </c>
      <c r="B620" s="14">
        <f>'[1]02. Matrix'!B629</f>
        <v>12</v>
      </c>
      <c r="C620" s="14" t="str">
        <f>'[1]02. Matrix'!C629</f>
        <v>OD STAFF LOAN</v>
      </c>
      <c r="D620" s="14">
        <f>'[1]02. Matrix'!D629</f>
        <v>1</v>
      </c>
      <c r="E620" s="15">
        <f>'[1]02. Matrix'!E629</f>
        <v>0</v>
      </c>
      <c r="F620" s="14" t="str">
        <f>_xlfn.XLOOKUP('01. Main'!$B620,[1]Mapping!$D:$D,[1]Mapping!$A:$A,0,0)</f>
        <v>Chaitra 78</v>
      </c>
      <c r="G620" s="16">
        <f>_xlfn.XLOOKUP('01. Main'!$B620,[1]Mapping!D$2:D$24,[1]Mapping!E$2:E$24,0,0)</f>
        <v>2022</v>
      </c>
    </row>
    <row r="621" spans="1:7" x14ac:dyDescent="0.45">
      <c r="A621" s="17">
        <f>'[1]02. Matrix'!A630</f>
        <v>620</v>
      </c>
      <c r="B621" s="18">
        <f>'[1]02. Matrix'!B630</f>
        <v>12</v>
      </c>
      <c r="C621" s="18" t="str">
        <f>'[1]02. Matrix'!C630</f>
        <v>TERM LOAN</v>
      </c>
      <c r="D621" s="18">
        <f>'[1]02. Matrix'!D630</f>
        <v>1</v>
      </c>
      <c r="E621" s="19">
        <f>'[1]02. Matrix'!E630</f>
        <v>2.6116740788248209E-2</v>
      </c>
      <c r="F621" s="18" t="str">
        <f>_xlfn.XLOOKUP('01. Main'!$B621,[1]Mapping!$D:$D,[1]Mapping!$A:$A,0,0)</f>
        <v>Chaitra 78</v>
      </c>
      <c r="G621" s="20">
        <f>_xlfn.XLOOKUP('01. Main'!$B621,[1]Mapping!D$2:D$24,[1]Mapping!E$2:E$24,0,0)</f>
        <v>2022</v>
      </c>
    </row>
    <row r="622" spans="1:7" x14ac:dyDescent="0.45">
      <c r="A622" s="13">
        <f>'[1]02. Matrix'!A631</f>
        <v>621</v>
      </c>
      <c r="B622" s="14">
        <f>'[1]02. Matrix'!B631</f>
        <v>12</v>
      </c>
      <c r="C622" s="14" t="str">
        <f>'[1]02. Matrix'!C631</f>
        <v>WC TRADING/IND LOAN</v>
      </c>
      <c r="D622" s="14">
        <f>'[1]02. Matrix'!D631</f>
        <v>1</v>
      </c>
      <c r="E622" s="15">
        <f>'[1]02. Matrix'!E631</f>
        <v>0.30284171395330939</v>
      </c>
      <c r="F622" s="14" t="str">
        <f>_xlfn.XLOOKUP('01. Main'!$B622,[1]Mapping!$D:$D,[1]Mapping!$A:$A,0,0)</f>
        <v>Chaitra 78</v>
      </c>
      <c r="G622" s="16">
        <f>_xlfn.XLOOKUP('01. Main'!$B622,[1]Mapping!D$2:D$24,[1]Mapping!E$2:E$24,0,0)</f>
        <v>2022</v>
      </c>
    </row>
    <row r="623" spans="1:7" x14ac:dyDescent="0.45">
      <c r="A623" s="17">
        <f>'[1]02. Matrix'!A632</f>
        <v>622</v>
      </c>
      <c r="B623" s="18">
        <f>'[1]02. Matrix'!B632</f>
        <v>12</v>
      </c>
      <c r="C623" s="18" t="str">
        <f>'[1]02. Matrix'!C632</f>
        <v>HOUSING LOAN</v>
      </c>
      <c r="D623" s="18">
        <f>'[1]02. Matrix'!D632</f>
        <v>1</v>
      </c>
      <c r="E623" s="19">
        <f>'[1]02. Matrix'!E632</f>
        <v>9.378122434643589E-2</v>
      </c>
      <c r="F623" s="18" t="str">
        <f>_xlfn.XLOOKUP('01. Main'!$B623,[1]Mapping!$D:$D,[1]Mapping!$A:$A,0,0)</f>
        <v>Chaitra 78</v>
      </c>
      <c r="G623" s="20">
        <f>_xlfn.XLOOKUP('01. Main'!$B623,[1]Mapping!D$2:D$24,[1]Mapping!E$2:E$24,0,0)</f>
        <v>2022</v>
      </c>
    </row>
    <row r="624" spans="1:7" x14ac:dyDescent="0.45">
      <c r="A624" s="13">
        <f>'[1]02. Matrix'!A633</f>
        <v>623</v>
      </c>
      <c r="B624" s="14">
        <f>'[1]02. Matrix'!B633</f>
        <v>12</v>
      </c>
      <c r="C624" s="14" t="str">
        <f>'[1]02. Matrix'!C633</f>
        <v>RESI REAL EST LOAN</v>
      </c>
      <c r="D624" s="14">
        <f>'[1]02. Matrix'!D633</f>
        <v>1</v>
      </c>
      <c r="E624" s="15">
        <f>'[1]02. Matrix'!E633</f>
        <v>9.3040092970364169E-2</v>
      </c>
      <c r="F624" s="14" t="str">
        <f>_xlfn.XLOOKUP('01. Main'!$B624,[1]Mapping!$D:$D,[1]Mapping!$A:$A,0,0)</f>
        <v>Chaitra 78</v>
      </c>
      <c r="G624" s="16">
        <f>_xlfn.XLOOKUP('01. Main'!$B624,[1]Mapping!D$2:D$24,[1]Mapping!E$2:E$24,0,0)</f>
        <v>2022</v>
      </c>
    </row>
    <row r="625" spans="1:7" x14ac:dyDescent="0.45">
      <c r="A625" s="17">
        <f>'[1]02. Matrix'!A634</f>
        <v>624</v>
      </c>
      <c r="B625" s="18">
        <f>'[1]02. Matrix'!B634</f>
        <v>12</v>
      </c>
      <c r="C625" s="18" t="str">
        <f>'[1]02. Matrix'!C634</f>
        <v>MARGIN NATURE LOAN</v>
      </c>
      <c r="D625" s="18">
        <f>'[1]02. Matrix'!D634</f>
        <v>1</v>
      </c>
      <c r="E625" s="19">
        <f>'[1]02. Matrix'!E634</f>
        <v>0</v>
      </c>
      <c r="F625" s="18" t="str">
        <f>_xlfn.XLOOKUP('01. Main'!$B625,[1]Mapping!$D:$D,[1]Mapping!$A:$A,0,0)</f>
        <v>Chaitra 78</v>
      </c>
      <c r="G625" s="20">
        <f>_xlfn.XLOOKUP('01. Main'!$B625,[1]Mapping!D$2:D$24,[1]Mapping!E$2:E$24,0,0)</f>
        <v>2022</v>
      </c>
    </row>
    <row r="626" spans="1:7" x14ac:dyDescent="0.45">
      <c r="A626" s="13">
        <f>'[1]02. Matrix'!A635</f>
        <v>625</v>
      </c>
      <c r="B626" s="14">
        <f>'[1]02. Matrix'!B635</f>
        <v>12</v>
      </c>
      <c r="C626" s="14" t="str">
        <f>'[1]02. Matrix'!C635</f>
        <v>HIRE PURCHASE LOAN</v>
      </c>
      <c r="D626" s="14">
        <f>'[1]02. Matrix'!D635</f>
        <v>1</v>
      </c>
      <c r="E626" s="15">
        <f>'[1]02. Matrix'!E635</f>
        <v>0.31996635473430218</v>
      </c>
      <c r="F626" s="14" t="str">
        <f>_xlfn.XLOOKUP('01. Main'!$B626,[1]Mapping!$D:$D,[1]Mapping!$A:$A,0,0)</f>
        <v>Chaitra 78</v>
      </c>
      <c r="G626" s="16">
        <f>_xlfn.XLOOKUP('01. Main'!$B626,[1]Mapping!D$2:D$24,[1]Mapping!E$2:E$24,0,0)</f>
        <v>2022</v>
      </c>
    </row>
    <row r="627" spans="1:7" x14ac:dyDescent="0.45">
      <c r="A627" s="17">
        <f>'[1]02. Matrix'!A636</f>
        <v>626</v>
      </c>
      <c r="B627" s="18">
        <f>'[1]02. Matrix'!B636</f>
        <v>12</v>
      </c>
      <c r="C627" s="18" t="str">
        <f>'[1]02. Matrix'!C636</f>
        <v>DEPRIVED SECTOR LOAN</v>
      </c>
      <c r="D627" s="18">
        <f>'[1]02. Matrix'!D636</f>
        <v>1</v>
      </c>
      <c r="E627" s="19">
        <f>'[1]02. Matrix'!E636</f>
        <v>8.066016212799048E-3</v>
      </c>
      <c r="F627" s="18" t="str">
        <f>_xlfn.XLOOKUP('01. Main'!$B627,[1]Mapping!$D:$D,[1]Mapping!$A:$A,0,0)</f>
        <v>Chaitra 78</v>
      </c>
      <c r="G627" s="20">
        <f>_xlfn.XLOOKUP('01. Main'!$B627,[1]Mapping!D$2:D$24,[1]Mapping!E$2:E$24,0,0)</f>
        <v>2022</v>
      </c>
    </row>
    <row r="628" spans="1:7" x14ac:dyDescent="0.45">
      <c r="A628" s="13">
        <f>'[1]02. Matrix'!A637</f>
        <v>627</v>
      </c>
      <c r="B628" s="14">
        <f>'[1]02. Matrix'!B637</f>
        <v>12</v>
      </c>
      <c r="C628" s="14" t="str">
        <f>'[1]02. Matrix'!C637</f>
        <v>EDUCATIONAL LOAN</v>
      </c>
      <c r="D628" s="14">
        <f>'[1]02. Matrix'!D637</f>
        <v>1</v>
      </c>
      <c r="E628" s="15">
        <f>'[1]02. Matrix'!E637</f>
        <v>8.6892186152471532E-2</v>
      </c>
      <c r="F628" s="14" t="str">
        <f>_xlfn.XLOOKUP('01. Main'!$B628,[1]Mapping!$D:$D,[1]Mapping!$A:$A,0,0)</f>
        <v>Chaitra 78</v>
      </c>
      <c r="G628" s="16">
        <f>_xlfn.XLOOKUP('01. Main'!$B628,[1]Mapping!D$2:D$24,[1]Mapping!E$2:E$24,0,0)</f>
        <v>2022</v>
      </c>
    </row>
    <row r="629" spans="1:7" x14ac:dyDescent="0.45">
      <c r="A629" s="17">
        <f>'[1]02. Matrix'!A638</f>
        <v>628</v>
      </c>
      <c r="B629" s="18">
        <f>'[1]02. Matrix'!B638</f>
        <v>12</v>
      </c>
      <c r="C629" s="18" t="str">
        <f>'[1]02. Matrix'!C638</f>
        <v>AGRICULTURE LOAN</v>
      </c>
      <c r="D629" s="18">
        <f>'[1]02. Matrix'!D638</f>
        <v>1</v>
      </c>
      <c r="E629" s="19">
        <f>'[1]02. Matrix'!E638</f>
        <v>6.9080667415324995E-2</v>
      </c>
      <c r="F629" s="18" t="str">
        <f>_xlfn.XLOOKUP('01. Main'!$B629,[1]Mapping!$D:$D,[1]Mapping!$A:$A,0,0)</f>
        <v>Chaitra 78</v>
      </c>
      <c r="G629" s="20">
        <f>_xlfn.XLOOKUP('01. Main'!$B629,[1]Mapping!D$2:D$24,[1]Mapping!E$2:E$24,0,0)</f>
        <v>2022</v>
      </c>
    </row>
    <row r="630" spans="1:7" x14ac:dyDescent="0.45">
      <c r="A630" s="13">
        <f>'[1]02. Matrix'!A639</f>
        <v>629</v>
      </c>
      <c r="B630" s="14">
        <f>'[1]02. Matrix'!B639</f>
        <v>12</v>
      </c>
      <c r="C630" s="14" t="str">
        <f>'[1]02. Matrix'!C639</f>
        <v>RESI PER.HOME-EMI</v>
      </c>
      <c r="D630" s="14">
        <f>'[1]02. Matrix'!D639</f>
        <v>1</v>
      </c>
      <c r="E630" s="15">
        <f>'[1]02. Matrix'!E639</f>
        <v>2.6413352749386061E-2</v>
      </c>
      <c r="F630" s="14" t="str">
        <f>_xlfn.XLOOKUP('01. Main'!$B630,[1]Mapping!$D:$D,[1]Mapping!$A:$A,0,0)</f>
        <v>Chaitra 78</v>
      </c>
      <c r="G630" s="16">
        <f>_xlfn.XLOOKUP('01. Main'!$B630,[1]Mapping!D$2:D$24,[1]Mapping!E$2:E$24,0,0)</f>
        <v>2022</v>
      </c>
    </row>
    <row r="631" spans="1:7" x14ac:dyDescent="0.45">
      <c r="A631" s="17">
        <f>'[1]02. Matrix'!A640</f>
        <v>630</v>
      </c>
      <c r="B631" s="18">
        <f>'[1]02. Matrix'!B640</f>
        <v>12</v>
      </c>
      <c r="C631" s="18" t="str">
        <f>'[1]02. Matrix'!C640</f>
        <v>TERM LOAN - BUSINESS</v>
      </c>
      <c r="D631" s="18">
        <f>'[1]02. Matrix'!D640</f>
        <v>1</v>
      </c>
      <c r="E631" s="19">
        <f>'[1]02. Matrix'!E640</f>
        <v>0</v>
      </c>
      <c r="F631" s="18" t="str">
        <f>_xlfn.XLOOKUP('01. Main'!$B631,[1]Mapping!$D:$D,[1]Mapping!$A:$A,0,0)</f>
        <v>Chaitra 78</v>
      </c>
      <c r="G631" s="20">
        <f>_xlfn.XLOOKUP('01. Main'!$B631,[1]Mapping!D$2:D$24,[1]Mapping!E$2:E$24,0,0)</f>
        <v>2022</v>
      </c>
    </row>
    <row r="632" spans="1:7" x14ac:dyDescent="0.45">
      <c r="A632" s="13">
        <f>'[1]02. Matrix'!A641</f>
        <v>631</v>
      </c>
      <c r="B632" s="14">
        <f>'[1]02. Matrix'!B641</f>
        <v>12</v>
      </c>
      <c r="C632" s="14" t="str">
        <f>'[1]02. Matrix'!C641</f>
        <v>CONS FIN BUSN TRM LO</v>
      </c>
      <c r="D632" s="14">
        <f>'[1]02. Matrix'!D641</f>
        <v>1</v>
      </c>
      <c r="E632" s="15">
        <f>'[1]02. Matrix'!E641</f>
        <v>0</v>
      </c>
      <c r="F632" s="14" t="str">
        <f>_xlfn.XLOOKUP('01. Main'!$B632,[1]Mapping!$D:$D,[1]Mapping!$A:$A,0,0)</f>
        <v>Chaitra 78</v>
      </c>
      <c r="G632" s="16">
        <f>_xlfn.XLOOKUP('01. Main'!$B632,[1]Mapping!D$2:D$24,[1]Mapping!E$2:E$24,0,0)</f>
        <v>2022</v>
      </c>
    </row>
    <row r="633" spans="1:7" x14ac:dyDescent="0.45">
      <c r="A633" s="17">
        <f>'[1]02. Matrix'!A642</f>
        <v>632</v>
      </c>
      <c r="B633" s="18">
        <f>'[1]02. Matrix'!B642</f>
        <v>12</v>
      </c>
      <c r="C633" s="18" t="str">
        <f>'[1]02. Matrix'!C642</f>
        <v>BIS/PERHIRE PURCHASE</v>
      </c>
      <c r="D633" s="18">
        <f>'[1]02. Matrix'!D642</f>
        <v>1</v>
      </c>
      <c r="E633" s="19">
        <f>'[1]02. Matrix'!E642</f>
        <v>9.0656629478304579E-2</v>
      </c>
      <c r="F633" s="18" t="str">
        <f>_xlfn.XLOOKUP('01. Main'!$B633,[1]Mapping!$D:$D,[1]Mapping!$A:$A,0,0)</f>
        <v>Chaitra 78</v>
      </c>
      <c r="G633" s="20">
        <f>_xlfn.XLOOKUP('01. Main'!$B633,[1]Mapping!D$2:D$24,[1]Mapping!E$2:E$24,0,0)</f>
        <v>2022</v>
      </c>
    </row>
    <row r="634" spans="1:7" x14ac:dyDescent="0.45">
      <c r="A634" s="13">
        <f>'[1]02. Matrix'!A643</f>
        <v>633</v>
      </c>
      <c r="B634" s="14">
        <f>'[1]02. Matrix'!B643</f>
        <v>12</v>
      </c>
      <c r="C634" s="14" t="str">
        <f>'[1]02. Matrix'!C643</f>
        <v xml:space="preserve">INT CAP TERM LOAN </v>
      </c>
      <c r="D634" s="14">
        <f>'[1]02. Matrix'!D643</f>
        <v>1</v>
      </c>
      <c r="E634" s="15">
        <f>'[1]02. Matrix'!E643</f>
        <v>0</v>
      </c>
      <c r="F634" s="14" t="str">
        <f>_xlfn.XLOOKUP('01. Main'!$B634,[1]Mapping!$D:$D,[1]Mapping!$A:$A,0,0)</f>
        <v>Chaitra 78</v>
      </c>
      <c r="G634" s="16">
        <f>_xlfn.XLOOKUP('01. Main'!$B634,[1]Mapping!D$2:D$24,[1]Mapping!E$2:E$24,0,0)</f>
        <v>2022</v>
      </c>
    </row>
    <row r="635" spans="1:7" x14ac:dyDescent="0.45">
      <c r="A635" s="17">
        <f>'[1]02. Matrix'!A644</f>
        <v>634</v>
      </c>
      <c r="B635" s="18">
        <f>'[1]02. Matrix'!B644</f>
        <v>12</v>
      </c>
      <c r="C635" s="18" t="str">
        <f>'[1]02. Matrix'!C644</f>
        <v>PERSONAL LOAN</v>
      </c>
      <c r="D635" s="18">
        <f>'[1]02. Matrix'!D644</f>
        <v>1</v>
      </c>
      <c r="E635" s="19">
        <f>'[1]02. Matrix'!E644</f>
        <v>7.1279148854983945E-2</v>
      </c>
      <c r="F635" s="18" t="str">
        <f>_xlfn.XLOOKUP('01. Main'!$B635,[1]Mapping!$D:$D,[1]Mapping!$A:$A,0,0)</f>
        <v>Chaitra 78</v>
      </c>
      <c r="G635" s="20">
        <f>_xlfn.XLOOKUP('01. Main'!$B635,[1]Mapping!D$2:D$24,[1]Mapping!E$2:E$24,0,0)</f>
        <v>2022</v>
      </c>
    </row>
    <row r="636" spans="1:7" x14ac:dyDescent="0.45">
      <c r="A636" s="13">
        <f>'[1]02. Matrix'!A645</f>
        <v>635</v>
      </c>
      <c r="B636" s="14">
        <f>'[1]02. Matrix'!B645</f>
        <v>12</v>
      </c>
      <c r="C636" s="14" t="str">
        <f>'[1]02. Matrix'!C645</f>
        <v>MORTGAGE LOAN</v>
      </c>
      <c r="D636" s="14">
        <f>'[1]02. Matrix'!D645</f>
        <v>1</v>
      </c>
      <c r="E636" s="15">
        <f>'[1]02. Matrix'!E645</f>
        <v>0</v>
      </c>
      <c r="F636" s="14" t="str">
        <f>_xlfn.XLOOKUP('01. Main'!$B636,[1]Mapping!$D:$D,[1]Mapping!$A:$A,0,0)</f>
        <v>Chaitra 78</v>
      </c>
      <c r="G636" s="16">
        <f>_xlfn.XLOOKUP('01. Main'!$B636,[1]Mapping!D$2:D$24,[1]Mapping!E$2:E$24,0,0)</f>
        <v>2022</v>
      </c>
    </row>
    <row r="637" spans="1:7" x14ac:dyDescent="0.45">
      <c r="A637" s="17">
        <f>'[1]02. Matrix'!A646</f>
        <v>636</v>
      </c>
      <c r="B637" s="18">
        <f>'[1]02. Matrix'!B646</f>
        <v>12</v>
      </c>
      <c r="C637" s="18" t="str">
        <f>'[1]02. Matrix'!C646</f>
        <v>LOAN AGAINST FDR</v>
      </c>
      <c r="D637" s="18">
        <f>'[1]02. Matrix'!D646</f>
        <v>1</v>
      </c>
      <c r="E637" s="19">
        <f>'[1]02. Matrix'!E646</f>
        <v>0</v>
      </c>
      <c r="F637" s="18" t="str">
        <f>_xlfn.XLOOKUP('01. Main'!$B637,[1]Mapping!$D:$D,[1]Mapping!$A:$A,0,0)</f>
        <v>Chaitra 78</v>
      </c>
      <c r="G637" s="20">
        <f>_xlfn.XLOOKUP('01. Main'!$B637,[1]Mapping!D$2:D$24,[1]Mapping!E$2:E$24,0,0)</f>
        <v>2022</v>
      </c>
    </row>
    <row r="638" spans="1:7" x14ac:dyDescent="0.45">
      <c r="A638" s="13">
        <f>'[1]02. Matrix'!A647</f>
        <v>637</v>
      </c>
      <c r="B638" s="14">
        <f>'[1]02. Matrix'!B647</f>
        <v>12</v>
      </c>
      <c r="C638" s="14" t="str">
        <f>'[1]02. Matrix'!C647</f>
        <v>RECEIVABLE LOAN</v>
      </c>
      <c r="D638" s="14">
        <f>'[1]02. Matrix'!D647</f>
        <v>1</v>
      </c>
      <c r="E638" s="15">
        <f>'[1]02. Matrix'!E647</f>
        <v>0</v>
      </c>
      <c r="F638" s="14" t="str">
        <f>_xlfn.XLOOKUP('01. Main'!$B638,[1]Mapping!$D:$D,[1]Mapping!$A:$A,0,0)</f>
        <v>Chaitra 78</v>
      </c>
      <c r="G638" s="16">
        <f>_xlfn.XLOOKUP('01. Main'!$B638,[1]Mapping!D$2:D$24,[1]Mapping!E$2:E$24,0,0)</f>
        <v>2022</v>
      </c>
    </row>
    <row r="639" spans="1:7" x14ac:dyDescent="0.45">
      <c r="A639" s="17">
        <f>'[1]02. Matrix'!A648</f>
        <v>638</v>
      </c>
      <c r="B639" s="18">
        <f>'[1]02. Matrix'!B648</f>
        <v>12</v>
      </c>
      <c r="C639" s="18" t="str">
        <f>'[1]02. Matrix'!C648</f>
        <v>STAFF LOAN</v>
      </c>
      <c r="D639" s="18">
        <f>'[1]02. Matrix'!D648</f>
        <v>1</v>
      </c>
      <c r="E639" s="19">
        <f>'[1]02. Matrix'!E648</f>
        <v>0</v>
      </c>
      <c r="F639" s="18" t="str">
        <f>_xlfn.XLOOKUP('01. Main'!$B639,[1]Mapping!$D:$D,[1]Mapping!$A:$A,0,0)</f>
        <v>Chaitra 78</v>
      </c>
      <c r="G639" s="20">
        <f>_xlfn.XLOOKUP('01. Main'!$B639,[1]Mapping!D$2:D$24,[1]Mapping!E$2:E$24,0,0)</f>
        <v>2022</v>
      </c>
    </row>
    <row r="640" spans="1:7" x14ac:dyDescent="0.45">
      <c r="A640" s="13">
        <f>'[1]02. Matrix'!A649</f>
        <v>639</v>
      </c>
      <c r="B640" s="14">
        <f>'[1]02. Matrix'!B649</f>
        <v>12</v>
      </c>
      <c r="C640" s="14" t="str">
        <f>'[1]02. Matrix'!C649</f>
        <v>AGRICULTURAL LOAN</v>
      </c>
      <c r="D640" s="14">
        <f>'[1]02. Matrix'!D649</f>
        <v>1</v>
      </c>
      <c r="E640" s="15">
        <f>'[1]02. Matrix'!E649</f>
        <v>0</v>
      </c>
      <c r="F640" s="14" t="str">
        <f>_xlfn.XLOOKUP('01. Main'!$B640,[1]Mapping!$D:$D,[1]Mapping!$A:$A,0,0)</f>
        <v>Chaitra 78</v>
      </c>
      <c r="G640" s="16">
        <f>_xlfn.XLOOKUP('01. Main'!$B640,[1]Mapping!D$2:D$24,[1]Mapping!E$2:E$24,0,0)</f>
        <v>2022</v>
      </c>
    </row>
    <row r="641" spans="1:7" x14ac:dyDescent="0.45">
      <c r="A641" s="17">
        <f>'[1]02. Matrix'!A650</f>
        <v>640</v>
      </c>
      <c r="B641" s="18">
        <f>'[1]02. Matrix'!B650</f>
        <v>12</v>
      </c>
      <c r="C641" s="18" t="str">
        <f>'[1]02. Matrix'!C650</f>
        <v>EARTHQUAKE RELIEF LO</v>
      </c>
      <c r="D641" s="18">
        <f>'[1]02. Matrix'!D650</f>
        <v>1</v>
      </c>
      <c r="E641" s="19">
        <f>'[1]02. Matrix'!E650</f>
        <v>0</v>
      </c>
      <c r="F641" s="18" t="str">
        <f>_xlfn.XLOOKUP('01. Main'!$B641,[1]Mapping!$D:$D,[1]Mapping!$A:$A,0,0)</f>
        <v>Chaitra 78</v>
      </c>
      <c r="G641" s="20">
        <f>_xlfn.XLOOKUP('01. Main'!$B641,[1]Mapping!D$2:D$24,[1]Mapping!E$2:E$24,0,0)</f>
        <v>2022</v>
      </c>
    </row>
    <row r="642" spans="1:7" x14ac:dyDescent="0.45">
      <c r="A642" s="13">
        <f>'[1]02. Matrix'!A651</f>
        <v>641</v>
      </c>
      <c r="B642" s="14">
        <f>'[1]02. Matrix'!B651</f>
        <v>12</v>
      </c>
      <c r="C642" s="14" t="str">
        <f>'[1]02. Matrix'!C651</f>
        <v>TOURISM SECTOR LOAN</v>
      </c>
      <c r="D642" s="14">
        <f>'[1]02. Matrix'!D651</f>
        <v>1</v>
      </c>
      <c r="E642" s="15">
        <f>'[1]02. Matrix'!E651</f>
        <v>0</v>
      </c>
      <c r="F642" s="14" t="str">
        <f>_xlfn.XLOOKUP('01. Main'!$B642,[1]Mapping!$D:$D,[1]Mapping!$A:$A,0,0)</f>
        <v>Chaitra 78</v>
      </c>
      <c r="G642" s="16">
        <f>_xlfn.XLOOKUP('01. Main'!$B642,[1]Mapping!D$2:D$24,[1]Mapping!E$2:E$24,0,0)</f>
        <v>2022</v>
      </c>
    </row>
    <row r="643" spans="1:7" x14ac:dyDescent="0.45">
      <c r="A643" s="17">
        <f>'[1]02. Matrix'!A652</f>
        <v>642</v>
      </c>
      <c r="B643" s="18">
        <f>'[1]02. Matrix'!B652</f>
        <v>12</v>
      </c>
      <c r="C643" s="18" t="str">
        <f>'[1]02. Matrix'!C652</f>
        <v>SME LOAN</v>
      </c>
      <c r="D643" s="18">
        <f>'[1]02. Matrix'!D652</f>
        <v>1</v>
      </c>
      <c r="E643" s="19">
        <f>'[1]02. Matrix'!E652</f>
        <v>0</v>
      </c>
      <c r="F643" s="18" t="str">
        <f>_xlfn.XLOOKUP('01. Main'!$B643,[1]Mapping!$D:$D,[1]Mapping!$A:$A,0,0)</f>
        <v>Chaitra 78</v>
      </c>
      <c r="G643" s="20">
        <f>_xlfn.XLOOKUP('01. Main'!$B643,[1]Mapping!D$2:D$24,[1]Mapping!E$2:E$24,0,0)</f>
        <v>2022</v>
      </c>
    </row>
    <row r="644" spans="1:7" x14ac:dyDescent="0.45">
      <c r="A644" s="13">
        <f>'[1]02. Matrix'!A653</f>
        <v>643</v>
      </c>
      <c r="B644" s="14">
        <f>'[1]02. Matrix'!B653</f>
        <v>12</v>
      </c>
      <c r="C644" s="14" t="str">
        <f>'[1]02. Matrix'!C653</f>
        <v>EDUCATIONAL LOAN EMI</v>
      </c>
      <c r="D644" s="14">
        <f>'[1]02. Matrix'!D653</f>
        <v>1</v>
      </c>
      <c r="E644" s="15">
        <f>'[1]02. Matrix'!E653</f>
        <v>0</v>
      </c>
      <c r="F644" s="14" t="str">
        <f>_xlfn.XLOOKUP('01. Main'!$B644,[1]Mapping!$D:$D,[1]Mapping!$A:$A,0,0)</f>
        <v>Chaitra 78</v>
      </c>
      <c r="G644" s="16">
        <f>_xlfn.XLOOKUP('01. Main'!$B644,[1]Mapping!D$2:D$24,[1]Mapping!E$2:E$24,0,0)</f>
        <v>2022</v>
      </c>
    </row>
    <row r="645" spans="1:7" x14ac:dyDescent="0.45">
      <c r="A645" s="17">
        <f>'[1]02. Matrix'!A654</f>
        <v>644</v>
      </c>
      <c r="B645" s="18">
        <f>'[1]02. Matrix'!B654</f>
        <v>12</v>
      </c>
      <c r="C645" s="18" t="str">
        <f>'[1]02. Matrix'!C654</f>
        <v>OVERDRAFT PROFESSION</v>
      </c>
      <c r="D645" s="18">
        <f>'[1]02. Matrix'!D654</f>
        <v>1</v>
      </c>
      <c r="E645" s="19">
        <f>'[1]02. Matrix'!E654</f>
        <v>0</v>
      </c>
      <c r="F645" s="18" t="str">
        <f>_xlfn.XLOOKUP('01. Main'!$B645,[1]Mapping!$D:$D,[1]Mapping!$A:$A,0,0)</f>
        <v>Chaitra 78</v>
      </c>
      <c r="G645" s="20">
        <f>_xlfn.XLOOKUP('01. Main'!$B645,[1]Mapping!D$2:D$24,[1]Mapping!E$2:E$24,0,0)</f>
        <v>2022</v>
      </c>
    </row>
    <row r="646" spans="1:7" x14ac:dyDescent="0.45">
      <c r="A646" s="13">
        <f>'[1]02. Matrix'!A655</f>
        <v>645</v>
      </c>
      <c r="B646" s="14">
        <f>'[1]02. Matrix'!B655</f>
        <v>12</v>
      </c>
      <c r="C646" s="14" t="str">
        <f>'[1]02. Matrix'!C655</f>
        <v>OD PERSONAL LOAN</v>
      </c>
      <c r="D646" s="14">
        <f>'[1]02. Matrix'!D655</f>
        <v>2</v>
      </c>
      <c r="E646" s="15">
        <f>'[1]02. Matrix'!E655</f>
        <v>0</v>
      </c>
      <c r="F646" s="14" t="str">
        <f>_xlfn.XLOOKUP('01. Main'!$B646,[1]Mapping!$D:$D,[1]Mapping!$A:$A,0,0)</f>
        <v>Chaitra 78</v>
      </c>
      <c r="G646" s="16">
        <f>_xlfn.XLOOKUP('01. Main'!$B646,[1]Mapping!D$2:D$24,[1]Mapping!E$2:E$24,0,0)</f>
        <v>2022</v>
      </c>
    </row>
    <row r="647" spans="1:7" x14ac:dyDescent="0.45">
      <c r="A647" s="17">
        <f>'[1]02. Matrix'!A656</f>
        <v>646</v>
      </c>
      <c r="B647" s="18">
        <f>'[1]02. Matrix'!B656</f>
        <v>12</v>
      </c>
      <c r="C647" s="18" t="str">
        <f>'[1]02. Matrix'!C656</f>
        <v>OD BUSINESS LOAN</v>
      </c>
      <c r="D647" s="18">
        <f>'[1]02. Matrix'!D656</f>
        <v>2</v>
      </c>
      <c r="E647" s="19">
        <f>'[1]02. Matrix'!E656</f>
        <v>0</v>
      </c>
      <c r="F647" s="18" t="str">
        <f>_xlfn.XLOOKUP('01. Main'!$B647,[1]Mapping!$D:$D,[1]Mapping!$A:$A,0,0)</f>
        <v>Chaitra 78</v>
      </c>
      <c r="G647" s="20">
        <f>_xlfn.XLOOKUP('01. Main'!$B647,[1]Mapping!D$2:D$24,[1]Mapping!E$2:E$24,0,0)</f>
        <v>2022</v>
      </c>
    </row>
    <row r="648" spans="1:7" x14ac:dyDescent="0.45">
      <c r="A648" s="13">
        <f>'[1]02. Matrix'!A657</f>
        <v>647</v>
      </c>
      <c r="B648" s="14">
        <f>'[1]02. Matrix'!B657</f>
        <v>12</v>
      </c>
      <c r="C648" s="14" t="str">
        <f>'[1]02. Matrix'!C657</f>
        <v>OD STAFF LOAN</v>
      </c>
      <c r="D648" s="14">
        <f>'[1]02. Matrix'!D657</f>
        <v>2</v>
      </c>
      <c r="E648" s="15">
        <f>'[1]02. Matrix'!E657</f>
        <v>0</v>
      </c>
      <c r="F648" s="14" t="str">
        <f>_xlfn.XLOOKUP('01. Main'!$B648,[1]Mapping!$D:$D,[1]Mapping!$A:$A,0,0)</f>
        <v>Chaitra 78</v>
      </c>
      <c r="G648" s="16">
        <f>_xlfn.XLOOKUP('01. Main'!$B648,[1]Mapping!D$2:D$24,[1]Mapping!E$2:E$24,0,0)</f>
        <v>2022</v>
      </c>
    </row>
    <row r="649" spans="1:7" x14ac:dyDescent="0.45">
      <c r="A649" s="17">
        <f>'[1]02. Matrix'!A658</f>
        <v>648</v>
      </c>
      <c r="B649" s="18">
        <f>'[1]02. Matrix'!B658</f>
        <v>12</v>
      </c>
      <c r="C649" s="18" t="str">
        <f>'[1]02. Matrix'!C658</f>
        <v>TERM LOAN</v>
      </c>
      <c r="D649" s="18">
        <f>'[1]02. Matrix'!D658</f>
        <v>2</v>
      </c>
      <c r="E649" s="19">
        <f>'[1]02. Matrix'!E658</f>
        <v>2.7046901387768461E-2</v>
      </c>
      <c r="F649" s="18" t="str">
        <f>_xlfn.XLOOKUP('01. Main'!$B649,[1]Mapping!$D:$D,[1]Mapping!$A:$A,0,0)</f>
        <v>Chaitra 78</v>
      </c>
      <c r="G649" s="20">
        <f>_xlfn.XLOOKUP('01. Main'!$B649,[1]Mapping!D$2:D$24,[1]Mapping!E$2:E$24,0,0)</f>
        <v>2022</v>
      </c>
    </row>
    <row r="650" spans="1:7" x14ac:dyDescent="0.45">
      <c r="A650" s="13">
        <f>'[1]02. Matrix'!A659</f>
        <v>649</v>
      </c>
      <c r="B650" s="14">
        <f>'[1]02. Matrix'!B659</f>
        <v>12</v>
      </c>
      <c r="C650" s="14" t="str">
        <f>'[1]02. Matrix'!C659</f>
        <v>WC TRADING/IND LOAN</v>
      </c>
      <c r="D650" s="14">
        <f>'[1]02. Matrix'!D659</f>
        <v>2</v>
      </c>
      <c r="E650" s="15">
        <f>'[1]02. Matrix'!E659</f>
        <v>0.29502601784493832</v>
      </c>
      <c r="F650" s="14" t="str">
        <f>_xlfn.XLOOKUP('01. Main'!$B650,[1]Mapping!$D:$D,[1]Mapping!$A:$A,0,0)</f>
        <v>Chaitra 78</v>
      </c>
      <c r="G650" s="16">
        <f>_xlfn.XLOOKUP('01. Main'!$B650,[1]Mapping!D$2:D$24,[1]Mapping!E$2:E$24,0,0)</f>
        <v>2022</v>
      </c>
    </row>
    <row r="651" spans="1:7" x14ac:dyDescent="0.45">
      <c r="A651" s="17">
        <f>'[1]02. Matrix'!A660</f>
        <v>650</v>
      </c>
      <c r="B651" s="18">
        <f>'[1]02. Matrix'!B660</f>
        <v>12</v>
      </c>
      <c r="C651" s="18" t="str">
        <f>'[1]02. Matrix'!C660</f>
        <v>HOUSING LOAN</v>
      </c>
      <c r="D651" s="18">
        <f>'[1]02. Matrix'!D660</f>
        <v>2</v>
      </c>
      <c r="E651" s="19">
        <f>'[1]02. Matrix'!E660</f>
        <v>7.5813443960422819E-2</v>
      </c>
      <c r="F651" s="18" t="str">
        <f>_xlfn.XLOOKUP('01. Main'!$B651,[1]Mapping!$D:$D,[1]Mapping!$A:$A,0,0)</f>
        <v>Chaitra 78</v>
      </c>
      <c r="G651" s="20">
        <f>_xlfn.XLOOKUP('01. Main'!$B651,[1]Mapping!D$2:D$24,[1]Mapping!E$2:E$24,0,0)</f>
        <v>2022</v>
      </c>
    </row>
    <row r="652" spans="1:7" x14ac:dyDescent="0.45">
      <c r="A652" s="13">
        <f>'[1]02. Matrix'!A661</f>
        <v>651</v>
      </c>
      <c r="B652" s="14">
        <f>'[1]02. Matrix'!B661</f>
        <v>12</v>
      </c>
      <c r="C652" s="14" t="str">
        <f>'[1]02. Matrix'!C661</f>
        <v>RESI REAL EST LOAN</v>
      </c>
      <c r="D652" s="14">
        <f>'[1]02. Matrix'!D661</f>
        <v>2</v>
      </c>
      <c r="E652" s="15">
        <f>'[1]02. Matrix'!E661</f>
        <v>0.12019914418013097</v>
      </c>
      <c r="F652" s="14" t="str">
        <f>_xlfn.XLOOKUP('01. Main'!$B652,[1]Mapping!$D:$D,[1]Mapping!$A:$A,0,0)</f>
        <v>Chaitra 78</v>
      </c>
      <c r="G652" s="16">
        <f>_xlfn.XLOOKUP('01. Main'!$B652,[1]Mapping!D$2:D$24,[1]Mapping!E$2:E$24,0,0)</f>
        <v>2022</v>
      </c>
    </row>
    <row r="653" spans="1:7" x14ac:dyDescent="0.45">
      <c r="A653" s="17">
        <f>'[1]02. Matrix'!A662</f>
        <v>652</v>
      </c>
      <c r="B653" s="18">
        <f>'[1]02. Matrix'!B662</f>
        <v>12</v>
      </c>
      <c r="C653" s="18" t="str">
        <f>'[1]02. Matrix'!C662</f>
        <v>MARGIN NATURE LOAN</v>
      </c>
      <c r="D653" s="18">
        <f>'[1]02. Matrix'!D662</f>
        <v>2</v>
      </c>
      <c r="E653" s="19">
        <f>'[1]02. Matrix'!E662</f>
        <v>0</v>
      </c>
      <c r="F653" s="18" t="str">
        <f>_xlfn.XLOOKUP('01. Main'!$B653,[1]Mapping!$D:$D,[1]Mapping!$A:$A,0,0)</f>
        <v>Chaitra 78</v>
      </c>
      <c r="G653" s="20">
        <f>_xlfn.XLOOKUP('01. Main'!$B653,[1]Mapping!D$2:D$24,[1]Mapping!E$2:E$24,0,0)</f>
        <v>2022</v>
      </c>
    </row>
    <row r="654" spans="1:7" x14ac:dyDescent="0.45">
      <c r="A654" s="13">
        <f>'[1]02. Matrix'!A663</f>
        <v>653</v>
      </c>
      <c r="B654" s="14">
        <f>'[1]02. Matrix'!B663</f>
        <v>12</v>
      </c>
      <c r="C654" s="14" t="str">
        <f>'[1]02. Matrix'!C663</f>
        <v>HIRE PURCHASE LOAN</v>
      </c>
      <c r="D654" s="14">
        <f>'[1]02. Matrix'!D663</f>
        <v>2</v>
      </c>
      <c r="E654" s="15">
        <f>'[1]02. Matrix'!E663</f>
        <v>0.62472163421012705</v>
      </c>
      <c r="F654" s="14" t="str">
        <f>_xlfn.XLOOKUP('01. Main'!$B654,[1]Mapping!$D:$D,[1]Mapping!$A:$A,0,0)</f>
        <v>Chaitra 78</v>
      </c>
      <c r="G654" s="16">
        <f>_xlfn.XLOOKUP('01. Main'!$B654,[1]Mapping!D$2:D$24,[1]Mapping!E$2:E$24,0,0)</f>
        <v>2022</v>
      </c>
    </row>
    <row r="655" spans="1:7" x14ac:dyDescent="0.45">
      <c r="A655" s="17">
        <f>'[1]02. Matrix'!A664</f>
        <v>654</v>
      </c>
      <c r="B655" s="18">
        <f>'[1]02. Matrix'!B664</f>
        <v>12</v>
      </c>
      <c r="C655" s="18" t="str">
        <f>'[1]02. Matrix'!C664</f>
        <v>DEPRIVED SECTOR LOAN</v>
      </c>
      <c r="D655" s="18">
        <f>'[1]02. Matrix'!D664</f>
        <v>2</v>
      </c>
      <c r="E655" s="19">
        <f>'[1]02. Matrix'!E664</f>
        <v>1.0580560636042917E-2</v>
      </c>
      <c r="F655" s="18" t="str">
        <f>_xlfn.XLOOKUP('01. Main'!$B655,[1]Mapping!$D:$D,[1]Mapping!$A:$A,0,0)</f>
        <v>Chaitra 78</v>
      </c>
      <c r="G655" s="20">
        <f>_xlfn.XLOOKUP('01. Main'!$B655,[1]Mapping!D$2:D$24,[1]Mapping!E$2:E$24,0,0)</f>
        <v>2022</v>
      </c>
    </row>
    <row r="656" spans="1:7" x14ac:dyDescent="0.45">
      <c r="A656" s="13">
        <f>'[1]02. Matrix'!A665</f>
        <v>655</v>
      </c>
      <c r="B656" s="14">
        <f>'[1]02. Matrix'!B665</f>
        <v>12</v>
      </c>
      <c r="C656" s="14" t="str">
        <f>'[1]02. Matrix'!C665</f>
        <v>EDUCATIONAL LOAN</v>
      </c>
      <c r="D656" s="14">
        <f>'[1]02. Matrix'!D665</f>
        <v>2</v>
      </c>
      <c r="E656" s="15">
        <f>'[1]02. Matrix'!E665</f>
        <v>0.10959995551890482</v>
      </c>
      <c r="F656" s="14" t="str">
        <f>_xlfn.XLOOKUP('01. Main'!$B656,[1]Mapping!$D:$D,[1]Mapping!$A:$A,0,0)</f>
        <v>Chaitra 78</v>
      </c>
      <c r="G656" s="16">
        <f>_xlfn.XLOOKUP('01. Main'!$B656,[1]Mapping!D$2:D$24,[1]Mapping!E$2:E$24,0,0)</f>
        <v>2022</v>
      </c>
    </row>
    <row r="657" spans="1:7" x14ac:dyDescent="0.45">
      <c r="A657" s="17">
        <f>'[1]02. Matrix'!A666</f>
        <v>656</v>
      </c>
      <c r="B657" s="18">
        <f>'[1]02. Matrix'!B666</f>
        <v>12</v>
      </c>
      <c r="C657" s="18" t="str">
        <f>'[1]02. Matrix'!C666</f>
        <v>AGRICULTURE LOAN</v>
      </c>
      <c r="D657" s="18">
        <f>'[1]02. Matrix'!D666</f>
        <v>2</v>
      </c>
      <c r="E657" s="19">
        <f>'[1]02. Matrix'!E666</f>
        <v>4.9421922650027539E-2</v>
      </c>
      <c r="F657" s="18" t="str">
        <f>_xlfn.XLOOKUP('01. Main'!$B657,[1]Mapping!$D:$D,[1]Mapping!$A:$A,0,0)</f>
        <v>Chaitra 78</v>
      </c>
      <c r="G657" s="20">
        <f>_xlfn.XLOOKUP('01. Main'!$B657,[1]Mapping!D$2:D$24,[1]Mapping!E$2:E$24,0,0)</f>
        <v>2022</v>
      </c>
    </row>
    <row r="658" spans="1:7" x14ac:dyDescent="0.45">
      <c r="A658" s="13">
        <f>'[1]02. Matrix'!A667</f>
        <v>657</v>
      </c>
      <c r="B658" s="14">
        <f>'[1]02. Matrix'!B667</f>
        <v>12</v>
      </c>
      <c r="C658" s="14" t="str">
        <f>'[1]02. Matrix'!C667</f>
        <v>RESI PER.HOME-EMI</v>
      </c>
      <c r="D658" s="14">
        <f>'[1]02. Matrix'!D667</f>
        <v>2</v>
      </c>
      <c r="E658" s="15">
        <f>'[1]02. Matrix'!E667</f>
        <v>6.4799365659608449E-2</v>
      </c>
      <c r="F658" s="14" t="str">
        <f>_xlfn.XLOOKUP('01. Main'!$B658,[1]Mapping!$D:$D,[1]Mapping!$A:$A,0,0)</f>
        <v>Chaitra 78</v>
      </c>
      <c r="G658" s="16">
        <f>_xlfn.XLOOKUP('01. Main'!$B658,[1]Mapping!D$2:D$24,[1]Mapping!E$2:E$24,0,0)</f>
        <v>2022</v>
      </c>
    </row>
    <row r="659" spans="1:7" x14ac:dyDescent="0.45">
      <c r="A659" s="17">
        <f>'[1]02. Matrix'!A668</f>
        <v>658</v>
      </c>
      <c r="B659" s="18">
        <f>'[1]02. Matrix'!B668</f>
        <v>12</v>
      </c>
      <c r="C659" s="18" t="str">
        <f>'[1]02. Matrix'!C668</f>
        <v>TERM LOAN - BUSINESS</v>
      </c>
      <c r="D659" s="18">
        <f>'[1]02. Matrix'!D668</f>
        <v>2</v>
      </c>
      <c r="E659" s="19">
        <f>'[1]02. Matrix'!E668</f>
        <v>0</v>
      </c>
      <c r="F659" s="18" t="str">
        <f>_xlfn.XLOOKUP('01. Main'!$B659,[1]Mapping!$D:$D,[1]Mapping!$A:$A,0,0)</f>
        <v>Chaitra 78</v>
      </c>
      <c r="G659" s="20">
        <f>_xlfn.XLOOKUP('01. Main'!$B659,[1]Mapping!D$2:D$24,[1]Mapping!E$2:E$24,0,0)</f>
        <v>2022</v>
      </c>
    </row>
    <row r="660" spans="1:7" x14ac:dyDescent="0.45">
      <c r="A660" s="13">
        <f>'[1]02. Matrix'!A669</f>
        <v>659</v>
      </c>
      <c r="B660" s="14">
        <f>'[1]02. Matrix'!B669</f>
        <v>12</v>
      </c>
      <c r="C660" s="14" t="str">
        <f>'[1]02. Matrix'!C669</f>
        <v>CONS FIN BUSN TRM LO</v>
      </c>
      <c r="D660" s="14">
        <f>'[1]02. Matrix'!D669</f>
        <v>2</v>
      </c>
      <c r="E660" s="15">
        <f>'[1]02. Matrix'!E669</f>
        <v>0</v>
      </c>
      <c r="F660" s="14" t="str">
        <f>_xlfn.XLOOKUP('01. Main'!$B660,[1]Mapping!$D:$D,[1]Mapping!$A:$A,0,0)</f>
        <v>Chaitra 78</v>
      </c>
      <c r="G660" s="16">
        <f>_xlfn.XLOOKUP('01. Main'!$B660,[1]Mapping!D$2:D$24,[1]Mapping!E$2:E$24,0,0)</f>
        <v>2022</v>
      </c>
    </row>
    <row r="661" spans="1:7" x14ac:dyDescent="0.45">
      <c r="A661" s="17">
        <f>'[1]02. Matrix'!A670</f>
        <v>660</v>
      </c>
      <c r="B661" s="18">
        <f>'[1]02. Matrix'!B670</f>
        <v>12</v>
      </c>
      <c r="C661" s="18" t="str">
        <f>'[1]02. Matrix'!C670</f>
        <v>BIS/PERHIRE PURCHASE</v>
      </c>
      <c r="D661" s="18">
        <f>'[1]02. Matrix'!D670</f>
        <v>2</v>
      </c>
      <c r="E661" s="19">
        <f>'[1]02. Matrix'!E670</f>
        <v>0.20374174845682214</v>
      </c>
      <c r="F661" s="18" t="str">
        <f>_xlfn.XLOOKUP('01. Main'!$B661,[1]Mapping!$D:$D,[1]Mapping!$A:$A,0,0)</f>
        <v>Chaitra 78</v>
      </c>
      <c r="G661" s="20">
        <f>_xlfn.XLOOKUP('01. Main'!$B661,[1]Mapping!D$2:D$24,[1]Mapping!E$2:E$24,0,0)</f>
        <v>2022</v>
      </c>
    </row>
    <row r="662" spans="1:7" x14ac:dyDescent="0.45">
      <c r="A662" s="13">
        <f>'[1]02. Matrix'!A671</f>
        <v>661</v>
      </c>
      <c r="B662" s="14">
        <f>'[1]02. Matrix'!B671</f>
        <v>12</v>
      </c>
      <c r="C662" s="14" t="str">
        <f>'[1]02. Matrix'!C671</f>
        <v xml:space="preserve">INT CAP TERM LOAN </v>
      </c>
      <c r="D662" s="14">
        <f>'[1]02. Matrix'!D671</f>
        <v>2</v>
      </c>
      <c r="E662" s="15">
        <f>'[1]02. Matrix'!E671</f>
        <v>0</v>
      </c>
      <c r="F662" s="14" t="str">
        <f>_xlfn.XLOOKUP('01. Main'!$B662,[1]Mapping!$D:$D,[1]Mapping!$A:$A,0,0)</f>
        <v>Chaitra 78</v>
      </c>
      <c r="G662" s="16">
        <f>_xlfn.XLOOKUP('01. Main'!$B662,[1]Mapping!D$2:D$24,[1]Mapping!E$2:E$24,0,0)</f>
        <v>2022</v>
      </c>
    </row>
    <row r="663" spans="1:7" x14ac:dyDescent="0.45">
      <c r="A663" s="17">
        <f>'[1]02. Matrix'!A672</f>
        <v>662</v>
      </c>
      <c r="B663" s="18">
        <f>'[1]02. Matrix'!B672</f>
        <v>12</v>
      </c>
      <c r="C663" s="18" t="str">
        <f>'[1]02. Matrix'!C672</f>
        <v>PERSONAL LOAN</v>
      </c>
      <c r="D663" s="18">
        <f>'[1]02. Matrix'!D672</f>
        <v>2</v>
      </c>
      <c r="E663" s="19">
        <f>'[1]02. Matrix'!E672</f>
        <v>6.9625445399834188E-2</v>
      </c>
      <c r="F663" s="18" t="str">
        <f>_xlfn.XLOOKUP('01. Main'!$B663,[1]Mapping!$D:$D,[1]Mapping!$A:$A,0,0)</f>
        <v>Chaitra 78</v>
      </c>
      <c r="G663" s="20">
        <f>_xlfn.XLOOKUP('01. Main'!$B663,[1]Mapping!D$2:D$24,[1]Mapping!E$2:E$24,0,0)</f>
        <v>2022</v>
      </c>
    </row>
    <row r="664" spans="1:7" x14ac:dyDescent="0.45">
      <c r="A664" s="13">
        <f>'[1]02. Matrix'!A673</f>
        <v>663</v>
      </c>
      <c r="B664" s="14">
        <f>'[1]02. Matrix'!B673</f>
        <v>12</v>
      </c>
      <c r="C664" s="14" t="str">
        <f>'[1]02. Matrix'!C673</f>
        <v>MORTGAGE LOAN</v>
      </c>
      <c r="D664" s="14">
        <f>'[1]02. Matrix'!D673</f>
        <v>2</v>
      </c>
      <c r="E664" s="15">
        <f>'[1]02. Matrix'!E673</f>
        <v>0</v>
      </c>
      <c r="F664" s="14" t="str">
        <f>_xlfn.XLOOKUP('01. Main'!$B664,[1]Mapping!$D:$D,[1]Mapping!$A:$A,0,0)</f>
        <v>Chaitra 78</v>
      </c>
      <c r="G664" s="16">
        <f>_xlfn.XLOOKUP('01. Main'!$B664,[1]Mapping!D$2:D$24,[1]Mapping!E$2:E$24,0,0)</f>
        <v>2022</v>
      </c>
    </row>
    <row r="665" spans="1:7" x14ac:dyDescent="0.45">
      <c r="A665" s="17">
        <f>'[1]02. Matrix'!A674</f>
        <v>664</v>
      </c>
      <c r="B665" s="18">
        <f>'[1]02. Matrix'!B674</f>
        <v>12</v>
      </c>
      <c r="C665" s="18" t="str">
        <f>'[1]02. Matrix'!C674</f>
        <v>LOAN AGAINST FDR</v>
      </c>
      <c r="D665" s="18">
        <f>'[1]02. Matrix'!D674</f>
        <v>2</v>
      </c>
      <c r="E665" s="19">
        <f>'[1]02. Matrix'!E674</f>
        <v>0</v>
      </c>
      <c r="F665" s="18" t="str">
        <f>_xlfn.XLOOKUP('01. Main'!$B665,[1]Mapping!$D:$D,[1]Mapping!$A:$A,0,0)</f>
        <v>Chaitra 78</v>
      </c>
      <c r="G665" s="20">
        <f>_xlfn.XLOOKUP('01. Main'!$B665,[1]Mapping!D$2:D$24,[1]Mapping!E$2:E$24,0,0)</f>
        <v>2022</v>
      </c>
    </row>
    <row r="666" spans="1:7" x14ac:dyDescent="0.45">
      <c r="A666" s="13">
        <f>'[1]02. Matrix'!A675</f>
        <v>665</v>
      </c>
      <c r="B666" s="14">
        <f>'[1]02. Matrix'!B675</f>
        <v>12</v>
      </c>
      <c r="C666" s="14" t="str">
        <f>'[1]02. Matrix'!C675</f>
        <v>RECEIVABLE LOAN</v>
      </c>
      <c r="D666" s="14">
        <f>'[1]02. Matrix'!D675</f>
        <v>2</v>
      </c>
      <c r="E666" s="15">
        <f>'[1]02. Matrix'!E675</f>
        <v>0</v>
      </c>
      <c r="F666" s="14" t="str">
        <f>_xlfn.XLOOKUP('01. Main'!$B666,[1]Mapping!$D:$D,[1]Mapping!$A:$A,0,0)</f>
        <v>Chaitra 78</v>
      </c>
      <c r="G666" s="16">
        <f>_xlfn.XLOOKUP('01. Main'!$B666,[1]Mapping!D$2:D$24,[1]Mapping!E$2:E$24,0,0)</f>
        <v>2022</v>
      </c>
    </row>
    <row r="667" spans="1:7" x14ac:dyDescent="0.45">
      <c r="A667" s="17">
        <f>'[1]02. Matrix'!A676</f>
        <v>666</v>
      </c>
      <c r="B667" s="18">
        <f>'[1]02. Matrix'!B676</f>
        <v>12</v>
      </c>
      <c r="C667" s="18" t="str">
        <f>'[1]02. Matrix'!C676</f>
        <v>STAFF LOAN</v>
      </c>
      <c r="D667" s="18">
        <f>'[1]02. Matrix'!D676</f>
        <v>2</v>
      </c>
      <c r="E667" s="19">
        <f>'[1]02. Matrix'!E676</f>
        <v>0</v>
      </c>
      <c r="F667" s="18" t="str">
        <f>_xlfn.XLOOKUP('01. Main'!$B667,[1]Mapping!$D:$D,[1]Mapping!$A:$A,0,0)</f>
        <v>Chaitra 78</v>
      </c>
      <c r="G667" s="20">
        <f>_xlfn.XLOOKUP('01. Main'!$B667,[1]Mapping!D$2:D$24,[1]Mapping!E$2:E$24,0,0)</f>
        <v>2022</v>
      </c>
    </row>
    <row r="668" spans="1:7" x14ac:dyDescent="0.45">
      <c r="A668" s="13">
        <f>'[1]02. Matrix'!A677</f>
        <v>667</v>
      </c>
      <c r="B668" s="14">
        <f>'[1]02. Matrix'!B677</f>
        <v>12</v>
      </c>
      <c r="C668" s="14" t="str">
        <f>'[1]02. Matrix'!C677</f>
        <v>AGRICULTURAL LOAN</v>
      </c>
      <c r="D668" s="14">
        <f>'[1]02. Matrix'!D677</f>
        <v>2</v>
      </c>
      <c r="E668" s="15">
        <f>'[1]02. Matrix'!E677</f>
        <v>0</v>
      </c>
      <c r="F668" s="14" t="str">
        <f>_xlfn.XLOOKUP('01. Main'!$B668,[1]Mapping!$D:$D,[1]Mapping!$A:$A,0,0)</f>
        <v>Chaitra 78</v>
      </c>
      <c r="G668" s="16">
        <f>_xlfn.XLOOKUP('01. Main'!$B668,[1]Mapping!D$2:D$24,[1]Mapping!E$2:E$24,0,0)</f>
        <v>2022</v>
      </c>
    </row>
    <row r="669" spans="1:7" x14ac:dyDescent="0.45">
      <c r="A669" s="17">
        <f>'[1]02. Matrix'!A678</f>
        <v>668</v>
      </c>
      <c r="B669" s="18">
        <f>'[1]02. Matrix'!B678</f>
        <v>12</v>
      </c>
      <c r="C669" s="18" t="str">
        <f>'[1]02. Matrix'!C678</f>
        <v>EARTHQUAKE RELIEF LO</v>
      </c>
      <c r="D669" s="18">
        <f>'[1]02. Matrix'!D678</f>
        <v>2</v>
      </c>
      <c r="E669" s="19">
        <f>'[1]02. Matrix'!E678</f>
        <v>0</v>
      </c>
      <c r="F669" s="18" t="str">
        <f>_xlfn.XLOOKUP('01. Main'!$B669,[1]Mapping!$D:$D,[1]Mapping!$A:$A,0,0)</f>
        <v>Chaitra 78</v>
      </c>
      <c r="G669" s="20">
        <f>_xlfn.XLOOKUP('01. Main'!$B669,[1]Mapping!D$2:D$24,[1]Mapping!E$2:E$24,0,0)</f>
        <v>2022</v>
      </c>
    </row>
    <row r="670" spans="1:7" x14ac:dyDescent="0.45">
      <c r="A670" s="13">
        <f>'[1]02. Matrix'!A679</f>
        <v>669</v>
      </c>
      <c r="B670" s="14">
        <f>'[1]02. Matrix'!B679</f>
        <v>12</v>
      </c>
      <c r="C670" s="14" t="str">
        <f>'[1]02. Matrix'!C679</f>
        <v>TOURISM SECTOR LOAN</v>
      </c>
      <c r="D670" s="14">
        <f>'[1]02. Matrix'!D679</f>
        <v>2</v>
      </c>
      <c r="E670" s="15">
        <f>'[1]02. Matrix'!E679</f>
        <v>0</v>
      </c>
      <c r="F670" s="14" t="str">
        <f>_xlfn.XLOOKUP('01. Main'!$B670,[1]Mapping!$D:$D,[1]Mapping!$A:$A,0,0)</f>
        <v>Chaitra 78</v>
      </c>
      <c r="G670" s="16">
        <f>_xlfn.XLOOKUP('01. Main'!$B670,[1]Mapping!D$2:D$24,[1]Mapping!E$2:E$24,0,0)</f>
        <v>2022</v>
      </c>
    </row>
    <row r="671" spans="1:7" x14ac:dyDescent="0.45">
      <c r="A671" s="17">
        <f>'[1]02. Matrix'!A680</f>
        <v>670</v>
      </c>
      <c r="B671" s="18">
        <f>'[1]02. Matrix'!B680</f>
        <v>12</v>
      </c>
      <c r="C671" s="18" t="str">
        <f>'[1]02. Matrix'!C680</f>
        <v>SME LOAN</v>
      </c>
      <c r="D671" s="18">
        <f>'[1]02. Matrix'!D680</f>
        <v>2</v>
      </c>
      <c r="E671" s="19">
        <f>'[1]02. Matrix'!E680</f>
        <v>0</v>
      </c>
      <c r="F671" s="18" t="str">
        <f>_xlfn.XLOOKUP('01. Main'!$B671,[1]Mapping!$D:$D,[1]Mapping!$A:$A,0,0)</f>
        <v>Chaitra 78</v>
      </c>
      <c r="G671" s="20">
        <f>_xlfn.XLOOKUP('01. Main'!$B671,[1]Mapping!D$2:D$24,[1]Mapping!E$2:E$24,0,0)</f>
        <v>2022</v>
      </c>
    </row>
    <row r="672" spans="1:7" x14ac:dyDescent="0.45">
      <c r="A672" s="13">
        <f>'[1]02. Matrix'!A681</f>
        <v>671</v>
      </c>
      <c r="B672" s="14">
        <f>'[1]02. Matrix'!B681</f>
        <v>12</v>
      </c>
      <c r="C672" s="14" t="str">
        <f>'[1]02. Matrix'!C681</f>
        <v>EDUCATIONAL LOAN EMI</v>
      </c>
      <c r="D672" s="14">
        <f>'[1]02. Matrix'!D681</f>
        <v>2</v>
      </c>
      <c r="E672" s="15">
        <f>'[1]02. Matrix'!E681</f>
        <v>0</v>
      </c>
      <c r="F672" s="14" t="str">
        <f>_xlfn.XLOOKUP('01. Main'!$B672,[1]Mapping!$D:$D,[1]Mapping!$A:$A,0,0)</f>
        <v>Chaitra 78</v>
      </c>
      <c r="G672" s="16">
        <f>_xlfn.XLOOKUP('01. Main'!$B672,[1]Mapping!D$2:D$24,[1]Mapping!E$2:E$24,0,0)</f>
        <v>2022</v>
      </c>
    </row>
    <row r="673" spans="1:7" x14ac:dyDescent="0.45">
      <c r="A673" s="17">
        <f>'[1]02. Matrix'!A682</f>
        <v>672</v>
      </c>
      <c r="B673" s="18">
        <f>'[1]02. Matrix'!B682</f>
        <v>12</v>
      </c>
      <c r="C673" s="18" t="str">
        <f>'[1]02. Matrix'!C682</f>
        <v>OVERDRAFT PROFESSION</v>
      </c>
      <c r="D673" s="18">
        <f>'[1]02. Matrix'!D682</f>
        <v>2</v>
      </c>
      <c r="E673" s="19">
        <f>'[1]02. Matrix'!E682</f>
        <v>0</v>
      </c>
      <c r="F673" s="18" t="str">
        <f>_xlfn.XLOOKUP('01. Main'!$B673,[1]Mapping!$D:$D,[1]Mapping!$A:$A,0,0)</f>
        <v>Chaitra 78</v>
      </c>
      <c r="G673" s="20">
        <f>_xlfn.XLOOKUP('01. Main'!$B673,[1]Mapping!D$2:D$24,[1]Mapping!E$2:E$24,0,0)</f>
        <v>2022</v>
      </c>
    </row>
    <row r="674" spans="1:7" x14ac:dyDescent="0.45">
      <c r="A674" s="13">
        <f>'[1]02. Matrix'!A683</f>
        <v>673</v>
      </c>
      <c r="B674" s="14">
        <f>'[1]02. Matrix'!B683</f>
        <v>11</v>
      </c>
      <c r="C674" s="14" t="str">
        <f>'[1]02. Matrix'!C683</f>
        <v>OD PERSONAL LOAN</v>
      </c>
      <c r="D674" s="14">
        <f>'[1]02. Matrix'!D683</f>
        <v>1</v>
      </c>
      <c r="E674" s="15">
        <f>'[1]02. Matrix'!E683</f>
        <v>0</v>
      </c>
      <c r="F674" s="14" t="str">
        <f>_xlfn.XLOOKUP('01. Main'!$B674,[1]Mapping!$D:$D,[1]Mapping!$A:$A,0,0)</f>
        <v>Poush 78</v>
      </c>
      <c r="G674" s="16">
        <f>_xlfn.XLOOKUP('01. Main'!$B674,[1]Mapping!D$2:D$24,[1]Mapping!E$2:E$24,0,0)</f>
        <v>2021</v>
      </c>
    </row>
    <row r="675" spans="1:7" x14ac:dyDescent="0.45">
      <c r="A675" s="17">
        <f>'[1]02. Matrix'!A684</f>
        <v>674</v>
      </c>
      <c r="B675" s="18">
        <f>'[1]02. Matrix'!B684</f>
        <v>11</v>
      </c>
      <c r="C675" s="18" t="str">
        <f>'[1]02. Matrix'!C684</f>
        <v>OD BUSINESS LOAN</v>
      </c>
      <c r="D675" s="18">
        <f>'[1]02. Matrix'!D684</f>
        <v>1</v>
      </c>
      <c r="E675" s="19">
        <f>'[1]02. Matrix'!E684</f>
        <v>0</v>
      </c>
      <c r="F675" s="18" t="str">
        <f>_xlfn.XLOOKUP('01. Main'!$B675,[1]Mapping!$D:$D,[1]Mapping!$A:$A,0,0)</f>
        <v>Poush 78</v>
      </c>
      <c r="G675" s="20">
        <f>_xlfn.XLOOKUP('01. Main'!$B675,[1]Mapping!D$2:D$24,[1]Mapping!E$2:E$24,0,0)</f>
        <v>2021</v>
      </c>
    </row>
    <row r="676" spans="1:7" x14ac:dyDescent="0.45">
      <c r="A676" s="13">
        <f>'[1]02. Matrix'!A685</f>
        <v>675</v>
      </c>
      <c r="B676" s="14">
        <f>'[1]02. Matrix'!B685</f>
        <v>11</v>
      </c>
      <c r="C676" s="14" t="str">
        <f>'[1]02. Matrix'!C685</f>
        <v>OD STAFF LOAN</v>
      </c>
      <c r="D676" s="14">
        <f>'[1]02. Matrix'!D685</f>
        <v>1</v>
      </c>
      <c r="E676" s="15">
        <f>'[1]02. Matrix'!E685</f>
        <v>0</v>
      </c>
      <c r="F676" s="14" t="str">
        <f>_xlfn.XLOOKUP('01. Main'!$B676,[1]Mapping!$D:$D,[1]Mapping!$A:$A,0,0)</f>
        <v>Poush 78</v>
      </c>
      <c r="G676" s="16">
        <f>_xlfn.XLOOKUP('01. Main'!$B676,[1]Mapping!D$2:D$24,[1]Mapping!E$2:E$24,0,0)</f>
        <v>2021</v>
      </c>
    </row>
    <row r="677" spans="1:7" x14ac:dyDescent="0.45">
      <c r="A677" s="17">
        <f>'[1]02. Matrix'!A686</f>
        <v>676</v>
      </c>
      <c r="B677" s="18">
        <f>'[1]02. Matrix'!B686</f>
        <v>11</v>
      </c>
      <c r="C677" s="18" t="str">
        <f>'[1]02. Matrix'!C686</f>
        <v>TERM LOAN</v>
      </c>
      <c r="D677" s="18">
        <f>'[1]02. Matrix'!D686</f>
        <v>1</v>
      </c>
      <c r="E677" s="19">
        <f>'[1]02. Matrix'!E686</f>
        <v>1.9584101091558601E-2</v>
      </c>
      <c r="F677" s="18" t="str">
        <f>_xlfn.XLOOKUP('01. Main'!$B677,[1]Mapping!$D:$D,[1]Mapping!$A:$A,0,0)</f>
        <v>Poush 78</v>
      </c>
      <c r="G677" s="20">
        <f>_xlfn.XLOOKUP('01. Main'!$B677,[1]Mapping!D$2:D$24,[1]Mapping!E$2:E$24,0,0)</f>
        <v>2021</v>
      </c>
    </row>
    <row r="678" spans="1:7" x14ac:dyDescent="0.45">
      <c r="A678" s="13">
        <f>'[1]02. Matrix'!A687</f>
        <v>677</v>
      </c>
      <c r="B678" s="14">
        <f>'[1]02. Matrix'!B687</f>
        <v>11</v>
      </c>
      <c r="C678" s="14" t="str">
        <f>'[1]02. Matrix'!C687</f>
        <v>WC TRADING/IND LOAN</v>
      </c>
      <c r="D678" s="14">
        <f>'[1]02. Matrix'!D687</f>
        <v>1</v>
      </c>
      <c r="E678" s="15">
        <f>'[1]02. Matrix'!E687</f>
        <v>4.35052274979134E-3</v>
      </c>
      <c r="F678" s="14" t="str">
        <f>_xlfn.XLOOKUP('01. Main'!$B678,[1]Mapping!$D:$D,[1]Mapping!$A:$A,0,0)</f>
        <v>Poush 78</v>
      </c>
      <c r="G678" s="16">
        <f>_xlfn.XLOOKUP('01. Main'!$B678,[1]Mapping!D$2:D$24,[1]Mapping!E$2:E$24,0,0)</f>
        <v>2021</v>
      </c>
    </row>
    <row r="679" spans="1:7" x14ac:dyDescent="0.45">
      <c r="A679" s="17">
        <f>'[1]02. Matrix'!A688</f>
        <v>678</v>
      </c>
      <c r="B679" s="18">
        <f>'[1]02. Matrix'!B688</f>
        <v>11</v>
      </c>
      <c r="C679" s="18" t="str">
        <f>'[1]02. Matrix'!C688</f>
        <v>HOUSING LOAN</v>
      </c>
      <c r="D679" s="18">
        <f>'[1]02. Matrix'!D688</f>
        <v>1</v>
      </c>
      <c r="E679" s="19">
        <f>'[1]02. Matrix'!E688</f>
        <v>7.7936830428050885E-3</v>
      </c>
      <c r="F679" s="18" t="str">
        <f>_xlfn.XLOOKUP('01. Main'!$B679,[1]Mapping!$D:$D,[1]Mapping!$A:$A,0,0)</f>
        <v>Poush 78</v>
      </c>
      <c r="G679" s="20">
        <f>_xlfn.XLOOKUP('01. Main'!$B679,[1]Mapping!D$2:D$24,[1]Mapping!E$2:E$24,0,0)</f>
        <v>2021</v>
      </c>
    </row>
    <row r="680" spans="1:7" x14ac:dyDescent="0.45">
      <c r="A680" s="13">
        <f>'[1]02. Matrix'!A689</f>
        <v>679</v>
      </c>
      <c r="B680" s="14">
        <f>'[1]02. Matrix'!B689</f>
        <v>11</v>
      </c>
      <c r="C680" s="14" t="str">
        <f>'[1]02. Matrix'!C689</f>
        <v>RESI REAL EST LOAN</v>
      </c>
      <c r="D680" s="14">
        <f>'[1]02. Matrix'!D689</f>
        <v>1</v>
      </c>
      <c r="E680" s="15">
        <f>'[1]02. Matrix'!E689</f>
        <v>0</v>
      </c>
      <c r="F680" s="14" t="str">
        <f>_xlfn.XLOOKUP('01. Main'!$B680,[1]Mapping!$D:$D,[1]Mapping!$A:$A,0,0)</f>
        <v>Poush 78</v>
      </c>
      <c r="G680" s="16">
        <f>_xlfn.XLOOKUP('01. Main'!$B680,[1]Mapping!D$2:D$24,[1]Mapping!E$2:E$24,0,0)</f>
        <v>2021</v>
      </c>
    </row>
    <row r="681" spans="1:7" x14ac:dyDescent="0.45">
      <c r="A681" s="17">
        <f>'[1]02. Matrix'!A690</f>
        <v>680</v>
      </c>
      <c r="B681" s="18">
        <f>'[1]02. Matrix'!B690</f>
        <v>11</v>
      </c>
      <c r="C681" s="18" t="str">
        <f>'[1]02. Matrix'!C690</f>
        <v>MARGIN NATURE LOAN</v>
      </c>
      <c r="D681" s="18">
        <f>'[1]02. Matrix'!D690</f>
        <v>1</v>
      </c>
      <c r="E681" s="19">
        <f>'[1]02. Matrix'!E690</f>
        <v>0</v>
      </c>
      <c r="F681" s="18" t="str">
        <f>_xlfn.XLOOKUP('01. Main'!$B681,[1]Mapping!$D:$D,[1]Mapping!$A:$A,0,0)</f>
        <v>Poush 78</v>
      </c>
      <c r="G681" s="20">
        <f>_xlfn.XLOOKUP('01. Main'!$B681,[1]Mapping!D$2:D$24,[1]Mapping!E$2:E$24,0,0)</f>
        <v>2021</v>
      </c>
    </row>
    <row r="682" spans="1:7" x14ac:dyDescent="0.45">
      <c r="A682" s="13">
        <f>'[1]02. Matrix'!A691</f>
        <v>681</v>
      </c>
      <c r="B682" s="14">
        <f>'[1]02. Matrix'!B691</f>
        <v>11</v>
      </c>
      <c r="C682" s="14" t="str">
        <f>'[1]02. Matrix'!C691</f>
        <v>HIRE PURCHASE LOAN</v>
      </c>
      <c r="D682" s="14">
        <f>'[1]02. Matrix'!D691</f>
        <v>1</v>
      </c>
      <c r="E682" s="15">
        <f>'[1]02. Matrix'!E691</f>
        <v>0.15295318455856344</v>
      </c>
      <c r="F682" s="14" t="str">
        <f>_xlfn.XLOOKUP('01. Main'!$B682,[1]Mapping!$D:$D,[1]Mapping!$A:$A,0,0)</f>
        <v>Poush 78</v>
      </c>
      <c r="G682" s="16">
        <f>_xlfn.XLOOKUP('01. Main'!$B682,[1]Mapping!D$2:D$24,[1]Mapping!E$2:E$24,0,0)</f>
        <v>2021</v>
      </c>
    </row>
    <row r="683" spans="1:7" x14ac:dyDescent="0.45">
      <c r="A683" s="17">
        <f>'[1]02. Matrix'!A692</f>
        <v>682</v>
      </c>
      <c r="B683" s="18">
        <f>'[1]02. Matrix'!B692</f>
        <v>11</v>
      </c>
      <c r="C683" s="18" t="str">
        <f>'[1]02. Matrix'!C692</f>
        <v>DEPRIVED SECTOR LOAN</v>
      </c>
      <c r="D683" s="18">
        <f>'[1]02. Matrix'!D692</f>
        <v>1</v>
      </c>
      <c r="E683" s="19">
        <f>'[1]02. Matrix'!E692</f>
        <v>3.958648511592347E-3</v>
      </c>
      <c r="F683" s="18" t="str">
        <f>_xlfn.XLOOKUP('01. Main'!$B683,[1]Mapping!$D:$D,[1]Mapping!$A:$A,0,0)</f>
        <v>Poush 78</v>
      </c>
      <c r="G683" s="20">
        <f>_xlfn.XLOOKUP('01. Main'!$B683,[1]Mapping!D$2:D$24,[1]Mapping!E$2:E$24,0,0)</f>
        <v>2021</v>
      </c>
    </row>
    <row r="684" spans="1:7" x14ac:dyDescent="0.45">
      <c r="A684" s="13">
        <f>'[1]02. Matrix'!A693</f>
        <v>683</v>
      </c>
      <c r="B684" s="14">
        <f>'[1]02. Matrix'!B693</f>
        <v>11</v>
      </c>
      <c r="C684" s="14" t="str">
        <f>'[1]02. Matrix'!C693</f>
        <v>EDUCATIONAL LOAN</v>
      </c>
      <c r="D684" s="14">
        <f>'[1]02. Matrix'!D693</f>
        <v>1</v>
      </c>
      <c r="E684" s="15">
        <f>'[1]02. Matrix'!E693</f>
        <v>4.7997158300209015E-2</v>
      </c>
      <c r="F684" s="14" t="str">
        <f>_xlfn.XLOOKUP('01. Main'!$B684,[1]Mapping!$D:$D,[1]Mapping!$A:$A,0,0)</f>
        <v>Poush 78</v>
      </c>
      <c r="G684" s="16">
        <f>_xlfn.XLOOKUP('01. Main'!$B684,[1]Mapping!D$2:D$24,[1]Mapping!E$2:E$24,0,0)</f>
        <v>2021</v>
      </c>
    </row>
    <row r="685" spans="1:7" x14ac:dyDescent="0.45">
      <c r="A685" s="17">
        <f>'[1]02. Matrix'!A694</f>
        <v>684</v>
      </c>
      <c r="B685" s="18">
        <f>'[1]02. Matrix'!B694</f>
        <v>11</v>
      </c>
      <c r="C685" s="18" t="str">
        <f>'[1]02. Matrix'!C694</f>
        <v>AGRICULTURE LOAN</v>
      </c>
      <c r="D685" s="18">
        <f>'[1]02. Matrix'!D694</f>
        <v>1</v>
      </c>
      <c r="E685" s="19">
        <f>'[1]02. Matrix'!E694</f>
        <v>4.1715373241307703E-3</v>
      </c>
      <c r="F685" s="18" t="str">
        <f>_xlfn.XLOOKUP('01. Main'!$B685,[1]Mapping!$D:$D,[1]Mapping!$A:$A,0,0)</f>
        <v>Poush 78</v>
      </c>
      <c r="G685" s="20">
        <f>_xlfn.XLOOKUP('01. Main'!$B685,[1]Mapping!D$2:D$24,[1]Mapping!E$2:E$24,0,0)</f>
        <v>2021</v>
      </c>
    </row>
    <row r="686" spans="1:7" x14ac:dyDescent="0.45">
      <c r="A686" s="13">
        <f>'[1]02. Matrix'!A695</f>
        <v>685</v>
      </c>
      <c r="B686" s="14">
        <f>'[1]02. Matrix'!B695</f>
        <v>11</v>
      </c>
      <c r="C686" s="14" t="str">
        <f>'[1]02. Matrix'!C695</f>
        <v>RESI PER.HOME-EMI</v>
      </c>
      <c r="D686" s="14">
        <f>'[1]02. Matrix'!D695</f>
        <v>1</v>
      </c>
      <c r="E686" s="15">
        <f>'[1]02. Matrix'!E695</f>
        <v>1.0583214896988021E-2</v>
      </c>
      <c r="F686" s="14" t="str">
        <f>_xlfn.XLOOKUP('01. Main'!$B686,[1]Mapping!$D:$D,[1]Mapping!$A:$A,0,0)</f>
        <v>Poush 78</v>
      </c>
      <c r="G686" s="16">
        <f>_xlfn.XLOOKUP('01. Main'!$B686,[1]Mapping!D$2:D$24,[1]Mapping!E$2:E$24,0,0)</f>
        <v>2021</v>
      </c>
    </row>
    <row r="687" spans="1:7" x14ac:dyDescent="0.45">
      <c r="A687" s="17">
        <f>'[1]02. Matrix'!A696</f>
        <v>686</v>
      </c>
      <c r="B687" s="18">
        <f>'[1]02. Matrix'!B696</f>
        <v>11</v>
      </c>
      <c r="C687" s="18" t="str">
        <f>'[1]02. Matrix'!C696</f>
        <v>TERM LOAN - BUSINESS</v>
      </c>
      <c r="D687" s="18">
        <f>'[1]02. Matrix'!D696</f>
        <v>1</v>
      </c>
      <c r="E687" s="19">
        <f>'[1]02. Matrix'!E696</f>
        <v>0</v>
      </c>
      <c r="F687" s="18" t="str">
        <f>_xlfn.XLOOKUP('01. Main'!$B687,[1]Mapping!$D:$D,[1]Mapping!$A:$A,0,0)</f>
        <v>Poush 78</v>
      </c>
      <c r="G687" s="20">
        <f>_xlfn.XLOOKUP('01. Main'!$B687,[1]Mapping!D$2:D$24,[1]Mapping!E$2:E$24,0,0)</f>
        <v>2021</v>
      </c>
    </row>
    <row r="688" spans="1:7" x14ac:dyDescent="0.45">
      <c r="A688" s="13">
        <f>'[1]02. Matrix'!A697</f>
        <v>687</v>
      </c>
      <c r="B688" s="14">
        <f>'[1]02. Matrix'!B697</f>
        <v>11</v>
      </c>
      <c r="C688" s="14" t="str">
        <f>'[1]02. Matrix'!C697</f>
        <v>CONS FIN BUSN TRM LO</v>
      </c>
      <c r="D688" s="14">
        <f>'[1]02. Matrix'!D697</f>
        <v>1</v>
      </c>
      <c r="E688" s="15">
        <f>'[1]02. Matrix'!E697</f>
        <v>0</v>
      </c>
      <c r="F688" s="14" t="str">
        <f>_xlfn.XLOOKUP('01. Main'!$B688,[1]Mapping!$D:$D,[1]Mapping!$A:$A,0,0)</f>
        <v>Poush 78</v>
      </c>
      <c r="G688" s="16">
        <f>_xlfn.XLOOKUP('01. Main'!$B688,[1]Mapping!D$2:D$24,[1]Mapping!E$2:E$24,0,0)</f>
        <v>2021</v>
      </c>
    </row>
    <row r="689" spans="1:7" x14ac:dyDescent="0.45">
      <c r="A689" s="17">
        <f>'[1]02. Matrix'!A698</f>
        <v>688</v>
      </c>
      <c r="B689" s="18">
        <f>'[1]02. Matrix'!B698</f>
        <v>11</v>
      </c>
      <c r="C689" s="18" t="str">
        <f>'[1]02. Matrix'!C698</f>
        <v>BIS/PERHIRE PURCHASE</v>
      </c>
      <c r="D689" s="18">
        <f>'[1]02. Matrix'!D698</f>
        <v>1</v>
      </c>
      <c r="E689" s="19">
        <f>'[1]02. Matrix'!E698</f>
        <v>2.7487408055034586E-2</v>
      </c>
      <c r="F689" s="18" t="str">
        <f>_xlfn.XLOOKUP('01. Main'!$B689,[1]Mapping!$D:$D,[1]Mapping!$A:$A,0,0)</f>
        <v>Poush 78</v>
      </c>
      <c r="G689" s="20">
        <f>_xlfn.XLOOKUP('01. Main'!$B689,[1]Mapping!D$2:D$24,[1]Mapping!E$2:E$24,0,0)</f>
        <v>2021</v>
      </c>
    </row>
    <row r="690" spans="1:7" x14ac:dyDescent="0.45">
      <c r="A690" s="13">
        <f>'[1]02. Matrix'!A699</f>
        <v>689</v>
      </c>
      <c r="B690" s="14">
        <f>'[1]02. Matrix'!B699</f>
        <v>11</v>
      </c>
      <c r="C690" s="14" t="str">
        <f>'[1]02. Matrix'!C699</f>
        <v xml:space="preserve">INT CAP TERM LOAN </v>
      </c>
      <c r="D690" s="14">
        <f>'[1]02. Matrix'!D699</f>
        <v>1</v>
      </c>
      <c r="E690" s="15">
        <f>'[1]02. Matrix'!E699</f>
        <v>0</v>
      </c>
      <c r="F690" s="14" t="str">
        <f>_xlfn.XLOOKUP('01. Main'!$B690,[1]Mapping!$D:$D,[1]Mapping!$A:$A,0,0)</f>
        <v>Poush 78</v>
      </c>
      <c r="G690" s="16">
        <f>_xlfn.XLOOKUP('01. Main'!$B690,[1]Mapping!D$2:D$24,[1]Mapping!E$2:E$24,0,0)</f>
        <v>2021</v>
      </c>
    </row>
    <row r="691" spans="1:7" x14ac:dyDescent="0.45">
      <c r="A691" s="17">
        <f>'[1]02. Matrix'!A700</f>
        <v>690</v>
      </c>
      <c r="B691" s="18">
        <f>'[1]02. Matrix'!B700</f>
        <v>11</v>
      </c>
      <c r="C691" s="18" t="str">
        <f>'[1]02. Matrix'!C700</f>
        <v>PERSONAL LOAN</v>
      </c>
      <c r="D691" s="18">
        <f>'[1]02. Matrix'!D700</f>
        <v>1</v>
      </c>
      <c r="E691" s="19">
        <f>'[1]02. Matrix'!E700</f>
        <v>5.8998506386391779E-3</v>
      </c>
      <c r="F691" s="18" t="str">
        <f>_xlfn.XLOOKUP('01. Main'!$B691,[1]Mapping!$D:$D,[1]Mapping!$A:$A,0,0)</f>
        <v>Poush 78</v>
      </c>
      <c r="G691" s="20">
        <f>_xlfn.XLOOKUP('01. Main'!$B691,[1]Mapping!D$2:D$24,[1]Mapping!E$2:E$24,0,0)</f>
        <v>2021</v>
      </c>
    </row>
    <row r="692" spans="1:7" x14ac:dyDescent="0.45">
      <c r="A692" s="13">
        <f>'[1]02. Matrix'!A701</f>
        <v>691</v>
      </c>
      <c r="B692" s="14">
        <f>'[1]02. Matrix'!B701</f>
        <v>11</v>
      </c>
      <c r="C692" s="14" t="str">
        <f>'[1]02. Matrix'!C701</f>
        <v>MORTGAGE LOAN</v>
      </c>
      <c r="D692" s="14">
        <f>'[1]02. Matrix'!D701</f>
        <v>1</v>
      </c>
      <c r="E692" s="15">
        <f>'[1]02. Matrix'!E701</f>
        <v>0</v>
      </c>
      <c r="F692" s="14" t="str">
        <f>_xlfn.XLOOKUP('01. Main'!$B692,[1]Mapping!$D:$D,[1]Mapping!$A:$A,0,0)</f>
        <v>Poush 78</v>
      </c>
      <c r="G692" s="16">
        <f>_xlfn.XLOOKUP('01. Main'!$B692,[1]Mapping!D$2:D$24,[1]Mapping!E$2:E$24,0,0)</f>
        <v>2021</v>
      </c>
    </row>
    <row r="693" spans="1:7" x14ac:dyDescent="0.45">
      <c r="A693" s="17">
        <f>'[1]02. Matrix'!A702</f>
        <v>692</v>
      </c>
      <c r="B693" s="18">
        <f>'[1]02. Matrix'!B702</f>
        <v>11</v>
      </c>
      <c r="C693" s="18" t="str">
        <f>'[1]02. Matrix'!C702</f>
        <v>LOAN AGAINST FDR</v>
      </c>
      <c r="D693" s="18">
        <f>'[1]02. Matrix'!D702</f>
        <v>1</v>
      </c>
      <c r="E693" s="19">
        <f>'[1]02. Matrix'!E702</f>
        <v>0</v>
      </c>
      <c r="F693" s="18" t="str">
        <f>_xlfn.XLOOKUP('01. Main'!$B693,[1]Mapping!$D:$D,[1]Mapping!$A:$A,0,0)</f>
        <v>Poush 78</v>
      </c>
      <c r="G693" s="20">
        <f>_xlfn.XLOOKUP('01. Main'!$B693,[1]Mapping!D$2:D$24,[1]Mapping!E$2:E$24,0,0)</f>
        <v>2021</v>
      </c>
    </row>
    <row r="694" spans="1:7" x14ac:dyDescent="0.45">
      <c r="A694" s="13">
        <f>'[1]02. Matrix'!A703</f>
        <v>693</v>
      </c>
      <c r="B694" s="14">
        <f>'[1]02. Matrix'!B703</f>
        <v>11</v>
      </c>
      <c r="C694" s="14" t="str">
        <f>'[1]02. Matrix'!C703</f>
        <v>RECEIVABLE LOAN</v>
      </c>
      <c r="D694" s="14">
        <f>'[1]02. Matrix'!D703</f>
        <v>1</v>
      </c>
      <c r="E694" s="15">
        <f>'[1]02. Matrix'!E703</f>
        <v>0</v>
      </c>
      <c r="F694" s="14" t="str">
        <f>_xlfn.XLOOKUP('01. Main'!$B694,[1]Mapping!$D:$D,[1]Mapping!$A:$A,0,0)</f>
        <v>Poush 78</v>
      </c>
      <c r="G694" s="16">
        <f>_xlfn.XLOOKUP('01. Main'!$B694,[1]Mapping!D$2:D$24,[1]Mapping!E$2:E$24,0,0)</f>
        <v>2021</v>
      </c>
    </row>
    <row r="695" spans="1:7" x14ac:dyDescent="0.45">
      <c r="A695" s="17">
        <f>'[1]02. Matrix'!A704</f>
        <v>694</v>
      </c>
      <c r="B695" s="18">
        <f>'[1]02. Matrix'!B704</f>
        <v>11</v>
      </c>
      <c r="C695" s="18" t="str">
        <f>'[1]02. Matrix'!C704</f>
        <v>STAFF LOAN</v>
      </c>
      <c r="D695" s="18">
        <f>'[1]02. Matrix'!D704</f>
        <v>1</v>
      </c>
      <c r="E695" s="19">
        <f>'[1]02. Matrix'!E704</f>
        <v>0</v>
      </c>
      <c r="F695" s="18" t="str">
        <f>_xlfn.XLOOKUP('01. Main'!$B695,[1]Mapping!$D:$D,[1]Mapping!$A:$A,0,0)</f>
        <v>Poush 78</v>
      </c>
      <c r="G695" s="20">
        <f>_xlfn.XLOOKUP('01. Main'!$B695,[1]Mapping!D$2:D$24,[1]Mapping!E$2:E$24,0,0)</f>
        <v>2021</v>
      </c>
    </row>
    <row r="696" spans="1:7" x14ac:dyDescent="0.45">
      <c r="A696" s="13">
        <f>'[1]02. Matrix'!A705</f>
        <v>695</v>
      </c>
      <c r="B696" s="14">
        <f>'[1]02. Matrix'!B705</f>
        <v>11</v>
      </c>
      <c r="C696" s="14" t="str">
        <f>'[1]02. Matrix'!C705</f>
        <v>AGRICULTURAL LOAN</v>
      </c>
      <c r="D696" s="14">
        <f>'[1]02. Matrix'!D705</f>
        <v>1</v>
      </c>
      <c r="E696" s="15">
        <f>'[1]02. Matrix'!E705</f>
        <v>0</v>
      </c>
      <c r="F696" s="14" t="str">
        <f>_xlfn.XLOOKUP('01. Main'!$B696,[1]Mapping!$D:$D,[1]Mapping!$A:$A,0,0)</f>
        <v>Poush 78</v>
      </c>
      <c r="G696" s="16">
        <f>_xlfn.XLOOKUP('01. Main'!$B696,[1]Mapping!D$2:D$24,[1]Mapping!E$2:E$24,0,0)</f>
        <v>2021</v>
      </c>
    </row>
    <row r="697" spans="1:7" x14ac:dyDescent="0.45">
      <c r="A697" s="17">
        <f>'[1]02. Matrix'!A706</f>
        <v>696</v>
      </c>
      <c r="B697" s="18">
        <f>'[1]02. Matrix'!B706</f>
        <v>11</v>
      </c>
      <c r="C697" s="18" t="str">
        <f>'[1]02. Matrix'!C706</f>
        <v>EARTHQUAKE RELIEF LO</v>
      </c>
      <c r="D697" s="18">
        <f>'[1]02. Matrix'!D706</f>
        <v>1</v>
      </c>
      <c r="E697" s="19">
        <f>'[1]02. Matrix'!E706</f>
        <v>0</v>
      </c>
      <c r="F697" s="18" t="str">
        <f>_xlfn.XLOOKUP('01. Main'!$B697,[1]Mapping!$D:$D,[1]Mapping!$A:$A,0,0)</f>
        <v>Poush 78</v>
      </c>
      <c r="G697" s="20">
        <f>_xlfn.XLOOKUP('01. Main'!$B697,[1]Mapping!D$2:D$24,[1]Mapping!E$2:E$24,0,0)</f>
        <v>2021</v>
      </c>
    </row>
    <row r="698" spans="1:7" x14ac:dyDescent="0.45">
      <c r="A698" s="13">
        <f>'[1]02. Matrix'!A707</f>
        <v>697</v>
      </c>
      <c r="B698" s="14">
        <f>'[1]02. Matrix'!B707</f>
        <v>11</v>
      </c>
      <c r="C698" s="14" t="str">
        <f>'[1]02. Matrix'!C707</f>
        <v>TOURISM SECTOR LOAN</v>
      </c>
      <c r="D698" s="14">
        <f>'[1]02. Matrix'!D707</f>
        <v>1</v>
      </c>
      <c r="E698" s="15">
        <f>'[1]02. Matrix'!E707</f>
        <v>0</v>
      </c>
      <c r="F698" s="14" t="str">
        <f>_xlfn.XLOOKUP('01. Main'!$B698,[1]Mapping!$D:$D,[1]Mapping!$A:$A,0,0)</f>
        <v>Poush 78</v>
      </c>
      <c r="G698" s="16">
        <f>_xlfn.XLOOKUP('01. Main'!$B698,[1]Mapping!D$2:D$24,[1]Mapping!E$2:E$24,0,0)</f>
        <v>2021</v>
      </c>
    </row>
    <row r="699" spans="1:7" x14ac:dyDescent="0.45">
      <c r="A699" s="17">
        <f>'[1]02. Matrix'!A708</f>
        <v>698</v>
      </c>
      <c r="B699" s="18">
        <f>'[1]02. Matrix'!B708</f>
        <v>11</v>
      </c>
      <c r="C699" s="18" t="str">
        <f>'[1]02. Matrix'!C708</f>
        <v>SME LOAN</v>
      </c>
      <c r="D699" s="18">
        <f>'[1]02. Matrix'!D708</f>
        <v>1</v>
      </c>
      <c r="E699" s="19">
        <f>'[1]02. Matrix'!E708</f>
        <v>0</v>
      </c>
      <c r="F699" s="18" t="str">
        <f>_xlfn.XLOOKUP('01. Main'!$B699,[1]Mapping!$D:$D,[1]Mapping!$A:$A,0,0)</f>
        <v>Poush 78</v>
      </c>
      <c r="G699" s="20">
        <f>_xlfn.XLOOKUP('01. Main'!$B699,[1]Mapping!D$2:D$24,[1]Mapping!E$2:E$24,0,0)</f>
        <v>2021</v>
      </c>
    </row>
    <row r="700" spans="1:7" x14ac:dyDescent="0.45">
      <c r="A700" s="13">
        <f>'[1]02. Matrix'!A709</f>
        <v>699</v>
      </c>
      <c r="B700" s="14">
        <f>'[1]02. Matrix'!B709</f>
        <v>11</v>
      </c>
      <c r="C700" s="14" t="str">
        <f>'[1]02. Matrix'!C709</f>
        <v>EDUCATIONAL LOAN EMI</v>
      </c>
      <c r="D700" s="14">
        <f>'[1]02. Matrix'!D709</f>
        <v>1</v>
      </c>
      <c r="E700" s="15">
        <f>'[1]02. Matrix'!E709</f>
        <v>0</v>
      </c>
      <c r="F700" s="14" t="str">
        <f>_xlfn.XLOOKUP('01. Main'!$B700,[1]Mapping!$D:$D,[1]Mapping!$A:$A,0,0)</f>
        <v>Poush 78</v>
      </c>
      <c r="G700" s="16">
        <f>_xlfn.XLOOKUP('01. Main'!$B700,[1]Mapping!D$2:D$24,[1]Mapping!E$2:E$24,0,0)</f>
        <v>2021</v>
      </c>
    </row>
    <row r="701" spans="1:7" x14ac:dyDescent="0.45">
      <c r="A701" s="17">
        <f>'[1]02. Matrix'!A710</f>
        <v>700</v>
      </c>
      <c r="B701" s="18">
        <f>'[1]02. Matrix'!B710</f>
        <v>11</v>
      </c>
      <c r="C701" s="18" t="str">
        <f>'[1]02. Matrix'!C710</f>
        <v>OVERDRAFT PROFESSION</v>
      </c>
      <c r="D701" s="18">
        <f>'[1]02. Matrix'!D710</f>
        <v>1</v>
      </c>
      <c r="E701" s="19">
        <f>'[1]02. Matrix'!E710</f>
        <v>0</v>
      </c>
      <c r="F701" s="18" t="str">
        <f>_xlfn.XLOOKUP('01. Main'!$B701,[1]Mapping!$D:$D,[1]Mapping!$A:$A,0,0)</f>
        <v>Poush 78</v>
      </c>
      <c r="G701" s="20">
        <f>_xlfn.XLOOKUP('01. Main'!$B701,[1]Mapping!D$2:D$24,[1]Mapping!E$2:E$24,0,0)</f>
        <v>2021</v>
      </c>
    </row>
    <row r="702" spans="1:7" x14ac:dyDescent="0.45">
      <c r="A702" s="13">
        <f>'[1]02. Matrix'!A711</f>
        <v>701</v>
      </c>
      <c r="B702" s="14">
        <f>'[1]02. Matrix'!B711</f>
        <v>11</v>
      </c>
      <c r="C702" s="14" t="str">
        <f>'[1]02. Matrix'!C711</f>
        <v>OD PERSONAL LOAN</v>
      </c>
      <c r="D702" s="14">
        <f>'[1]02. Matrix'!D711</f>
        <v>2</v>
      </c>
      <c r="E702" s="15">
        <f>'[1]02. Matrix'!E711</f>
        <v>0</v>
      </c>
      <c r="F702" s="14" t="str">
        <f>_xlfn.XLOOKUP('01. Main'!$B702,[1]Mapping!$D:$D,[1]Mapping!$A:$A,0,0)</f>
        <v>Poush 78</v>
      </c>
      <c r="G702" s="16">
        <f>_xlfn.XLOOKUP('01. Main'!$B702,[1]Mapping!D$2:D$24,[1]Mapping!E$2:E$24,0,0)</f>
        <v>2021</v>
      </c>
    </row>
    <row r="703" spans="1:7" x14ac:dyDescent="0.45">
      <c r="A703" s="17">
        <f>'[1]02. Matrix'!A712</f>
        <v>702</v>
      </c>
      <c r="B703" s="18">
        <f>'[1]02. Matrix'!B712</f>
        <v>11</v>
      </c>
      <c r="C703" s="18" t="str">
        <f>'[1]02. Matrix'!C712</f>
        <v>OD BUSINESS LOAN</v>
      </c>
      <c r="D703" s="18">
        <f>'[1]02. Matrix'!D712</f>
        <v>2</v>
      </c>
      <c r="E703" s="19">
        <f>'[1]02. Matrix'!E712</f>
        <v>0</v>
      </c>
      <c r="F703" s="18" t="str">
        <f>_xlfn.XLOOKUP('01. Main'!$B703,[1]Mapping!$D:$D,[1]Mapping!$A:$A,0,0)</f>
        <v>Poush 78</v>
      </c>
      <c r="G703" s="20">
        <f>_xlfn.XLOOKUP('01. Main'!$B703,[1]Mapping!D$2:D$24,[1]Mapping!E$2:E$24,0,0)</f>
        <v>2021</v>
      </c>
    </row>
    <row r="704" spans="1:7" x14ac:dyDescent="0.45">
      <c r="A704" s="13">
        <f>'[1]02. Matrix'!A713</f>
        <v>703</v>
      </c>
      <c r="B704" s="14">
        <f>'[1]02. Matrix'!B713</f>
        <v>11</v>
      </c>
      <c r="C704" s="14" t="str">
        <f>'[1]02. Matrix'!C713</f>
        <v>OD STAFF LOAN</v>
      </c>
      <c r="D704" s="14">
        <f>'[1]02. Matrix'!D713</f>
        <v>2</v>
      </c>
      <c r="E704" s="15">
        <f>'[1]02. Matrix'!E713</f>
        <v>0</v>
      </c>
      <c r="F704" s="14" t="str">
        <f>_xlfn.XLOOKUP('01. Main'!$B704,[1]Mapping!$D:$D,[1]Mapping!$A:$A,0,0)</f>
        <v>Poush 78</v>
      </c>
      <c r="G704" s="16">
        <f>_xlfn.XLOOKUP('01. Main'!$B704,[1]Mapping!D$2:D$24,[1]Mapping!E$2:E$24,0,0)</f>
        <v>2021</v>
      </c>
    </row>
    <row r="705" spans="1:7" x14ac:dyDescent="0.45">
      <c r="A705" s="17">
        <f>'[1]02. Matrix'!A714</f>
        <v>704</v>
      </c>
      <c r="B705" s="18">
        <f>'[1]02. Matrix'!B714</f>
        <v>11</v>
      </c>
      <c r="C705" s="18" t="str">
        <f>'[1]02. Matrix'!C714</f>
        <v>TERM LOAN</v>
      </c>
      <c r="D705" s="18">
        <f>'[1]02. Matrix'!D714</f>
        <v>2</v>
      </c>
      <c r="E705" s="19">
        <f>'[1]02. Matrix'!E714</f>
        <v>6.7521952260243934E-2</v>
      </c>
      <c r="F705" s="18" t="str">
        <f>_xlfn.XLOOKUP('01. Main'!$B705,[1]Mapping!$D:$D,[1]Mapping!$A:$A,0,0)</f>
        <v>Poush 78</v>
      </c>
      <c r="G705" s="20">
        <f>_xlfn.XLOOKUP('01. Main'!$B705,[1]Mapping!D$2:D$24,[1]Mapping!E$2:E$24,0,0)</f>
        <v>2021</v>
      </c>
    </row>
    <row r="706" spans="1:7" x14ac:dyDescent="0.45">
      <c r="A706" s="13">
        <f>'[1]02. Matrix'!A715</f>
        <v>705</v>
      </c>
      <c r="B706" s="14">
        <f>'[1]02. Matrix'!B715</f>
        <v>11</v>
      </c>
      <c r="C706" s="14" t="str">
        <f>'[1]02. Matrix'!C715</f>
        <v>WC TRADING/IND LOAN</v>
      </c>
      <c r="D706" s="14">
        <f>'[1]02. Matrix'!D715</f>
        <v>2</v>
      </c>
      <c r="E706" s="15">
        <f>'[1]02. Matrix'!E715</f>
        <v>7.3660123995579838E-3</v>
      </c>
      <c r="F706" s="14" t="str">
        <f>_xlfn.XLOOKUP('01. Main'!$B706,[1]Mapping!$D:$D,[1]Mapping!$A:$A,0,0)</f>
        <v>Poush 78</v>
      </c>
      <c r="G706" s="16">
        <f>_xlfn.XLOOKUP('01. Main'!$B706,[1]Mapping!D$2:D$24,[1]Mapping!E$2:E$24,0,0)</f>
        <v>2021</v>
      </c>
    </row>
    <row r="707" spans="1:7" x14ac:dyDescent="0.45">
      <c r="A707" s="17">
        <f>'[1]02. Matrix'!A716</f>
        <v>706</v>
      </c>
      <c r="B707" s="18">
        <f>'[1]02. Matrix'!B716</f>
        <v>11</v>
      </c>
      <c r="C707" s="18" t="str">
        <f>'[1]02. Matrix'!C716</f>
        <v>HOUSING LOAN</v>
      </c>
      <c r="D707" s="18">
        <f>'[1]02. Matrix'!D716</f>
        <v>2</v>
      </c>
      <c r="E707" s="19">
        <f>'[1]02. Matrix'!E716</f>
        <v>9.6438547939504404E-3</v>
      </c>
      <c r="F707" s="18" t="str">
        <f>_xlfn.XLOOKUP('01. Main'!$B707,[1]Mapping!$D:$D,[1]Mapping!$A:$A,0,0)</f>
        <v>Poush 78</v>
      </c>
      <c r="G707" s="20">
        <f>_xlfn.XLOOKUP('01. Main'!$B707,[1]Mapping!D$2:D$24,[1]Mapping!E$2:E$24,0,0)</f>
        <v>2021</v>
      </c>
    </row>
    <row r="708" spans="1:7" x14ac:dyDescent="0.45">
      <c r="A708" s="13">
        <f>'[1]02. Matrix'!A717</f>
        <v>707</v>
      </c>
      <c r="B708" s="14">
        <f>'[1]02. Matrix'!B717</f>
        <v>11</v>
      </c>
      <c r="C708" s="14" t="str">
        <f>'[1]02. Matrix'!C717</f>
        <v>RESI REAL EST LOAN</v>
      </c>
      <c r="D708" s="14">
        <f>'[1]02. Matrix'!D717</f>
        <v>2</v>
      </c>
      <c r="E708" s="15">
        <f>'[1]02. Matrix'!E717</f>
        <v>0</v>
      </c>
      <c r="F708" s="14" t="str">
        <f>_xlfn.XLOOKUP('01. Main'!$B708,[1]Mapping!$D:$D,[1]Mapping!$A:$A,0,0)</f>
        <v>Poush 78</v>
      </c>
      <c r="G708" s="16">
        <f>_xlfn.XLOOKUP('01. Main'!$B708,[1]Mapping!D$2:D$24,[1]Mapping!E$2:E$24,0,0)</f>
        <v>2021</v>
      </c>
    </row>
    <row r="709" spans="1:7" x14ac:dyDescent="0.45">
      <c r="A709" s="17">
        <f>'[1]02. Matrix'!A718</f>
        <v>708</v>
      </c>
      <c r="B709" s="18">
        <f>'[1]02. Matrix'!B718</f>
        <v>11</v>
      </c>
      <c r="C709" s="18" t="str">
        <f>'[1]02. Matrix'!C718</f>
        <v>MARGIN NATURE LOAN</v>
      </c>
      <c r="D709" s="18">
        <f>'[1]02. Matrix'!D718</f>
        <v>2</v>
      </c>
      <c r="E709" s="19">
        <f>'[1]02. Matrix'!E718</f>
        <v>0</v>
      </c>
      <c r="F709" s="18" t="str">
        <f>_xlfn.XLOOKUP('01. Main'!$B709,[1]Mapping!$D:$D,[1]Mapping!$A:$A,0,0)</f>
        <v>Poush 78</v>
      </c>
      <c r="G709" s="20">
        <f>_xlfn.XLOOKUP('01. Main'!$B709,[1]Mapping!D$2:D$24,[1]Mapping!E$2:E$24,0,0)</f>
        <v>2021</v>
      </c>
    </row>
    <row r="710" spans="1:7" x14ac:dyDescent="0.45">
      <c r="A710" s="13">
        <f>'[1]02. Matrix'!A719</f>
        <v>709</v>
      </c>
      <c r="B710" s="14">
        <f>'[1]02. Matrix'!B719</f>
        <v>11</v>
      </c>
      <c r="C710" s="14" t="str">
        <f>'[1]02. Matrix'!C719</f>
        <v>HIRE PURCHASE LOAN</v>
      </c>
      <c r="D710" s="14">
        <f>'[1]02. Matrix'!D719</f>
        <v>2</v>
      </c>
      <c r="E710" s="15">
        <f>'[1]02. Matrix'!E719</f>
        <v>0.23742315786773371</v>
      </c>
      <c r="F710" s="14" t="str">
        <f>_xlfn.XLOOKUP('01. Main'!$B710,[1]Mapping!$D:$D,[1]Mapping!$A:$A,0,0)</f>
        <v>Poush 78</v>
      </c>
      <c r="G710" s="16">
        <f>_xlfn.XLOOKUP('01. Main'!$B710,[1]Mapping!D$2:D$24,[1]Mapping!E$2:E$24,0,0)</f>
        <v>2021</v>
      </c>
    </row>
    <row r="711" spans="1:7" x14ac:dyDescent="0.45">
      <c r="A711" s="17">
        <f>'[1]02. Matrix'!A720</f>
        <v>710</v>
      </c>
      <c r="B711" s="18">
        <f>'[1]02. Matrix'!B720</f>
        <v>11</v>
      </c>
      <c r="C711" s="18" t="str">
        <f>'[1]02. Matrix'!C720</f>
        <v>DEPRIVED SECTOR LOAN</v>
      </c>
      <c r="D711" s="18">
        <f>'[1]02. Matrix'!D720</f>
        <v>2</v>
      </c>
      <c r="E711" s="19">
        <f>'[1]02. Matrix'!E720</f>
        <v>4.9943214942318535E-2</v>
      </c>
      <c r="F711" s="18" t="str">
        <f>_xlfn.XLOOKUP('01. Main'!$B711,[1]Mapping!$D:$D,[1]Mapping!$A:$A,0,0)</f>
        <v>Poush 78</v>
      </c>
      <c r="G711" s="20">
        <f>_xlfn.XLOOKUP('01. Main'!$B711,[1]Mapping!D$2:D$24,[1]Mapping!E$2:E$24,0,0)</f>
        <v>2021</v>
      </c>
    </row>
    <row r="712" spans="1:7" x14ac:dyDescent="0.45">
      <c r="A712" s="13">
        <f>'[1]02. Matrix'!A721</f>
        <v>711</v>
      </c>
      <c r="B712" s="14">
        <f>'[1]02. Matrix'!B721</f>
        <v>11</v>
      </c>
      <c r="C712" s="14" t="str">
        <f>'[1]02. Matrix'!C721</f>
        <v>EDUCATIONAL LOAN</v>
      </c>
      <c r="D712" s="14">
        <f>'[1]02. Matrix'!D721</f>
        <v>2</v>
      </c>
      <c r="E712" s="15">
        <f>'[1]02. Matrix'!E721</f>
        <v>5.2042543742629926E-2</v>
      </c>
      <c r="F712" s="14" t="str">
        <f>_xlfn.XLOOKUP('01. Main'!$B712,[1]Mapping!$D:$D,[1]Mapping!$A:$A,0,0)</f>
        <v>Poush 78</v>
      </c>
      <c r="G712" s="16">
        <f>_xlfn.XLOOKUP('01. Main'!$B712,[1]Mapping!D$2:D$24,[1]Mapping!E$2:E$24,0,0)</f>
        <v>2021</v>
      </c>
    </row>
    <row r="713" spans="1:7" x14ac:dyDescent="0.45">
      <c r="A713" s="17">
        <f>'[1]02. Matrix'!A722</f>
        <v>712</v>
      </c>
      <c r="B713" s="18">
        <f>'[1]02. Matrix'!B722</f>
        <v>11</v>
      </c>
      <c r="C713" s="18" t="str">
        <f>'[1]02. Matrix'!C722</f>
        <v>AGRICULTURE LOAN</v>
      </c>
      <c r="D713" s="18">
        <f>'[1]02. Matrix'!D722</f>
        <v>2</v>
      </c>
      <c r="E713" s="19">
        <f>'[1]02. Matrix'!E722</f>
        <v>5.2747147843885789E-2</v>
      </c>
      <c r="F713" s="18" t="str">
        <f>_xlfn.XLOOKUP('01. Main'!$B713,[1]Mapping!$D:$D,[1]Mapping!$A:$A,0,0)</f>
        <v>Poush 78</v>
      </c>
      <c r="G713" s="20">
        <f>_xlfn.XLOOKUP('01. Main'!$B713,[1]Mapping!D$2:D$24,[1]Mapping!E$2:E$24,0,0)</f>
        <v>2021</v>
      </c>
    </row>
    <row r="714" spans="1:7" x14ac:dyDescent="0.45">
      <c r="A714" s="13">
        <f>'[1]02. Matrix'!A723</f>
        <v>713</v>
      </c>
      <c r="B714" s="14">
        <f>'[1]02. Matrix'!B723</f>
        <v>11</v>
      </c>
      <c r="C714" s="14" t="str">
        <f>'[1]02. Matrix'!C723</f>
        <v>RESI PER.HOME-EMI</v>
      </c>
      <c r="D714" s="14">
        <f>'[1]02. Matrix'!D723</f>
        <v>2</v>
      </c>
      <c r="E714" s="15">
        <f>'[1]02. Matrix'!E723</f>
        <v>8.0585677217618577E-3</v>
      </c>
      <c r="F714" s="14" t="str">
        <f>_xlfn.XLOOKUP('01. Main'!$B714,[1]Mapping!$D:$D,[1]Mapping!$A:$A,0,0)</f>
        <v>Poush 78</v>
      </c>
      <c r="G714" s="16">
        <f>_xlfn.XLOOKUP('01. Main'!$B714,[1]Mapping!D$2:D$24,[1]Mapping!E$2:E$24,0,0)</f>
        <v>2021</v>
      </c>
    </row>
    <row r="715" spans="1:7" x14ac:dyDescent="0.45">
      <c r="A715" s="17">
        <f>'[1]02. Matrix'!A724</f>
        <v>714</v>
      </c>
      <c r="B715" s="18">
        <f>'[1]02. Matrix'!B724</f>
        <v>11</v>
      </c>
      <c r="C715" s="18" t="str">
        <f>'[1]02. Matrix'!C724</f>
        <v>TERM LOAN - BUSINESS</v>
      </c>
      <c r="D715" s="18">
        <f>'[1]02. Matrix'!D724</f>
        <v>2</v>
      </c>
      <c r="E715" s="19">
        <f>'[1]02. Matrix'!E724</f>
        <v>0</v>
      </c>
      <c r="F715" s="18" t="str">
        <f>_xlfn.XLOOKUP('01. Main'!$B715,[1]Mapping!$D:$D,[1]Mapping!$A:$A,0,0)</f>
        <v>Poush 78</v>
      </c>
      <c r="G715" s="20">
        <f>_xlfn.XLOOKUP('01. Main'!$B715,[1]Mapping!D$2:D$24,[1]Mapping!E$2:E$24,0,0)</f>
        <v>2021</v>
      </c>
    </row>
    <row r="716" spans="1:7" x14ac:dyDescent="0.45">
      <c r="A716" s="13">
        <f>'[1]02. Matrix'!A725</f>
        <v>715</v>
      </c>
      <c r="B716" s="14">
        <f>'[1]02. Matrix'!B725</f>
        <v>11</v>
      </c>
      <c r="C716" s="14" t="str">
        <f>'[1]02. Matrix'!C725</f>
        <v>CONS FIN BUSN TRM LO</v>
      </c>
      <c r="D716" s="14">
        <f>'[1]02. Matrix'!D725</f>
        <v>2</v>
      </c>
      <c r="E716" s="15">
        <f>'[1]02. Matrix'!E725</f>
        <v>0</v>
      </c>
      <c r="F716" s="14" t="str">
        <f>_xlfn.XLOOKUP('01. Main'!$B716,[1]Mapping!$D:$D,[1]Mapping!$A:$A,0,0)</f>
        <v>Poush 78</v>
      </c>
      <c r="G716" s="16">
        <f>_xlfn.XLOOKUP('01. Main'!$B716,[1]Mapping!D$2:D$24,[1]Mapping!E$2:E$24,0,0)</f>
        <v>2021</v>
      </c>
    </row>
    <row r="717" spans="1:7" x14ac:dyDescent="0.45">
      <c r="A717" s="17">
        <f>'[1]02. Matrix'!A726</f>
        <v>716</v>
      </c>
      <c r="B717" s="18">
        <f>'[1]02. Matrix'!B726</f>
        <v>11</v>
      </c>
      <c r="C717" s="18" t="str">
        <f>'[1]02. Matrix'!C726</f>
        <v>BIS/PERHIRE PURCHASE</v>
      </c>
      <c r="D717" s="18">
        <f>'[1]02. Matrix'!D726</f>
        <v>2</v>
      </c>
      <c r="E717" s="19">
        <f>'[1]02. Matrix'!E726</f>
        <v>2.9274801884688503E-2</v>
      </c>
      <c r="F717" s="18" t="str">
        <f>_xlfn.XLOOKUP('01. Main'!$B717,[1]Mapping!$D:$D,[1]Mapping!$A:$A,0,0)</f>
        <v>Poush 78</v>
      </c>
      <c r="G717" s="20">
        <f>_xlfn.XLOOKUP('01. Main'!$B717,[1]Mapping!D$2:D$24,[1]Mapping!E$2:E$24,0,0)</f>
        <v>2021</v>
      </c>
    </row>
    <row r="718" spans="1:7" x14ac:dyDescent="0.45">
      <c r="A718" s="13">
        <f>'[1]02. Matrix'!A727</f>
        <v>717</v>
      </c>
      <c r="B718" s="14">
        <f>'[1]02. Matrix'!B727</f>
        <v>11</v>
      </c>
      <c r="C718" s="14" t="str">
        <f>'[1]02. Matrix'!C727</f>
        <v xml:space="preserve">INT CAP TERM LOAN </v>
      </c>
      <c r="D718" s="14">
        <f>'[1]02. Matrix'!D727</f>
        <v>2</v>
      </c>
      <c r="E718" s="15">
        <f>'[1]02. Matrix'!E727</f>
        <v>0</v>
      </c>
      <c r="F718" s="14" t="str">
        <f>_xlfn.XLOOKUP('01. Main'!$B718,[1]Mapping!$D:$D,[1]Mapping!$A:$A,0,0)</f>
        <v>Poush 78</v>
      </c>
      <c r="G718" s="16">
        <f>_xlfn.XLOOKUP('01. Main'!$B718,[1]Mapping!D$2:D$24,[1]Mapping!E$2:E$24,0,0)</f>
        <v>2021</v>
      </c>
    </row>
    <row r="719" spans="1:7" x14ac:dyDescent="0.45">
      <c r="A719" s="17">
        <f>'[1]02. Matrix'!A728</f>
        <v>718</v>
      </c>
      <c r="B719" s="18">
        <f>'[1]02. Matrix'!B728</f>
        <v>11</v>
      </c>
      <c r="C719" s="18" t="str">
        <f>'[1]02. Matrix'!C728</f>
        <v>PERSONAL LOAN</v>
      </c>
      <c r="D719" s="18">
        <f>'[1]02. Matrix'!D728</f>
        <v>2</v>
      </c>
      <c r="E719" s="19">
        <f>'[1]02. Matrix'!E728</f>
        <v>9.7077293811186696E-3</v>
      </c>
      <c r="F719" s="18" t="str">
        <f>_xlfn.XLOOKUP('01. Main'!$B719,[1]Mapping!$D:$D,[1]Mapping!$A:$A,0,0)</f>
        <v>Poush 78</v>
      </c>
      <c r="G719" s="20">
        <f>_xlfn.XLOOKUP('01. Main'!$B719,[1]Mapping!D$2:D$24,[1]Mapping!E$2:E$24,0,0)</f>
        <v>2021</v>
      </c>
    </row>
    <row r="720" spans="1:7" x14ac:dyDescent="0.45">
      <c r="A720" s="13">
        <f>'[1]02. Matrix'!A729</f>
        <v>719</v>
      </c>
      <c r="B720" s="14">
        <f>'[1]02. Matrix'!B729</f>
        <v>11</v>
      </c>
      <c r="C720" s="14" t="str">
        <f>'[1]02. Matrix'!C729</f>
        <v>MORTGAGE LOAN</v>
      </c>
      <c r="D720" s="14">
        <f>'[1]02. Matrix'!D729</f>
        <v>2</v>
      </c>
      <c r="E720" s="15">
        <f>'[1]02. Matrix'!E729</f>
        <v>0</v>
      </c>
      <c r="F720" s="14" t="str">
        <f>_xlfn.XLOOKUP('01. Main'!$B720,[1]Mapping!$D:$D,[1]Mapping!$A:$A,0,0)</f>
        <v>Poush 78</v>
      </c>
      <c r="G720" s="16">
        <f>_xlfn.XLOOKUP('01. Main'!$B720,[1]Mapping!D$2:D$24,[1]Mapping!E$2:E$24,0,0)</f>
        <v>2021</v>
      </c>
    </row>
    <row r="721" spans="1:7" x14ac:dyDescent="0.45">
      <c r="A721" s="17">
        <f>'[1]02. Matrix'!A730</f>
        <v>720</v>
      </c>
      <c r="B721" s="18">
        <f>'[1]02. Matrix'!B730</f>
        <v>11</v>
      </c>
      <c r="C721" s="18" t="str">
        <f>'[1]02. Matrix'!C730</f>
        <v>LOAN AGAINST FDR</v>
      </c>
      <c r="D721" s="18">
        <f>'[1]02. Matrix'!D730</f>
        <v>2</v>
      </c>
      <c r="E721" s="19">
        <f>'[1]02. Matrix'!E730</f>
        <v>0</v>
      </c>
      <c r="F721" s="18" t="str">
        <f>_xlfn.XLOOKUP('01. Main'!$B721,[1]Mapping!$D:$D,[1]Mapping!$A:$A,0,0)</f>
        <v>Poush 78</v>
      </c>
      <c r="G721" s="20">
        <f>_xlfn.XLOOKUP('01. Main'!$B721,[1]Mapping!D$2:D$24,[1]Mapping!E$2:E$24,0,0)</f>
        <v>2021</v>
      </c>
    </row>
    <row r="722" spans="1:7" x14ac:dyDescent="0.45">
      <c r="A722" s="13">
        <f>'[1]02. Matrix'!A731</f>
        <v>721</v>
      </c>
      <c r="B722" s="14">
        <f>'[1]02. Matrix'!B731</f>
        <v>11</v>
      </c>
      <c r="C722" s="14" t="str">
        <f>'[1]02. Matrix'!C731</f>
        <v>RECEIVABLE LOAN</v>
      </c>
      <c r="D722" s="14">
        <f>'[1]02. Matrix'!D731</f>
        <v>2</v>
      </c>
      <c r="E722" s="15">
        <f>'[1]02. Matrix'!E731</f>
        <v>0</v>
      </c>
      <c r="F722" s="14" t="str">
        <f>_xlfn.XLOOKUP('01. Main'!$B722,[1]Mapping!$D:$D,[1]Mapping!$A:$A,0,0)</f>
        <v>Poush 78</v>
      </c>
      <c r="G722" s="16">
        <f>_xlfn.XLOOKUP('01. Main'!$B722,[1]Mapping!D$2:D$24,[1]Mapping!E$2:E$24,0,0)</f>
        <v>2021</v>
      </c>
    </row>
    <row r="723" spans="1:7" x14ac:dyDescent="0.45">
      <c r="A723" s="17">
        <f>'[1]02. Matrix'!A732</f>
        <v>722</v>
      </c>
      <c r="B723" s="18">
        <f>'[1]02. Matrix'!B732</f>
        <v>11</v>
      </c>
      <c r="C723" s="18" t="str">
        <f>'[1]02. Matrix'!C732</f>
        <v>STAFF LOAN</v>
      </c>
      <c r="D723" s="18">
        <f>'[1]02. Matrix'!D732</f>
        <v>2</v>
      </c>
      <c r="E723" s="19">
        <f>'[1]02. Matrix'!E732</f>
        <v>0</v>
      </c>
      <c r="F723" s="18" t="str">
        <f>_xlfn.XLOOKUP('01. Main'!$B723,[1]Mapping!$D:$D,[1]Mapping!$A:$A,0,0)</f>
        <v>Poush 78</v>
      </c>
      <c r="G723" s="20">
        <f>_xlfn.XLOOKUP('01. Main'!$B723,[1]Mapping!D$2:D$24,[1]Mapping!E$2:E$24,0,0)</f>
        <v>2021</v>
      </c>
    </row>
    <row r="724" spans="1:7" x14ac:dyDescent="0.45">
      <c r="A724" s="13">
        <f>'[1]02. Matrix'!A733</f>
        <v>723</v>
      </c>
      <c r="B724" s="14">
        <f>'[1]02. Matrix'!B733</f>
        <v>11</v>
      </c>
      <c r="C724" s="14" t="str">
        <f>'[1]02. Matrix'!C733</f>
        <v>AGRICULTURAL LOAN</v>
      </c>
      <c r="D724" s="14">
        <f>'[1]02. Matrix'!D733</f>
        <v>2</v>
      </c>
      <c r="E724" s="15">
        <f>'[1]02. Matrix'!E733</f>
        <v>0</v>
      </c>
      <c r="F724" s="14" t="str">
        <f>_xlfn.XLOOKUP('01. Main'!$B724,[1]Mapping!$D:$D,[1]Mapping!$A:$A,0,0)</f>
        <v>Poush 78</v>
      </c>
      <c r="G724" s="16">
        <f>_xlfn.XLOOKUP('01. Main'!$B724,[1]Mapping!D$2:D$24,[1]Mapping!E$2:E$24,0,0)</f>
        <v>2021</v>
      </c>
    </row>
    <row r="725" spans="1:7" x14ac:dyDescent="0.45">
      <c r="A725" s="17">
        <f>'[1]02. Matrix'!A734</f>
        <v>724</v>
      </c>
      <c r="B725" s="18">
        <f>'[1]02. Matrix'!B734</f>
        <v>11</v>
      </c>
      <c r="C725" s="18" t="str">
        <f>'[1]02. Matrix'!C734</f>
        <v>EARTHQUAKE RELIEF LO</v>
      </c>
      <c r="D725" s="18">
        <f>'[1]02. Matrix'!D734</f>
        <v>2</v>
      </c>
      <c r="E725" s="19">
        <f>'[1]02. Matrix'!E734</f>
        <v>0</v>
      </c>
      <c r="F725" s="18" t="str">
        <f>_xlfn.XLOOKUP('01. Main'!$B725,[1]Mapping!$D:$D,[1]Mapping!$A:$A,0,0)</f>
        <v>Poush 78</v>
      </c>
      <c r="G725" s="20">
        <f>_xlfn.XLOOKUP('01. Main'!$B725,[1]Mapping!D$2:D$24,[1]Mapping!E$2:E$24,0,0)</f>
        <v>2021</v>
      </c>
    </row>
    <row r="726" spans="1:7" x14ac:dyDescent="0.45">
      <c r="A726" s="13">
        <f>'[1]02. Matrix'!A735</f>
        <v>725</v>
      </c>
      <c r="B726" s="14">
        <f>'[1]02. Matrix'!B735</f>
        <v>11</v>
      </c>
      <c r="C726" s="14" t="str">
        <f>'[1]02. Matrix'!C735</f>
        <v>TOURISM SECTOR LOAN</v>
      </c>
      <c r="D726" s="14">
        <f>'[1]02. Matrix'!D735</f>
        <v>2</v>
      </c>
      <c r="E726" s="15">
        <f>'[1]02. Matrix'!E735</f>
        <v>0</v>
      </c>
      <c r="F726" s="14" t="str">
        <f>_xlfn.XLOOKUP('01. Main'!$B726,[1]Mapping!$D:$D,[1]Mapping!$A:$A,0,0)</f>
        <v>Poush 78</v>
      </c>
      <c r="G726" s="16">
        <f>_xlfn.XLOOKUP('01. Main'!$B726,[1]Mapping!D$2:D$24,[1]Mapping!E$2:E$24,0,0)</f>
        <v>2021</v>
      </c>
    </row>
    <row r="727" spans="1:7" x14ac:dyDescent="0.45">
      <c r="A727" s="17">
        <f>'[1]02. Matrix'!A736</f>
        <v>726</v>
      </c>
      <c r="B727" s="18">
        <f>'[1]02. Matrix'!B736</f>
        <v>11</v>
      </c>
      <c r="C727" s="18" t="str">
        <f>'[1]02. Matrix'!C736</f>
        <v>SME LOAN</v>
      </c>
      <c r="D727" s="18">
        <f>'[1]02. Matrix'!D736</f>
        <v>2</v>
      </c>
      <c r="E727" s="19">
        <f>'[1]02. Matrix'!E736</f>
        <v>0</v>
      </c>
      <c r="F727" s="18" t="str">
        <f>_xlfn.XLOOKUP('01. Main'!$B727,[1]Mapping!$D:$D,[1]Mapping!$A:$A,0,0)</f>
        <v>Poush 78</v>
      </c>
      <c r="G727" s="20">
        <f>_xlfn.XLOOKUP('01. Main'!$B727,[1]Mapping!D$2:D$24,[1]Mapping!E$2:E$24,0,0)</f>
        <v>2021</v>
      </c>
    </row>
    <row r="728" spans="1:7" x14ac:dyDescent="0.45">
      <c r="A728" s="13">
        <f>'[1]02. Matrix'!A737</f>
        <v>727</v>
      </c>
      <c r="B728" s="14">
        <f>'[1]02. Matrix'!B737</f>
        <v>11</v>
      </c>
      <c r="C728" s="14" t="str">
        <f>'[1]02. Matrix'!C737</f>
        <v>EDUCATIONAL LOAN EMI</v>
      </c>
      <c r="D728" s="14">
        <f>'[1]02. Matrix'!D737</f>
        <v>2</v>
      </c>
      <c r="E728" s="15">
        <f>'[1]02. Matrix'!E737</f>
        <v>0</v>
      </c>
      <c r="F728" s="14" t="str">
        <f>_xlfn.XLOOKUP('01. Main'!$B728,[1]Mapping!$D:$D,[1]Mapping!$A:$A,0,0)</f>
        <v>Poush 78</v>
      </c>
      <c r="G728" s="16">
        <f>_xlfn.XLOOKUP('01. Main'!$B728,[1]Mapping!D$2:D$24,[1]Mapping!E$2:E$24,0,0)</f>
        <v>2021</v>
      </c>
    </row>
    <row r="729" spans="1:7" x14ac:dyDescent="0.45">
      <c r="A729" s="17">
        <f>'[1]02. Matrix'!A738</f>
        <v>728</v>
      </c>
      <c r="B729" s="18">
        <f>'[1]02. Matrix'!B738</f>
        <v>11</v>
      </c>
      <c r="C729" s="18" t="str">
        <f>'[1]02. Matrix'!C738</f>
        <v>OVERDRAFT PROFESSION</v>
      </c>
      <c r="D729" s="18">
        <f>'[1]02. Matrix'!D738</f>
        <v>2</v>
      </c>
      <c r="E729" s="19">
        <f>'[1]02. Matrix'!E738</f>
        <v>0</v>
      </c>
      <c r="F729" s="18" t="str">
        <f>_xlfn.XLOOKUP('01. Main'!$B729,[1]Mapping!$D:$D,[1]Mapping!$A:$A,0,0)</f>
        <v>Poush 78</v>
      </c>
      <c r="G729" s="20">
        <f>_xlfn.XLOOKUP('01. Main'!$B729,[1]Mapping!D$2:D$24,[1]Mapping!E$2:E$24,0,0)</f>
        <v>2021</v>
      </c>
    </row>
    <row r="730" spans="1:7" x14ac:dyDescent="0.45">
      <c r="A730" s="13">
        <f>'[1]02. Matrix'!A739</f>
        <v>729</v>
      </c>
      <c r="B730" s="14">
        <f>'[1]02. Matrix'!B739</f>
        <v>10</v>
      </c>
      <c r="C730" s="14" t="str">
        <f>'[1]02. Matrix'!C739</f>
        <v>OD PERSONAL LOAN</v>
      </c>
      <c r="D730" s="14">
        <f>'[1]02. Matrix'!D739</f>
        <v>1</v>
      </c>
      <c r="E730" s="15">
        <f>'[1]02. Matrix'!E739</f>
        <v>1.9760377067548792E-2</v>
      </c>
      <c r="F730" s="14" t="str">
        <f>_xlfn.XLOOKUP('01. Main'!$B730,[1]Mapping!$D:$D,[1]Mapping!$A:$A,0,0)</f>
        <v>Ashoj 78</v>
      </c>
      <c r="G730" s="16">
        <f>_xlfn.XLOOKUP('01. Main'!$B730,[1]Mapping!D$2:D$24,[1]Mapping!E$2:E$24,0,0)</f>
        <v>2021</v>
      </c>
    </row>
    <row r="731" spans="1:7" x14ac:dyDescent="0.45">
      <c r="A731" s="17">
        <f>'[1]02. Matrix'!A740</f>
        <v>730</v>
      </c>
      <c r="B731" s="18">
        <f>'[1]02. Matrix'!B740</f>
        <v>10</v>
      </c>
      <c r="C731" s="18" t="str">
        <f>'[1]02. Matrix'!C740</f>
        <v>OD BUSINESS LOAN</v>
      </c>
      <c r="D731" s="18">
        <f>'[1]02. Matrix'!D740</f>
        <v>1</v>
      </c>
      <c r="E731" s="19">
        <f>'[1]02. Matrix'!E740</f>
        <v>0</v>
      </c>
      <c r="F731" s="18" t="str">
        <f>_xlfn.XLOOKUP('01. Main'!$B731,[1]Mapping!$D:$D,[1]Mapping!$A:$A,0,0)</f>
        <v>Ashoj 78</v>
      </c>
      <c r="G731" s="20">
        <f>_xlfn.XLOOKUP('01. Main'!$B731,[1]Mapping!D$2:D$24,[1]Mapping!E$2:E$24,0,0)</f>
        <v>2021</v>
      </c>
    </row>
    <row r="732" spans="1:7" x14ac:dyDescent="0.45">
      <c r="A732" s="13">
        <f>'[1]02. Matrix'!A741</f>
        <v>731</v>
      </c>
      <c r="B732" s="14">
        <f>'[1]02. Matrix'!B741</f>
        <v>10</v>
      </c>
      <c r="C732" s="14" t="str">
        <f>'[1]02. Matrix'!C741</f>
        <v>OD STAFF LOAN</v>
      </c>
      <c r="D732" s="14">
        <f>'[1]02. Matrix'!D741</f>
        <v>1</v>
      </c>
      <c r="E732" s="15">
        <f>'[1]02. Matrix'!E741</f>
        <v>0</v>
      </c>
      <c r="F732" s="14" t="str">
        <f>_xlfn.XLOOKUP('01. Main'!$B732,[1]Mapping!$D:$D,[1]Mapping!$A:$A,0,0)</f>
        <v>Ashoj 78</v>
      </c>
      <c r="G732" s="16">
        <f>_xlfn.XLOOKUP('01. Main'!$B732,[1]Mapping!D$2:D$24,[1]Mapping!E$2:E$24,0,0)</f>
        <v>2021</v>
      </c>
    </row>
    <row r="733" spans="1:7" x14ac:dyDescent="0.45">
      <c r="A733" s="17">
        <f>'[1]02. Matrix'!A742</f>
        <v>732</v>
      </c>
      <c r="B733" s="18">
        <f>'[1]02. Matrix'!B742</f>
        <v>10</v>
      </c>
      <c r="C733" s="18" t="str">
        <f>'[1]02. Matrix'!C742</f>
        <v>TERM LOAN</v>
      </c>
      <c r="D733" s="18">
        <f>'[1]02. Matrix'!D742</f>
        <v>1</v>
      </c>
      <c r="E733" s="19">
        <f>'[1]02. Matrix'!E742</f>
        <v>0.11609070608799857</v>
      </c>
      <c r="F733" s="18" t="str">
        <f>_xlfn.XLOOKUP('01. Main'!$B733,[1]Mapping!$D:$D,[1]Mapping!$A:$A,0,0)</f>
        <v>Ashoj 78</v>
      </c>
      <c r="G733" s="20">
        <f>_xlfn.XLOOKUP('01. Main'!$B733,[1]Mapping!D$2:D$24,[1]Mapping!E$2:E$24,0,0)</f>
        <v>2021</v>
      </c>
    </row>
    <row r="734" spans="1:7" x14ac:dyDescent="0.45">
      <c r="A734" s="13">
        <f>'[1]02. Matrix'!A743</f>
        <v>733</v>
      </c>
      <c r="B734" s="14">
        <f>'[1]02. Matrix'!B743</f>
        <v>10</v>
      </c>
      <c r="C734" s="14" t="str">
        <f>'[1]02. Matrix'!C743</f>
        <v>WC TRADING/IND LOAN</v>
      </c>
      <c r="D734" s="14">
        <f>'[1]02. Matrix'!D743</f>
        <v>1</v>
      </c>
      <c r="E734" s="15">
        <f>'[1]02. Matrix'!E743</f>
        <v>0.12414486149460957</v>
      </c>
      <c r="F734" s="14" t="str">
        <f>_xlfn.XLOOKUP('01. Main'!$B734,[1]Mapping!$D:$D,[1]Mapping!$A:$A,0,0)</f>
        <v>Ashoj 78</v>
      </c>
      <c r="G734" s="16">
        <f>_xlfn.XLOOKUP('01. Main'!$B734,[1]Mapping!D$2:D$24,[1]Mapping!E$2:E$24,0,0)</f>
        <v>2021</v>
      </c>
    </row>
    <row r="735" spans="1:7" x14ac:dyDescent="0.45">
      <c r="A735" s="17">
        <f>'[1]02. Matrix'!A744</f>
        <v>734</v>
      </c>
      <c r="B735" s="18">
        <f>'[1]02. Matrix'!B744</f>
        <v>10</v>
      </c>
      <c r="C735" s="18" t="str">
        <f>'[1]02. Matrix'!C744</f>
        <v>HOUSING LOAN</v>
      </c>
      <c r="D735" s="18">
        <f>'[1]02. Matrix'!D744</f>
        <v>1</v>
      </c>
      <c r="E735" s="19">
        <f>'[1]02. Matrix'!E744</f>
        <v>0.3361288775246134</v>
      </c>
      <c r="F735" s="18" t="str">
        <f>_xlfn.XLOOKUP('01. Main'!$B735,[1]Mapping!$D:$D,[1]Mapping!$A:$A,0,0)</f>
        <v>Ashoj 78</v>
      </c>
      <c r="G735" s="20">
        <f>_xlfn.XLOOKUP('01. Main'!$B735,[1]Mapping!D$2:D$24,[1]Mapping!E$2:E$24,0,0)</f>
        <v>2021</v>
      </c>
    </row>
    <row r="736" spans="1:7" x14ac:dyDescent="0.45">
      <c r="A736" s="13">
        <f>'[1]02. Matrix'!A745</f>
        <v>735</v>
      </c>
      <c r="B736" s="14">
        <f>'[1]02. Matrix'!B745</f>
        <v>10</v>
      </c>
      <c r="C736" s="14" t="str">
        <f>'[1]02. Matrix'!C745</f>
        <v>RESI REAL EST LOAN</v>
      </c>
      <c r="D736" s="14">
        <f>'[1]02. Matrix'!D745</f>
        <v>1</v>
      </c>
      <c r="E736" s="15">
        <f>'[1]02. Matrix'!E745</f>
        <v>0.1222352457976764</v>
      </c>
      <c r="F736" s="14" t="str">
        <f>_xlfn.XLOOKUP('01. Main'!$B736,[1]Mapping!$D:$D,[1]Mapping!$A:$A,0,0)</f>
        <v>Ashoj 78</v>
      </c>
      <c r="G736" s="16">
        <f>_xlfn.XLOOKUP('01. Main'!$B736,[1]Mapping!D$2:D$24,[1]Mapping!E$2:E$24,0,0)</f>
        <v>2021</v>
      </c>
    </row>
    <row r="737" spans="1:7" x14ac:dyDescent="0.45">
      <c r="A737" s="17">
        <f>'[1]02. Matrix'!A746</f>
        <v>736</v>
      </c>
      <c r="B737" s="18">
        <f>'[1]02. Matrix'!B746</f>
        <v>10</v>
      </c>
      <c r="C737" s="18" t="str">
        <f>'[1]02. Matrix'!C746</f>
        <v>MARGIN NATURE LOAN</v>
      </c>
      <c r="D737" s="18">
        <f>'[1]02. Matrix'!D746</f>
        <v>1</v>
      </c>
      <c r="E737" s="19">
        <f>'[1]02. Matrix'!E746</f>
        <v>0</v>
      </c>
      <c r="F737" s="18" t="str">
        <f>_xlfn.XLOOKUP('01. Main'!$B737,[1]Mapping!$D:$D,[1]Mapping!$A:$A,0,0)</f>
        <v>Ashoj 78</v>
      </c>
      <c r="G737" s="20">
        <f>_xlfn.XLOOKUP('01. Main'!$B737,[1]Mapping!D$2:D$24,[1]Mapping!E$2:E$24,0,0)</f>
        <v>2021</v>
      </c>
    </row>
    <row r="738" spans="1:7" x14ac:dyDescent="0.45">
      <c r="A738" s="13">
        <f>'[1]02. Matrix'!A747</f>
        <v>737</v>
      </c>
      <c r="B738" s="14">
        <f>'[1]02. Matrix'!B747</f>
        <v>10</v>
      </c>
      <c r="C738" s="14" t="str">
        <f>'[1]02. Matrix'!C747</f>
        <v>HIRE PURCHASE LOAN</v>
      </c>
      <c r="D738" s="14">
        <f>'[1]02. Matrix'!D747</f>
        <v>1</v>
      </c>
      <c r="E738" s="15">
        <f>'[1]02. Matrix'!E747</f>
        <v>0.43823215515940117</v>
      </c>
      <c r="F738" s="14" t="str">
        <f>_xlfn.XLOOKUP('01. Main'!$B738,[1]Mapping!$D:$D,[1]Mapping!$A:$A,0,0)</f>
        <v>Ashoj 78</v>
      </c>
      <c r="G738" s="16">
        <f>_xlfn.XLOOKUP('01. Main'!$B738,[1]Mapping!D$2:D$24,[1]Mapping!E$2:E$24,0,0)</f>
        <v>2021</v>
      </c>
    </row>
    <row r="739" spans="1:7" x14ac:dyDescent="0.45">
      <c r="A739" s="17">
        <f>'[1]02. Matrix'!A748</f>
        <v>738</v>
      </c>
      <c r="B739" s="18">
        <f>'[1]02. Matrix'!B748</f>
        <v>10</v>
      </c>
      <c r="C739" s="18" t="str">
        <f>'[1]02. Matrix'!C748</f>
        <v>DEPRIVED SECTOR LOAN</v>
      </c>
      <c r="D739" s="18">
        <f>'[1]02. Matrix'!D748</f>
        <v>1</v>
      </c>
      <c r="E739" s="19">
        <f>'[1]02. Matrix'!E748</f>
        <v>3.4917074215836008E-2</v>
      </c>
      <c r="F739" s="18" t="str">
        <f>_xlfn.XLOOKUP('01. Main'!$B739,[1]Mapping!$D:$D,[1]Mapping!$A:$A,0,0)</f>
        <v>Ashoj 78</v>
      </c>
      <c r="G739" s="20">
        <f>_xlfn.XLOOKUP('01. Main'!$B739,[1]Mapping!D$2:D$24,[1]Mapping!E$2:E$24,0,0)</f>
        <v>2021</v>
      </c>
    </row>
    <row r="740" spans="1:7" x14ac:dyDescent="0.45">
      <c r="A740" s="13">
        <f>'[1]02. Matrix'!A749</f>
        <v>739</v>
      </c>
      <c r="B740" s="14">
        <f>'[1]02. Matrix'!B749</f>
        <v>10</v>
      </c>
      <c r="C740" s="14" t="str">
        <f>'[1]02. Matrix'!C749</f>
        <v>EDUCATIONAL LOAN</v>
      </c>
      <c r="D740" s="14">
        <f>'[1]02. Matrix'!D749</f>
        <v>1</v>
      </c>
      <c r="E740" s="15">
        <f>'[1]02. Matrix'!E749</f>
        <v>3.2070569583022956E-2</v>
      </c>
      <c r="F740" s="14" t="str">
        <f>_xlfn.XLOOKUP('01. Main'!$B740,[1]Mapping!$D:$D,[1]Mapping!$A:$A,0,0)</f>
        <v>Ashoj 78</v>
      </c>
      <c r="G740" s="16">
        <f>_xlfn.XLOOKUP('01. Main'!$B740,[1]Mapping!D$2:D$24,[1]Mapping!E$2:E$24,0,0)</f>
        <v>2021</v>
      </c>
    </row>
    <row r="741" spans="1:7" x14ac:dyDescent="0.45">
      <c r="A741" s="17">
        <f>'[1]02. Matrix'!A750</f>
        <v>740</v>
      </c>
      <c r="B741" s="18">
        <f>'[1]02. Matrix'!B750</f>
        <v>10</v>
      </c>
      <c r="C741" s="18" t="str">
        <f>'[1]02. Matrix'!C750</f>
        <v>AGRICULTURE LOAN</v>
      </c>
      <c r="D741" s="18">
        <f>'[1]02. Matrix'!D750</f>
        <v>1</v>
      </c>
      <c r="E741" s="19">
        <f>'[1]02. Matrix'!E750</f>
        <v>0.29064097242593034</v>
      </c>
      <c r="F741" s="18" t="str">
        <f>_xlfn.XLOOKUP('01. Main'!$B741,[1]Mapping!$D:$D,[1]Mapping!$A:$A,0,0)</f>
        <v>Ashoj 78</v>
      </c>
      <c r="G741" s="20">
        <f>_xlfn.XLOOKUP('01. Main'!$B741,[1]Mapping!D$2:D$24,[1]Mapping!E$2:E$24,0,0)</f>
        <v>2021</v>
      </c>
    </row>
    <row r="742" spans="1:7" x14ac:dyDescent="0.45">
      <c r="A742" s="13">
        <f>'[1]02. Matrix'!A751</f>
        <v>741</v>
      </c>
      <c r="B742" s="14">
        <f>'[1]02. Matrix'!B751</f>
        <v>10</v>
      </c>
      <c r="C742" s="14" t="str">
        <f>'[1]02. Matrix'!C751</f>
        <v>RESI PER.HOME-EMI</v>
      </c>
      <c r="D742" s="14">
        <f>'[1]02. Matrix'!D751</f>
        <v>1</v>
      </c>
      <c r="E742" s="15">
        <f>'[1]02. Matrix'!E751</f>
        <v>0.22612373334896574</v>
      </c>
      <c r="F742" s="14" t="str">
        <f>_xlfn.XLOOKUP('01. Main'!$B742,[1]Mapping!$D:$D,[1]Mapping!$A:$A,0,0)</f>
        <v>Ashoj 78</v>
      </c>
      <c r="G742" s="16">
        <f>_xlfn.XLOOKUP('01. Main'!$B742,[1]Mapping!D$2:D$24,[1]Mapping!E$2:E$24,0,0)</f>
        <v>2021</v>
      </c>
    </row>
    <row r="743" spans="1:7" x14ac:dyDescent="0.45">
      <c r="A743" s="17">
        <f>'[1]02. Matrix'!A752</f>
        <v>742</v>
      </c>
      <c r="B743" s="18">
        <f>'[1]02. Matrix'!B752</f>
        <v>10</v>
      </c>
      <c r="C743" s="18" t="str">
        <f>'[1]02. Matrix'!C752</f>
        <v>TERM LOAN - BUSINESS</v>
      </c>
      <c r="D743" s="18">
        <f>'[1]02. Matrix'!D752</f>
        <v>1</v>
      </c>
      <c r="E743" s="19">
        <f>'[1]02. Matrix'!E752</f>
        <v>0</v>
      </c>
      <c r="F743" s="18" t="str">
        <f>_xlfn.XLOOKUP('01. Main'!$B743,[1]Mapping!$D:$D,[1]Mapping!$A:$A,0,0)</f>
        <v>Ashoj 78</v>
      </c>
      <c r="G743" s="20">
        <f>_xlfn.XLOOKUP('01. Main'!$B743,[1]Mapping!D$2:D$24,[1]Mapping!E$2:E$24,0,0)</f>
        <v>2021</v>
      </c>
    </row>
    <row r="744" spans="1:7" x14ac:dyDescent="0.45">
      <c r="A744" s="13">
        <f>'[1]02. Matrix'!A753</f>
        <v>743</v>
      </c>
      <c r="B744" s="14">
        <f>'[1]02. Matrix'!B753</f>
        <v>10</v>
      </c>
      <c r="C744" s="14" t="str">
        <f>'[1]02. Matrix'!C753</f>
        <v>CONS FIN BUSN TRM LO</v>
      </c>
      <c r="D744" s="14">
        <f>'[1]02. Matrix'!D753</f>
        <v>1</v>
      </c>
      <c r="E744" s="15">
        <f>'[1]02. Matrix'!E753</f>
        <v>0</v>
      </c>
      <c r="F744" s="14" t="str">
        <f>_xlfn.XLOOKUP('01. Main'!$B744,[1]Mapping!$D:$D,[1]Mapping!$A:$A,0,0)</f>
        <v>Ashoj 78</v>
      </c>
      <c r="G744" s="16">
        <f>_xlfn.XLOOKUP('01. Main'!$B744,[1]Mapping!D$2:D$24,[1]Mapping!E$2:E$24,0,0)</f>
        <v>2021</v>
      </c>
    </row>
    <row r="745" spans="1:7" x14ac:dyDescent="0.45">
      <c r="A745" s="17">
        <f>'[1]02. Matrix'!A754</f>
        <v>744</v>
      </c>
      <c r="B745" s="18">
        <f>'[1]02. Matrix'!B754</f>
        <v>10</v>
      </c>
      <c r="C745" s="18" t="str">
        <f>'[1]02. Matrix'!C754</f>
        <v>BIS/PERHIRE PURCHASE</v>
      </c>
      <c r="D745" s="18">
        <f>'[1]02. Matrix'!D754</f>
        <v>1</v>
      </c>
      <c r="E745" s="19">
        <f>'[1]02. Matrix'!E754</f>
        <v>0.26435363713476151</v>
      </c>
      <c r="F745" s="18" t="str">
        <f>_xlfn.XLOOKUP('01. Main'!$B745,[1]Mapping!$D:$D,[1]Mapping!$A:$A,0,0)</f>
        <v>Ashoj 78</v>
      </c>
      <c r="G745" s="20">
        <f>_xlfn.XLOOKUP('01. Main'!$B745,[1]Mapping!D$2:D$24,[1]Mapping!E$2:E$24,0,0)</f>
        <v>2021</v>
      </c>
    </row>
    <row r="746" spans="1:7" x14ac:dyDescent="0.45">
      <c r="A746" s="13">
        <f>'[1]02. Matrix'!A755</f>
        <v>745</v>
      </c>
      <c r="B746" s="14">
        <f>'[1]02. Matrix'!B755</f>
        <v>10</v>
      </c>
      <c r="C746" s="14" t="str">
        <f>'[1]02. Matrix'!C755</f>
        <v xml:space="preserve">INT CAP TERM LOAN </v>
      </c>
      <c r="D746" s="14">
        <f>'[1]02. Matrix'!D755</f>
        <v>1</v>
      </c>
      <c r="E746" s="15">
        <f>'[1]02. Matrix'!E755</f>
        <v>0</v>
      </c>
      <c r="F746" s="14" t="str">
        <f>_xlfn.XLOOKUP('01. Main'!$B746,[1]Mapping!$D:$D,[1]Mapping!$A:$A,0,0)</f>
        <v>Ashoj 78</v>
      </c>
      <c r="G746" s="16">
        <f>_xlfn.XLOOKUP('01. Main'!$B746,[1]Mapping!D$2:D$24,[1]Mapping!E$2:E$24,0,0)</f>
        <v>2021</v>
      </c>
    </row>
    <row r="747" spans="1:7" x14ac:dyDescent="0.45">
      <c r="A747" s="17">
        <f>'[1]02. Matrix'!A756</f>
        <v>746</v>
      </c>
      <c r="B747" s="18">
        <f>'[1]02. Matrix'!B756</f>
        <v>10</v>
      </c>
      <c r="C747" s="18" t="str">
        <f>'[1]02. Matrix'!C756</f>
        <v>PERSONAL LOAN</v>
      </c>
      <c r="D747" s="18">
        <f>'[1]02. Matrix'!D756</f>
        <v>1</v>
      </c>
      <c r="E747" s="19">
        <f>'[1]02. Matrix'!E756</f>
        <v>0.18267464989432974</v>
      </c>
      <c r="F747" s="18" t="str">
        <f>_xlfn.XLOOKUP('01. Main'!$B747,[1]Mapping!$D:$D,[1]Mapping!$A:$A,0,0)</f>
        <v>Ashoj 78</v>
      </c>
      <c r="G747" s="20">
        <f>_xlfn.XLOOKUP('01. Main'!$B747,[1]Mapping!D$2:D$24,[1]Mapping!E$2:E$24,0,0)</f>
        <v>2021</v>
      </c>
    </row>
    <row r="748" spans="1:7" x14ac:dyDescent="0.45">
      <c r="A748" s="13">
        <f>'[1]02. Matrix'!A757</f>
        <v>747</v>
      </c>
      <c r="B748" s="14">
        <f>'[1]02. Matrix'!B757</f>
        <v>10</v>
      </c>
      <c r="C748" s="14" t="str">
        <f>'[1]02. Matrix'!C757</f>
        <v>MORTGAGE LOAN</v>
      </c>
      <c r="D748" s="14">
        <f>'[1]02. Matrix'!D757</f>
        <v>1</v>
      </c>
      <c r="E748" s="15">
        <f>'[1]02. Matrix'!E757</f>
        <v>0</v>
      </c>
      <c r="F748" s="14" t="str">
        <f>_xlfn.XLOOKUP('01. Main'!$B748,[1]Mapping!$D:$D,[1]Mapping!$A:$A,0,0)</f>
        <v>Ashoj 78</v>
      </c>
      <c r="G748" s="16">
        <f>_xlfn.XLOOKUP('01. Main'!$B748,[1]Mapping!D$2:D$24,[1]Mapping!E$2:E$24,0,0)</f>
        <v>2021</v>
      </c>
    </row>
    <row r="749" spans="1:7" x14ac:dyDescent="0.45">
      <c r="A749" s="17">
        <f>'[1]02. Matrix'!A758</f>
        <v>748</v>
      </c>
      <c r="B749" s="18">
        <f>'[1]02. Matrix'!B758</f>
        <v>10</v>
      </c>
      <c r="C749" s="18" t="str">
        <f>'[1]02. Matrix'!C758</f>
        <v>LOAN AGAINST FDR</v>
      </c>
      <c r="D749" s="18">
        <f>'[1]02. Matrix'!D758</f>
        <v>1</v>
      </c>
      <c r="E749" s="19">
        <f>'[1]02. Matrix'!E758</f>
        <v>0</v>
      </c>
      <c r="F749" s="18" t="str">
        <f>_xlfn.XLOOKUP('01. Main'!$B749,[1]Mapping!$D:$D,[1]Mapping!$A:$A,0,0)</f>
        <v>Ashoj 78</v>
      </c>
      <c r="G749" s="20">
        <f>_xlfn.XLOOKUP('01. Main'!$B749,[1]Mapping!D$2:D$24,[1]Mapping!E$2:E$24,0,0)</f>
        <v>2021</v>
      </c>
    </row>
    <row r="750" spans="1:7" x14ac:dyDescent="0.45">
      <c r="A750" s="13">
        <f>'[1]02. Matrix'!A759</f>
        <v>749</v>
      </c>
      <c r="B750" s="14">
        <f>'[1]02. Matrix'!B759</f>
        <v>10</v>
      </c>
      <c r="C750" s="14" t="str">
        <f>'[1]02. Matrix'!C759</f>
        <v>RECEIVABLE LOAN</v>
      </c>
      <c r="D750" s="14">
        <f>'[1]02. Matrix'!D759</f>
        <v>1</v>
      </c>
      <c r="E750" s="15">
        <f>'[1]02. Matrix'!E759</f>
        <v>0.73837070835614893</v>
      </c>
      <c r="F750" s="14" t="str">
        <f>_xlfn.XLOOKUP('01. Main'!$B750,[1]Mapping!$D:$D,[1]Mapping!$A:$A,0,0)</f>
        <v>Ashoj 78</v>
      </c>
      <c r="G750" s="16">
        <f>_xlfn.XLOOKUP('01. Main'!$B750,[1]Mapping!D$2:D$24,[1]Mapping!E$2:E$24,0,0)</f>
        <v>2021</v>
      </c>
    </row>
    <row r="751" spans="1:7" x14ac:dyDescent="0.45">
      <c r="A751" s="17">
        <f>'[1]02. Matrix'!A760</f>
        <v>750</v>
      </c>
      <c r="B751" s="18">
        <f>'[1]02. Matrix'!B760</f>
        <v>10</v>
      </c>
      <c r="C751" s="18" t="str">
        <f>'[1]02. Matrix'!C760</f>
        <v>STAFF LOAN</v>
      </c>
      <c r="D751" s="18">
        <f>'[1]02. Matrix'!D760</f>
        <v>1</v>
      </c>
      <c r="E751" s="19">
        <f>'[1]02. Matrix'!E760</f>
        <v>0</v>
      </c>
      <c r="F751" s="18" t="str">
        <f>_xlfn.XLOOKUP('01. Main'!$B751,[1]Mapping!$D:$D,[1]Mapping!$A:$A,0,0)</f>
        <v>Ashoj 78</v>
      </c>
      <c r="G751" s="20">
        <f>_xlfn.XLOOKUP('01. Main'!$B751,[1]Mapping!D$2:D$24,[1]Mapping!E$2:E$24,0,0)</f>
        <v>2021</v>
      </c>
    </row>
    <row r="752" spans="1:7" x14ac:dyDescent="0.45">
      <c r="A752" s="13">
        <f>'[1]02. Matrix'!A761</f>
        <v>751</v>
      </c>
      <c r="B752" s="14">
        <f>'[1]02. Matrix'!B761</f>
        <v>10</v>
      </c>
      <c r="C752" s="14" t="str">
        <f>'[1]02. Matrix'!C761</f>
        <v>AGRICULTURAL LOAN</v>
      </c>
      <c r="D752" s="14">
        <f>'[1]02. Matrix'!D761</f>
        <v>1</v>
      </c>
      <c r="E752" s="15">
        <f>'[1]02. Matrix'!E761</f>
        <v>0</v>
      </c>
      <c r="F752" s="14" t="str">
        <f>_xlfn.XLOOKUP('01. Main'!$B752,[1]Mapping!$D:$D,[1]Mapping!$A:$A,0,0)</f>
        <v>Ashoj 78</v>
      </c>
      <c r="G752" s="16">
        <f>_xlfn.XLOOKUP('01. Main'!$B752,[1]Mapping!D$2:D$24,[1]Mapping!E$2:E$24,0,0)</f>
        <v>2021</v>
      </c>
    </row>
    <row r="753" spans="1:7" x14ac:dyDescent="0.45">
      <c r="A753" s="17">
        <f>'[1]02. Matrix'!A762</f>
        <v>752</v>
      </c>
      <c r="B753" s="18">
        <f>'[1]02. Matrix'!B762</f>
        <v>10</v>
      </c>
      <c r="C753" s="18" t="str">
        <f>'[1]02. Matrix'!C762</f>
        <v>EARTHQUAKE RELIEF LO</v>
      </c>
      <c r="D753" s="18">
        <f>'[1]02. Matrix'!D762</f>
        <v>1</v>
      </c>
      <c r="E753" s="19">
        <f>'[1]02. Matrix'!E762</f>
        <v>0</v>
      </c>
      <c r="F753" s="18" t="str">
        <f>_xlfn.XLOOKUP('01. Main'!$B753,[1]Mapping!$D:$D,[1]Mapping!$A:$A,0,0)</f>
        <v>Ashoj 78</v>
      </c>
      <c r="G753" s="20">
        <f>_xlfn.XLOOKUP('01. Main'!$B753,[1]Mapping!D$2:D$24,[1]Mapping!E$2:E$24,0,0)</f>
        <v>2021</v>
      </c>
    </row>
    <row r="754" spans="1:7" x14ac:dyDescent="0.45">
      <c r="A754" s="13">
        <f>'[1]02. Matrix'!A763</f>
        <v>753</v>
      </c>
      <c r="B754" s="14">
        <f>'[1]02. Matrix'!B763</f>
        <v>10</v>
      </c>
      <c r="C754" s="14" t="str">
        <f>'[1]02. Matrix'!C763</f>
        <v>TOURISM SECTOR LOAN</v>
      </c>
      <c r="D754" s="14">
        <f>'[1]02. Matrix'!D763</f>
        <v>1</v>
      </c>
      <c r="E754" s="15">
        <f>'[1]02. Matrix'!E763</f>
        <v>1</v>
      </c>
      <c r="F754" s="14" t="str">
        <f>_xlfn.XLOOKUP('01. Main'!$B754,[1]Mapping!$D:$D,[1]Mapping!$A:$A,0,0)</f>
        <v>Ashoj 78</v>
      </c>
      <c r="G754" s="16">
        <f>_xlfn.XLOOKUP('01. Main'!$B754,[1]Mapping!D$2:D$24,[1]Mapping!E$2:E$24,0,0)</f>
        <v>2021</v>
      </c>
    </row>
    <row r="755" spans="1:7" x14ac:dyDescent="0.45">
      <c r="A755" s="17">
        <f>'[1]02. Matrix'!A764</f>
        <v>754</v>
      </c>
      <c r="B755" s="18">
        <f>'[1]02. Matrix'!B764</f>
        <v>10</v>
      </c>
      <c r="C755" s="18" t="str">
        <f>'[1]02. Matrix'!C764</f>
        <v>SME LOAN</v>
      </c>
      <c r="D755" s="18">
        <f>'[1]02. Matrix'!D764</f>
        <v>1</v>
      </c>
      <c r="E755" s="19">
        <f>'[1]02. Matrix'!E764</f>
        <v>0</v>
      </c>
      <c r="F755" s="18" t="str">
        <f>_xlfn.XLOOKUP('01. Main'!$B755,[1]Mapping!$D:$D,[1]Mapping!$A:$A,0,0)</f>
        <v>Ashoj 78</v>
      </c>
      <c r="G755" s="20">
        <f>_xlfn.XLOOKUP('01. Main'!$B755,[1]Mapping!D$2:D$24,[1]Mapping!E$2:E$24,0,0)</f>
        <v>2021</v>
      </c>
    </row>
    <row r="756" spans="1:7" x14ac:dyDescent="0.45">
      <c r="A756" s="13">
        <f>'[1]02. Matrix'!A765</f>
        <v>755</v>
      </c>
      <c r="B756" s="14">
        <f>'[1]02. Matrix'!B765</f>
        <v>10</v>
      </c>
      <c r="C756" s="14" t="str">
        <f>'[1]02. Matrix'!C765</f>
        <v>EDUCATIONAL LOAN EMI</v>
      </c>
      <c r="D756" s="14">
        <f>'[1]02. Matrix'!D765</f>
        <v>1</v>
      </c>
      <c r="E756" s="15">
        <f>'[1]02. Matrix'!E765</f>
        <v>0</v>
      </c>
      <c r="F756" s="14" t="str">
        <f>_xlfn.XLOOKUP('01. Main'!$B756,[1]Mapping!$D:$D,[1]Mapping!$A:$A,0,0)</f>
        <v>Ashoj 78</v>
      </c>
      <c r="G756" s="16">
        <f>_xlfn.XLOOKUP('01. Main'!$B756,[1]Mapping!D$2:D$24,[1]Mapping!E$2:E$24,0,0)</f>
        <v>2021</v>
      </c>
    </row>
    <row r="757" spans="1:7" x14ac:dyDescent="0.45">
      <c r="A757" s="17">
        <f>'[1]02. Matrix'!A766</f>
        <v>756</v>
      </c>
      <c r="B757" s="18">
        <f>'[1]02. Matrix'!B766</f>
        <v>10</v>
      </c>
      <c r="C757" s="18" t="str">
        <f>'[1]02. Matrix'!C766</f>
        <v>OVERDRAFT PROFESSION</v>
      </c>
      <c r="D757" s="18">
        <f>'[1]02. Matrix'!D766</f>
        <v>1</v>
      </c>
      <c r="E757" s="19">
        <f>'[1]02. Matrix'!E766</f>
        <v>0</v>
      </c>
      <c r="F757" s="18" t="str">
        <f>_xlfn.XLOOKUP('01. Main'!$B757,[1]Mapping!$D:$D,[1]Mapping!$A:$A,0,0)</f>
        <v>Ashoj 78</v>
      </c>
      <c r="G757" s="20">
        <f>_xlfn.XLOOKUP('01. Main'!$B757,[1]Mapping!D$2:D$24,[1]Mapping!E$2:E$24,0,0)</f>
        <v>2021</v>
      </c>
    </row>
    <row r="758" spans="1:7" x14ac:dyDescent="0.45">
      <c r="A758" s="13">
        <f>'[1]02. Matrix'!A767</f>
        <v>757</v>
      </c>
      <c r="B758" s="14">
        <f>'[1]02. Matrix'!B767</f>
        <v>10</v>
      </c>
      <c r="C758" s="14" t="str">
        <f>'[1]02. Matrix'!C767</f>
        <v>OD PERSONAL LOAN</v>
      </c>
      <c r="D758" s="14">
        <f>'[1]02. Matrix'!D767</f>
        <v>2</v>
      </c>
      <c r="E758" s="15">
        <f>'[1]02. Matrix'!E767</f>
        <v>0</v>
      </c>
      <c r="F758" s="14" t="str">
        <f>_xlfn.XLOOKUP('01. Main'!$B758,[1]Mapping!$D:$D,[1]Mapping!$A:$A,0,0)</f>
        <v>Ashoj 78</v>
      </c>
      <c r="G758" s="16">
        <f>_xlfn.XLOOKUP('01. Main'!$B758,[1]Mapping!D$2:D$24,[1]Mapping!E$2:E$24,0,0)</f>
        <v>2021</v>
      </c>
    </row>
    <row r="759" spans="1:7" x14ac:dyDescent="0.45">
      <c r="A759" s="17">
        <f>'[1]02. Matrix'!A768</f>
        <v>758</v>
      </c>
      <c r="B759" s="18">
        <f>'[1]02. Matrix'!B768</f>
        <v>10</v>
      </c>
      <c r="C759" s="18" t="str">
        <f>'[1]02. Matrix'!C768</f>
        <v>OD BUSINESS LOAN</v>
      </c>
      <c r="D759" s="18">
        <f>'[1]02. Matrix'!D768</f>
        <v>2</v>
      </c>
      <c r="E759" s="19">
        <f>'[1]02. Matrix'!E768</f>
        <v>0</v>
      </c>
      <c r="F759" s="18" t="str">
        <f>_xlfn.XLOOKUP('01. Main'!$B759,[1]Mapping!$D:$D,[1]Mapping!$A:$A,0,0)</f>
        <v>Ashoj 78</v>
      </c>
      <c r="G759" s="20">
        <f>_xlfn.XLOOKUP('01. Main'!$B759,[1]Mapping!D$2:D$24,[1]Mapping!E$2:E$24,0,0)</f>
        <v>2021</v>
      </c>
    </row>
    <row r="760" spans="1:7" x14ac:dyDescent="0.45">
      <c r="A760" s="13">
        <f>'[1]02. Matrix'!A769</f>
        <v>759</v>
      </c>
      <c r="B760" s="14">
        <f>'[1]02. Matrix'!B769</f>
        <v>10</v>
      </c>
      <c r="C760" s="14" t="str">
        <f>'[1]02. Matrix'!C769</f>
        <v>OD STAFF LOAN</v>
      </c>
      <c r="D760" s="14">
        <f>'[1]02. Matrix'!D769</f>
        <v>2</v>
      </c>
      <c r="E760" s="15">
        <f>'[1]02. Matrix'!E769</f>
        <v>0</v>
      </c>
      <c r="F760" s="14" t="str">
        <f>_xlfn.XLOOKUP('01. Main'!$B760,[1]Mapping!$D:$D,[1]Mapping!$A:$A,0,0)</f>
        <v>Ashoj 78</v>
      </c>
      <c r="G760" s="16">
        <f>_xlfn.XLOOKUP('01. Main'!$B760,[1]Mapping!D$2:D$24,[1]Mapping!E$2:E$24,0,0)</f>
        <v>2021</v>
      </c>
    </row>
    <row r="761" spans="1:7" x14ac:dyDescent="0.45">
      <c r="A761" s="17">
        <f>'[1]02. Matrix'!A770</f>
        <v>760</v>
      </c>
      <c r="B761" s="18">
        <f>'[1]02. Matrix'!B770</f>
        <v>10</v>
      </c>
      <c r="C761" s="18" t="str">
        <f>'[1]02. Matrix'!C770</f>
        <v>TERM LOAN</v>
      </c>
      <c r="D761" s="18">
        <f>'[1]02. Matrix'!D770</f>
        <v>2</v>
      </c>
      <c r="E761" s="19">
        <f>'[1]02. Matrix'!E770</f>
        <v>0.24266827844940075</v>
      </c>
      <c r="F761" s="18" t="str">
        <f>_xlfn.XLOOKUP('01. Main'!$B761,[1]Mapping!$D:$D,[1]Mapping!$A:$A,0,0)</f>
        <v>Ashoj 78</v>
      </c>
      <c r="G761" s="20">
        <f>_xlfn.XLOOKUP('01. Main'!$B761,[1]Mapping!D$2:D$24,[1]Mapping!E$2:E$24,0,0)</f>
        <v>2021</v>
      </c>
    </row>
    <row r="762" spans="1:7" x14ac:dyDescent="0.45">
      <c r="A762" s="13">
        <f>'[1]02. Matrix'!A771</f>
        <v>761</v>
      </c>
      <c r="B762" s="14">
        <f>'[1]02. Matrix'!B771</f>
        <v>10</v>
      </c>
      <c r="C762" s="14" t="str">
        <f>'[1]02. Matrix'!C771</f>
        <v>WC TRADING/IND LOAN</v>
      </c>
      <c r="D762" s="14">
        <f>'[1]02. Matrix'!D771</f>
        <v>2</v>
      </c>
      <c r="E762" s="15">
        <f>'[1]02. Matrix'!E771</f>
        <v>0.24902259568295013</v>
      </c>
      <c r="F762" s="14" t="str">
        <f>_xlfn.XLOOKUP('01. Main'!$B762,[1]Mapping!$D:$D,[1]Mapping!$A:$A,0,0)</f>
        <v>Ashoj 78</v>
      </c>
      <c r="G762" s="16">
        <f>_xlfn.XLOOKUP('01. Main'!$B762,[1]Mapping!D$2:D$24,[1]Mapping!E$2:E$24,0,0)</f>
        <v>2021</v>
      </c>
    </row>
    <row r="763" spans="1:7" x14ac:dyDescent="0.45">
      <c r="A763" s="17">
        <f>'[1]02. Matrix'!A772</f>
        <v>762</v>
      </c>
      <c r="B763" s="18">
        <f>'[1]02. Matrix'!B772</f>
        <v>10</v>
      </c>
      <c r="C763" s="18" t="str">
        <f>'[1]02. Matrix'!C772</f>
        <v>HOUSING LOAN</v>
      </c>
      <c r="D763" s="18">
        <f>'[1]02. Matrix'!D772</f>
        <v>2</v>
      </c>
      <c r="E763" s="19">
        <f>'[1]02. Matrix'!E772</f>
        <v>0.58324337203041898</v>
      </c>
      <c r="F763" s="18" t="str">
        <f>_xlfn.XLOOKUP('01. Main'!$B763,[1]Mapping!$D:$D,[1]Mapping!$A:$A,0,0)</f>
        <v>Ashoj 78</v>
      </c>
      <c r="G763" s="20">
        <f>_xlfn.XLOOKUP('01. Main'!$B763,[1]Mapping!D$2:D$24,[1]Mapping!E$2:E$24,0,0)</f>
        <v>2021</v>
      </c>
    </row>
    <row r="764" spans="1:7" x14ac:dyDescent="0.45">
      <c r="A764" s="13">
        <f>'[1]02. Matrix'!A773</f>
        <v>763</v>
      </c>
      <c r="B764" s="14">
        <f>'[1]02. Matrix'!B773</f>
        <v>10</v>
      </c>
      <c r="C764" s="14" t="str">
        <f>'[1]02. Matrix'!C773</f>
        <v>RESI REAL EST LOAN</v>
      </c>
      <c r="D764" s="14">
        <f>'[1]02. Matrix'!D773</f>
        <v>2</v>
      </c>
      <c r="E764" s="15">
        <f>'[1]02. Matrix'!E773</f>
        <v>0</v>
      </c>
      <c r="F764" s="14" t="str">
        <f>_xlfn.XLOOKUP('01. Main'!$B764,[1]Mapping!$D:$D,[1]Mapping!$A:$A,0,0)</f>
        <v>Ashoj 78</v>
      </c>
      <c r="G764" s="16">
        <f>_xlfn.XLOOKUP('01. Main'!$B764,[1]Mapping!D$2:D$24,[1]Mapping!E$2:E$24,0,0)</f>
        <v>2021</v>
      </c>
    </row>
    <row r="765" spans="1:7" x14ac:dyDescent="0.45">
      <c r="A765" s="17">
        <f>'[1]02. Matrix'!A774</f>
        <v>764</v>
      </c>
      <c r="B765" s="18">
        <f>'[1]02. Matrix'!B774</f>
        <v>10</v>
      </c>
      <c r="C765" s="18" t="str">
        <f>'[1]02. Matrix'!C774</f>
        <v>MARGIN NATURE LOAN</v>
      </c>
      <c r="D765" s="18">
        <f>'[1]02. Matrix'!D774</f>
        <v>2</v>
      </c>
      <c r="E765" s="19">
        <f>'[1]02. Matrix'!E774</f>
        <v>0</v>
      </c>
      <c r="F765" s="18" t="str">
        <f>_xlfn.XLOOKUP('01. Main'!$B765,[1]Mapping!$D:$D,[1]Mapping!$A:$A,0,0)</f>
        <v>Ashoj 78</v>
      </c>
      <c r="G765" s="20">
        <f>_xlfn.XLOOKUP('01. Main'!$B765,[1]Mapping!D$2:D$24,[1]Mapping!E$2:E$24,0,0)</f>
        <v>2021</v>
      </c>
    </row>
    <row r="766" spans="1:7" x14ac:dyDescent="0.45">
      <c r="A766" s="13">
        <f>'[1]02. Matrix'!A775</f>
        <v>765</v>
      </c>
      <c r="B766" s="14">
        <f>'[1]02. Matrix'!B775</f>
        <v>10</v>
      </c>
      <c r="C766" s="14" t="str">
        <f>'[1]02. Matrix'!C775</f>
        <v>HIRE PURCHASE LOAN</v>
      </c>
      <c r="D766" s="14">
        <f>'[1]02. Matrix'!D775</f>
        <v>2</v>
      </c>
      <c r="E766" s="15">
        <f>'[1]02. Matrix'!E775</f>
        <v>0.64329120656464311</v>
      </c>
      <c r="F766" s="14" t="str">
        <f>_xlfn.XLOOKUP('01. Main'!$B766,[1]Mapping!$D:$D,[1]Mapping!$A:$A,0,0)</f>
        <v>Ashoj 78</v>
      </c>
      <c r="G766" s="16">
        <f>_xlfn.XLOOKUP('01. Main'!$B766,[1]Mapping!D$2:D$24,[1]Mapping!E$2:E$24,0,0)</f>
        <v>2021</v>
      </c>
    </row>
    <row r="767" spans="1:7" x14ac:dyDescent="0.45">
      <c r="A767" s="17">
        <f>'[1]02. Matrix'!A776</f>
        <v>766</v>
      </c>
      <c r="B767" s="18">
        <f>'[1]02. Matrix'!B776</f>
        <v>10</v>
      </c>
      <c r="C767" s="18" t="str">
        <f>'[1]02. Matrix'!C776</f>
        <v>DEPRIVED SECTOR LOAN</v>
      </c>
      <c r="D767" s="18">
        <f>'[1]02. Matrix'!D776</f>
        <v>2</v>
      </c>
      <c r="E767" s="19">
        <f>'[1]02. Matrix'!E776</f>
        <v>0.68643779417166417</v>
      </c>
      <c r="F767" s="18" t="str">
        <f>_xlfn.XLOOKUP('01. Main'!$B767,[1]Mapping!$D:$D,[1]Mapping!$A:$A,0,0)</f>
        <v>Ashoj 78</v>
      </c>
      <c r="G767" s="20">
        <f>_xlfn.XLOOKUP('01. Main'!$B767,[1]Mapping!D$2:D$24,[1]Mapping!E$2:E$24,0,0)</f>
        <v>2021</v>
      </c>
    </row>
    <row r="768" spans="1:7" x14ac:dyDescent="0.45">
      <c r="A768" s="13">
        <f>'[1]02. Matrix'!A777</f>
        <v>767</v>
      </c>
      <c r="B768" s="14">
        <f>'[1]02. Matrix'!B777</f>
        <v>10</v>
      </c>
      <c r="C768" s="14" t="str">
        <f>'[1]02. Matrix'!C777</f>
        <v>EDUCATIONAL LOAN</v>
      </c>
      <c r="D768" s="14">
        <f>'[1]02. Matrix'!D777</f>
        <v>2</v>
      </c>
      <c r="E768" s="15">
        <f>'[1]02. Matrix'!E777</f>
        <v>0</v>
      </c>
      <c r="F768" s="14" t="str">
        <f>_xlfn.XLOOKUP('01. Main'!$B768,[1]Mapping!$D:$D,[1]Mapping!$A:$A,0,0)</f>
        <v>Ashoj 78</v>
      </c>
      <c r="G768" s="16">
        <f>_xlfn.XLOOKUP('01. Main'!$B768,[1]Mapping!D$2:D$24,[1]Mapping!E$2:E$24,0,0)</f>
        <v>2021</v>
      </c>
    </row>
    <row r="769" spans="1:7" x14ac:dyDescent="0.45">
      <c r="A769" s="17">
        <f>'[1]02. Matrix'!A778</f>
        <v>768</v>
      </c>
      <c r="B769" s="18">
        <f>'[1]02. Matrix'!B778</f>
        <v>10</v>
      </c>
      <c r="C769" s="18" t="str">
        <f>'[1]02. Matrix'!C778</f>
        <v>AGRICULTURE LOAN</v>
      </c>
      <c r="D769" s="18">
        <f>'[1]02. Matrix'!D778</f>
        <v>2</v>
      </c>
      <c r="E769" s="19">
        <f>'[1]02. Matrix'!E778</f>
        <v>0.56214701169252046</v>
      </c>
      <c r="F769" s="18" t="str">
        <f>_xlfn.XLOOKUP('01. Main'!$B769,[1]Mapping!$D:$D,[1]Mapping!$A:$A,0,0)</f>
        <v>Ashoj 78</v>
      </c>
      <c r="G769" s="20">
        <f>_xlfn.XLOOKUP('01. Main'!$B769,[1]Mapping!D$2:D$24,[1]Mapping!E$2:E$24,0,0)</f>
        <v>2021</v>
      </c>
    </row>
    <row r="770" spans="1:7" x14ac:dyDescent="0.45">
      <c r="A770" s="13">
        <f>'[1]02. Matrix'!A779</f>
        <v>769</v>
      </c>
      <c r="B770" s="14">
        <f>'[1]02. Matrix'!B779</f>
        <v>10</v>
      </c>
      <c r="C770" s="14" t="str">
        <f>'[1]02. Matrix'!C779</f>
        <v>RESI PER.HOME-EMI</v>
      </c>
      <c r="D770" s="14">
        <f>'[1]02. Matrix'!D779</f>
        <v>2</v>
      </c>
      <c r="E770" s="15">
        <f>'[1]02. Matrix'!E779</f>
        <v>0.58608988514381</v>
      </c>
      <c r="F770" s="14" t="str">
        <f>_xlfn.XLOOKUP('01. Main'!$B770,[1]Mapping!$D:$D,[1]Mapping!$A:$A,0,0)</f>
        <v>Ashoj 78</v>
      </c>
      <c r="G770" s="16">
        <f>_xlfn.XLOOKUP('01. Main'!$B770,[1]Mapping!D$2:D$24,[1]Mapping!E$2:E$24,0,0)</f>
        <v>2021</v>
      </c>
    </row>
    <row r="771" spans="1:7" x14ac:dyDescent="0.45">
      <c r="A771" s="17">
        <f>'[1]02. Matrix'!A780</f>
        <v>770</v>
      </c>
      <c r="B771" s="18">
        <f>'[1]02. Matrix'!B780</f>
        <v>10</v>
      </c>
      <c r="C771" s="18" t="str">
        <f>'[1]02. Matrix'!C780</f>
        <v>TERM LOAN - BUSINESS</v>
      </c>
      <c r="D771" s="18">
        <f>'[1]02. Matrix'!D780</f>
        <v>2</v>
      </c>
      <c r="E771" s="19">
        <f>'[1]02. Matrix'!E780</f>
        <v>0</v>
      </c>
      <c r="F771" s="18" t="str">
        <f>_xlfn.XLOOKUP('01. Main'!$B771,[1]Mapping!$D:$D,[1]Mapping!$A:$A,0,0)</f>
        <v>Ashoj 78</v>
      </c>
      <c r="G771" s="20">
        <f>_xlfn.XLOOKUP('01. Main'!$B771,[1]Mapping!D$2:D$24,[1]Mapping!E$2:E$24,0,0)</f>
        <v>2021</v>
      </c>
    </row>
    <row r="772" spans="1:7" x14ac:dyDescent="0.45">
      <c r="A772" s="13">
        <f>'[1]02. Matrix'!A781</f>
        <v>771</v>
      </c>
      <c r="B772" s="14">
        <f>'[1]02. Matrix'!B781</f>
        <v>10</v>
      </c>
      <c r="C772" s="14" t="str">
        <f>'[1]02. Matrix'!C781</f>
        <v>CONS FIN BUSN TRM LO</v>
      </c>
      <c r="D772" s="14">
        <f>'[1]02. Matrix'!D781</f>
        <v>2</v>
      </c>
      <c r="E772" s="15">
        <f>'[1]02. Matrix'!E781</f>
        <v>0</v>
      </c>
      <c r="F772" s="14" t="str">
        <f>_xlfn.XLOOKUP('01. Main'!$B772,[1]Mapping!$D:$D,[1]Mapping!$A:$A,0,0)</f>
        <v>Ashoj 78</v>
      </c>
      <c r="G772" s="16">
        <f>_xlfn.XLOOKUP('01. Main'!$B772,[1]Mapping!D$2:D$24,[1]Mapping!E$2:E$24,0,0)</f>
        <v>2021</v>
      </c>
    </row>
    <row r="773" spans="1:7" x14ac:dyDescent="0.45">
      <c r="A773" s="17">
        <f>'[1]02. Matrix'!A782</f>
        <v>772</v>
      </c>
      <c r="B773" s="18">
        <f>'[1]02. Matrix'!B782</f>
        <v>10</v>
      </c>
      <c r="C773" s="18" t="str">
        <f>'[1]02. Matrix'!C782</f>
        <v>BIS/PERHIRE PURCHASE</v>
      </c>
      <c r="D773" s="18">
        <f>'[1]02. Matrix'!D782</f>
        <v>2</v>
      </c>
      <c r="E773" s="19">
        <f>'[1]02. Matrix'!E782</f>
        <v>0.35980327992895861</v>
      </c>
      <c r="F773" s="18" t="str">
        <f>_xlfn.XLOOKUP('01. Main'!$B773,[1]Mapping!$D:$D,[1]Mapping!$A:$A,0,0)</f>
        <v>Ashoj 78</v>
      </c>
      <c r="G773" s="20">
        <f>_xlfn.XLOOKUP('01. Main'!$B773,[1]Mapping!D$2:D$24,[1]Mapping!E$2:E$24,0,0)</f>
        <v>2021</v>
      </c>
    </row>
    <row r="774" spans="1:7" x14ac:dyDescent="0.45">
      <c r="A774" s="13">
        <f>'[1]02. Matrix'!A783</f>
        <v>773</v>
      </c>
      <c r="B774" s="14">
        <f>'[1]02. Matrix'!B783</f>
        <v>10</v>
      </c>
      <c r="C774" s="14" t="str">
        <f>'[1]02. Matrix'!C783</f>
        <v xml:space="preserve">INT CAP TERM LOAN </v>
      </c>
      <c r="D774" s="14">
        <f>'[1]02. Matrix'!D783</f>
        <v>2</v>
      </c>
      <c r="E774" s="15">
        <f>'[1]02. Matrix'!E783</f>
        <v>0</v>
      </c>
      <c r="F774" s="14" t="str">
        <f>_xlfn.XLOOKUP('01. Main'!$B774,[1]Mapping!$D:$D,[1]Mapping!$A:$A,0,0)</f>
        <v>Ashoj 78</v>
      </c>
      <c r="G774" s="16">
        <f>_xlfn.XLOOKUP('01. Main'!$B774,[1]Mapping!D$2:D$24,[1]Mapping!E$2:E$24,0,0)</f>
        <v>2021</v>
      </c>
    </row>
    <row r="775" spans="1:7" x14ac:dyDescent="0.45">
      <c r="A775" s="17">
        <f>'[1]02. Matrix'!A784</f>
        <v>774</v>
      </c>
      <c r="B775" s="18">
        <f>'[1]02. Matrix'!B784</f>
        <v>10</v>
      </c>
      <c r="C775" s="18" t="str">
        <f>'[1]02. Matrix'!C784</f>
        <v>PERSONAL LOAN</v>
      </c>
      <c r="D775" s="18">
        <f>'[1]02. Matrix'!D784</f>
        <v>2</v>
      </c>
      <c r="E775" s="19">
        <f>'[1]02. Matrix'!E784</f>
        <v>0.25550179182229482</v>
      </c>
      <c r="F775" s="18" t="str">
        <f>_xlfn.XLOOKUP('01. Main'!$B775,[1]Mapping!$D:$D,[1]Mapping!$A:$A,0,0)</f>
        <v>Ashoj 78</v>
      </c>
      <c r="G775" s="20">
        <f>_xlfn.XLOOKUP('01. Main'!$B775,[1]Mapping!D$2:D$24,[1]Mapping!E$2:E$24,0,0)</f>
        <v>2021</v>
      </c>
    </row>
    <row r="776" spans="1:7" x14ac:dyDescent="0.45">
      <c r="A776" s="13">
        <f>'[1]02. Matrix'!A785</f>
        <v>775</v>
      </c>
      <c r="B776" s="14">
        <f>'[1]02. Matrix'!B785</f>
        <v>10</v>
      </c>
      <c r="C776" s="14" t="str">
        <f>'[1]02. Matrix'!C785</f>
        <v>MORTGAGE LOAN</v>
      </c>
      <c r="D776" s="14">
        <f>'[1]02. Matrix'!D785</f>
        <v>2</v>
      </c>
      <c r="E776" s="15">
        <f>'[1]02. Matrix'!E785</f>
        <v>0</v>
      </c>
      <c r="F776" s="14" t="str">
        <f>_xlfn.XLOOKUP('01. Main'!$B776,[1]Mapping!$D:$D,[1]Mapping!$A:$A,0,0)</f>
        <v>Ashoj 78</v>
      </c>
      <c r="G776" s="16">
        <f>_xlfn.XLOOKUP('01. Main'!$B776,[1]Mapping!D$2:D$24,[1]Mapping!E$2:E$24,0,0)</f>
        <v>2021</v>
      </c>
    </row>
    <row r="777" spans="1:7" x14ac:dyDescent="0.45">
      <c r="A777" s="17">
        <f>'[1]02. Matrix'!A786</f>
        <v>776</v>
      </c>
      <c r="B777" s="18">
        <f>'[1]02. Matrix'!B786</f>
        <v>10</v>
      </c>
      <c r="C777" s="18" t="str">
        <f>'[1]02. Matrix'!C786</f>
        <v>LOAN AGAINST FDR</v>
      </c>
      <c r="D777" s="18">
        <f>'[1]02. Matrix'!D786</f>
        <v>2</v>
      </c>
      <c r="E777" s="19">
        <f>'[1]02. Matrix'!E786</f>
        <v>0</v>
      </c>
      <c r="F777" s="18" t="str">
        <f>_xlfn.XLOOKUP('01. Main'!$B777,[1]Mapping!$D:$D,[1]Mapping!$A:$A,0,0)</f>
        <v>Ashoj 78</v>
      </c>
      <c r="G777" s="20">
        <f>_xlfn.XLOOKUP('01. Main'!$B777,[1]Mapping!D$2:D$24,[1]Mapping!E$2:E$24,0,0)</f>
        <v>2021</v>
      </c>
    </row>
    <row r="778" spans="1:7" x14ac:dyDescent="0.45">
      <c r="A778" s="13">
        <f>'[1]02. Matrix'!A787</f>
        <v>777</v>
      </c>
      <c r="B778" s="14">
        <f>'[1]02. Matrix'!B787</f>
        <v>10</v>
      </c>
      <c r="C778" s="14" t="str">
        <f>'[1]02. Matrix'!C787</f>
        <v>RECEIVABLE LOAN</v>
      </c>
      <c r="D778" s="14">
        <f>'[1]02. Matrix'!D787</f>
        <v>2</v>
      </c>
      <c r="E778" s="15">
        <f>'[1]02. Matrix'!E787</f>
        <v>0</v>
      </c>
      <c r="F778" s="14" t="str">
        <f>_xlfn.XLOOKUP('01. Main'!$B778,[1]Mapping!$D:$D,[1]Mapping!$A:$A,0,0)</f>
        <v>Ashoj 78</v>
      </c>
      <c r="G778" s="16">
        <f>_xlfn.XLOOKUP('01. Main'!$B778,[1]Mapping!D$2:D$24,[1]Mapping!E$2:E$24,0,0)</f>
        <v>2021</v>
      </c>
    </row>
    <row r="779" spans="1:7" x14ac:dyDescent="0.45">
      <c r="A779" s="17">
        <f>'[1]02. Matrix'!A788</f>
        <v>778</v>
      </c>
      <c r="B779" s="18">
        <f>'[1]02. Matrix'!B788</f>
        <v>10</v>
      </c>
      <c r="C779" s="18" t="str">
        <f>'[1]02. Matrix'!C788</f>
        <v>STAFF LOAN</v>
      </c>
      <c r="D779" s="18">
        <f>'[1]02. Matrix'!D788</f>
        <v>2</v>
      </c>
      <c r="E779" s="19">
        <f>'[1]02. Matrix'!E788</f>
        <v>0</v>
      </c>
      <c r="F779" s="18" t="str">
        <f>_xlfn.XLOOKUP('01. Main'!$B779,[1]Mapping!$D:$D,[1]Mapping!$A:$A,0,0)</f>
        <v>Ashoj 78</v>
      </c>
      <c r="G779" s="20">
        <f>_xlfn.XLOOKUP('01. Main'!$B779,[1]Mapping!D$2:D$24,[1]Mapping!E$2:E$24,0,0)</f>
        <v>2021</v>
      </c>
    </row>
    <row r="780" spans="1:7" x14ac:dyDescent="0.45">
      <c r="A780" s="13">
        <f>'[1]02. Matrix'!A789</f>
        <v>779</v>
      </c>
      <c r="B780" s="14">
        <f>'[1]02. Matrix'!B789</f>
        <v>10</v>
      </c>
      <c r="C780" s="14" t="str">
        <f>'[1]02. Matrix'!C789</f>
        <v>AGRICULTURAL LOAN</v>
      </c>
      <c r="D780" s="14">
        <f>'[1]02. Matrix'!D789</f>
        <v>2</v>
      </c>
      <c r="E780" s="15">
        <f>'[1]02. Matrix'!E789</f>
        <v>0</v>
      </c>
      <c r="F780" s="14" t="str">
        <f>_xlfn.XLOOKUP('01. Main'!$B780,[1]Mapping!$D:$D,[1]Mapping!$A:$A,0,0)</f>
        <v>Ashoj 78</v>
      </c>
      <c r="G780" s="16">
        <f>_xlfn.XLOOKUP('01. Main'!$B780,[1]Mapping!D$2:D$24,[1]Mapping!E$2:E$24,0,0)</f>
        <v>2021</v>
      </c>
    </row>
    <row r="781" spans="1:7" x14ac:dyDescent="0.45">
      <c r="A781" s="17">
        <f>'[1]02. Matrix'!A790</f>
        <v>780</v>
      </c>
      <c r="B781" s="18">
        <f>'[1]02. Matrix'!B790</f>
        <v>10</v>
      </c>
      <c r="C781" s="18" t="str">
        <f>'[1]02. Matrix'!C790</f>
        <v>EARTHQUAKE RELIEF LO</v>
      </c>
      <c r="D781" s="18">
        <f>'[1]02. Matrix'!D790</f>
        <v>2</v>
      </c>
      <c r="E781" s="19">
        <f>'[1]02. Matrix'!E790</f>
        <v>0</v>
      </c>
      <c r="F781" s="18" t="str">
        <f>_xlfn.XLOOKUP('01. Main'!$B781,[1]Mapping!$D:$D,[1]Mapping!$A:$A,0,0)</f>
        <v>Ashoj 78</v>
      </c>
      <c r="G781" s="20">
        <f>_xlfn.XLOOKUP('01. Main'!$B781,[1]Mapping!D$2:D$24,[1]Mapping!E$2:E$24,0,0)</f>
        <v>2021</v>
      </c>
    </row>
    <row r="782" spans="1:7" x14ac:dyDescent="0.45">
      <c r="A782" s="13">
        <f>'[1]02. Matrix'!A791</f>
        <v>781</v>
      </c>
      <c r="B782" s="14">
        <f>'[1]02. Matrix'!B791</f>
        <v>10</v>
      </c>
      <c r="C782" s="14" t="str">
        <f>'[1]02. Matrix'!C791</f>
        <v>TOURISM SECTOR LOAN</v>
      </c>
      <c r="D782" s="14">
        <f>'[1]02. Matrix'!D791</f>
        <v>2</v>
      </c>
      <c r="E782" s="15">
        <f>'[1]02. Matrix'!E791</f>
        <v>0</v>
      </c>
      <c r="F782" s="14" t="str">
        <f>_xlfn.XLOOKUP('01. Main'!$B782,[1]Mapping!$D:$D,[1]Mapping!$A:$A,0,0)</f>
        <v>Ashoj 78</v>
      </c>
      <c r="G782" s="16">
        <f>_xlfn.XLOOKUP('01. Main'!$B782,[1]Mapping!D$2:D$24,[1]Mapping!E$2:E$24,0,0)</f>
        <v>2021</v>
      </c>
    </row>
    <row r="783" spans="1:7" x14ac:dyDescent="0.45">
      <c r="A783" s="17">
        <f>'[1]02. Matrix'!A792</f>
        <v>782</v>
      </c>
      <c r="B783" s="18">
        <f>'[1]02. Matrix'!B792</f>
        <v>10</v>
      </c>
      <c r="C783" s="18" t="str">
        <f>'[1]02. Matrix'!C792</f>
        <v>SME LOAN</v>
      </c>
      <c r="D783" s="18">
        <f>'[1]02. Matrix'!D792</f>
        <v>2</v>
      </c>
      <c r="E783" s="19">
        <f>'[1]02. Matrix'!E792</f>
        <v>0</v>
      </c>
      <c r="F783" s="18" t="str">
        <f>_xlfn.XLOOKUP('01. Main'!$B783,[1]Mapping!$D:$D,[1]Mapping!$A:$A,0,0)</f>
        <v>Ashoj 78</v>
      </c>
      <c r="G783" s="20">
        <f>_xlfn.XLOOKUP('01. Main'!$B783,[1]Mapping!D$2:D$24,[1]Mapping!E$2:E$24,0,0)</f>
        <v>2021</v>
      </c>
    </row>
    <row r="784" spans="1:7" x14ac:dyDescent="0.45">
      <c r="A784" s="13">
        <f>'[1]02. Matrix'!A793</f>
        <v>783</v>
      </c>
      <c r="B784" s="14">
        <f>'[1]02. Matrix'!B793</f>
        <v>10</v>
      </c>
      <c r="C784" s="14" t="str">
        <f>'[1]02. Matrix'!C793</f>
        <v>EDUCATIONAL LOAN EMI</v>
      </c>
      <c r="D784" s="14">
        <f>'[1]02. Matrix'!D793</f>
        <v>2</v>
      </c>
      <c r="E784" s="15">
        <f>'[1]02. Matrix'!E793</f>
        <v>0</v>
      </c>
      <c r="F784" s="14" t="str">
        <f>_xlfn.XLOOKUP('01. Main'!$B784,[1]Mapping!$D:$D,[1]Mapping!$A:$A,0,0)</f>
        <v>Ashoj 78</v>
      </c>
      <c r="G784" s="16">
        <f>_xlfn.XLOOKUP('01. Main'!$B784,[1]Mapping!D$2:D$24,[1]Mapping!E$2:E$24,0,0)</f>
        <v>2021</v>
      </c>
    </row>
    <row r="785" spans="1:7" x14ac:dyDescent="0.45">
      <c r="A785" s="17">
        <f>'[1]02. Matrix'!A794</f>
        <v>784</v>
      </c>
      <c r="B785" s="18">
        <f>'[1]02. Matrix'!B794</f>
        <v>10</v>
      </c>
      <c r="C785" s="18" t="str">
        <f>'[1]02. Matrix'!C794</f>
        <v>OVERDRAFT PROFESSION</v>
      </c>
      <c r="D785" s="18">
        <f>'[1]02. Matrix'!D794</f>
        <v>2</v>
      </c>
      <c r="E785" s="19">
        <f>'[1]02. Matrix'!E794</f>
        <v>0</v>
      </c>
      <c r="F785" s="18" t="str">
        <f>_xlfn.XLOOKUP('01. Main'!$B785,[1]Mapping!$D:$D,[1]Mapping!$A:$A,0,0)</f>
        <v>Ashoj 78</v>
      </c>
      <c r="G785" s="20">
        <f>_xlfn.XLOOKUP('01. Main'!$B785,[1]Mapping!D$2:D$24,[1]Mapping!E$2:E$24,0,0)</f>
        <v>2021</v>
      </c>
    </row>
    <row r="786" spans="1:7" x14ac:dyDescent="0.45">
      <c r="A786" s="13">
        <f>'[1]02. Matrix'!A795</f>
        <v>785</v>
      </c>
      <c r="B786" s="14">
        <f>'[1]02. Matrix'!B795</f>
        <v>9</v>
      </c>
      <c r="C786" s="14" t="str">
        <f>'[1]02. Matrix'!C795</f>
        <v>OD PERSONAL LOAN</v>
      </c>
      <c r="D786" s="14">
        <f>'[1]02. Matrix'!D795</f>
        <v>1</v>
      </c>
      <c r="E786" s="15">
        <f>'[1]02. Matrix'!E795</f>
        <v>0</v>
      </c>
      <c r="F786" s="14" t="str">
        <f>_xlfn.XLOOKUP('01. Main'!$B786,[1]Mapping!$D:$D,[1]Mapping!$A:$A,0,0)</f>
        <v>Asadh 78</v>
      </c>
      <c r="G786" s="16">
        <f>_xlfn.XLOOKUP('01. Main'!$B786,[1]Mapping!D$2:D$24,[1]Mapping!E$2:E$24,0,0)</f>
        <v>2021</v>
      </c>
    </row>
    <row r="787" spans="1:7" x14ac:dyDescent="0.45">
      <c r="A787" s="17">
        <f>'[1]02. Matrix'!A796</f>
        <v>786</v>
      </c>
      <c r="B787" s="18">
        <f>'[1]02. Matrix'!B796</f>
        <v>9</v>
      </c>
      <c r="C787" s="18" t="str">
        <f>'[1]02. Matrix'!C796</f>
        <v>OD BUSINESS LOAN</v>
      </c>
      <c r="D787" s="18">
        <f>'[1]02. Matrix'!D796</f>
        <v>1</v>
      </c>
      <c r="E787" s="19">
        <f>'[1]02. Matrix'!E796</f>
        <v>0</v>
      </c>
      <c r="F787" s="18" t="str">
        <f>_xlfn.XLOOKUP('01. Main'!$B787,[1]Mapping!$D:$D,[1]Mapping!$A:$A,0,0)</f>
        <v>Asadh 78</v>
      </c>
      <c r="G787" s="20">
        <f>_xlfn.XLOOKUP('01. Main'!$B787,[1]Mapping!D$2:D$24,[1]Mapping!E$2:E$24,0,0)</f>
        <v>2021</v>
      </c>
    </row>
    <row r="788" spans="1:7" x14ac:dyDescent="0.45">
      <c r="A788" s="13">
        <f>'[1]02. Matrix'!A797</f>
        <v>787</v>
      </c>
      <c r="B788" s="14">
        <f>'[1]02. Matrix'!B797</f>
        <v>9</v>
      </c>
      <c r="C788" s="14" t="str">
        <f>'[1]02. Matrix'!C797</f>
        <v>OD STAFF LOAN</v>
      </c>
      <c r="D788" s="14">
        <f>'[1]02. Matrix'!D797</f>
        <v>1</v>
      </c>
      <c r="E788" s="15">
        <f>'[1]02. Matrix'!E797</f>
        <v>0</v>
      </c>
      <c r="F788" s="14" t="str">
        <f>_xlfn.XLOOKUP('01. Main'!$B788,[1]Mapping!$D:$D,[1]Mapping!$A:$A,0,0)</f>
        <v>Asadh 78</v>
      </c>
      <c r="G788" s="16">
        <f>_xlfn.XLOOKUP('01. Main'!$B788,[1]Mapping!D$2:D$24,[1]Mapping!E$2:E$24,0,0)</f>
        <v>2021</v>
      </c>
    </row>
    <row r="789" spans="1:7" x14ac:dyDescent="0.45">
      <c r="A789" s="17">
        <f>'[1]02. Matrix'!A798</f>
        <v>788</v>
      </c>
      <c r="B789" s="18">
        <f>'[1]02. Matrix'!B798</f>
        <v>9</v>
      </c>
      <c r="C789" s="18" t="str">
        <f>'[1]02. Matrix'!C798</f>
        <v>TERM LOAN</v>
      </c>
      <c r="D789" s="18">
        <f>'[1]02. Matrix'!D798</f>
        <v>1</v>
      </c>
      <c r="E789" s="19">
        <f>'[1]02. Matrix'!E798</f>
        <v>8.2115471418034908E-2</v>
      </c>
      <c r="F789" s="18" t="str">
        <f>_xlfn.XLOOKUP('01. Main'!$B789,[1]Mapping!$D:$D,[1]Mapping!$A:$A,0,0)</f>
        <v>Asadh 78</v>
      </c>
      <c r="G789" s="20">
        <f>_xlfn.XLOOKUP('01. Main'!$B789,[1]Mapping!D$2:D$24,[1]Mapping!E$2:E$24,0,0)</f>
        <v>2021</v>
      </c>
    </row>
    <row r="790" spans="1:7" x14ac:dyDescent="0.45">
      <c r="A790" s="13">
        <f>'[1]02. Matrix'!A799</f>
        <v>789</v>
      </c>
      <c r="B790" s="14">
        <f>'[1]02. Matrix'!B799</f>
        <v>9</v>
      </c>
      <c r="C790" s="14" t="str">
        <f>'[1]02. Matrix'!C799</f>
        <v>WC TRADING/IND LOAN</v>
      </c>
      <c r="D790" s="14">
        <f>'[1]02. Matrix'!D799</f>
        <v>1</v>
      </c>
      <c r="E790" s="15">
        <f>'[1]02. Matrix'!E799</f>
        <v>5.8465577468117154E-2</v>
      </c>
      <c r="F790" s="14" t="str">
        <f>_xlfn.XLOOKUP('01. Main'!$B790,[1]Mapping!$D:$D,[1]Mapping!$A:$A,0,0)</f>
        <v>Asadh 78</v>
      </c>
      <c r="G790" s="16">
        <f>_xlfn.XLOOKUP('01. Main'!$B790,[1]Mapping!D$2:D$24,[1]Mapping!E$2:E$24,0,0)</f>
        <v>2021</v>
      </c>
    </row>
    <row r="791" spans="1:7" x14ac:dyDescent="0.45">
      <c r="A791" s="17">
        <f>'[1]02. Matrix'!A800</f>
        <v>790</v>
      </c>
      <c r="B791" s="18">
        <f>'[1]02. Matrix'!B800</f>
        <v>9</v>
      </c>
      <c r="C791" s="18" t="str">
        <f>'[1]02. Matrix'!C800</f>
        <v>HOUSING LOAN</v>
      </c>
      <c r="D791" s="18">
        <f>'[1]02. Matrix'!D800</f>
        <v>1</v>
      </c>
      <c r="E791" s="19">
        <f>'[1]02. Matrix'!E800</f>
        <v>0.13154166398605616</v>
      </c>
      <c r="F791" s="18" t="str">
        <f>_xlfn.XLOOKUP('01. Main'!$B791,[1]Mapping!$D:$D,[1]Mapping!$A:$A,0,0)</f>
        <v>Asadh 78</v>
      </c>
      <c r="G791" s="20">
        <f>_xlfn.XLOOKUP('01. Main'!$B791,[1]Mapping!D$2:D$24,[1]Mapping!E$2:E$24,0,0)</f>
        <v>2021</v>
      </c>
    </row>
    <row r="792" spans="1:7" x14ac:dyDescent="0.45">
      <c r="A792" s="13">
        <f>'[1]02. Matrix'!A801</f>
        <v>791</v>
      </c>
      <c r="B792" s="14">
        <f>'[1]02. Matrix'!B801</f>
        <v>9</v>
      </c>
      <c r="C792" s="14" t="str">
        <f>'[1]02. Matrix'!C801</f>
        <v>RESI REAL EST LOAN</v>
      </c>
      <c r="D792" s="14">
        <f>'[1]02. Matrix'!D801</f>
        <v>1</v>
      </c>
      <c r="E792" s="15">
        <f>'[1]02. Matrix'!E801</f>
        <v>0.19545144953241403</v>
      </c>
      <c r="F792" s="14" t="str">
        <f>_xlfn.XLOOKUP('01. Main'!$B792,[1]Mapping!$D:$D,[1]Mapping!$A:$A,0,0)</f>
        <v>Asadh 78</v>
      </c>
      <c r="G792" s="16">
        <f>_xlfn.XLOOKUP('01. Main'!$B792,[1]Mapping!D$2:D$24,[1]Mapping!E$2:E$24,0,0)</f>
        <v>2021</v>
      </c>
    </row>
    <row r="793" spans="1:7" x14ac:dyDescent="0.45">
      <c r="A793" s="17">
        <f>'[1]02. Matrix'!A802</f>
        <v>792</v>
      </c>
      <c r="B793" s="18">
        <f>'[1]02. Matrix'!B802</f>
        <v>9</v>
      </c>
      <c r="C793" s="18" t="str">
        <f>'[1]02. Matrix'!C802</f>
        <v>MARGIN NATURE LOAN</v>
      </c>
      <c r="D793" s="18">
        <f>'[1]02. Matrix'!D802</f>
        <v>1</v>
      </c>
      <c r="E793" s="19">
        <f>'[1]02. Matrix'!E802</f>
        <v>0</v>
      </c>
      <c r="F793" s="18" t="str">
        <f>_xlfn.XLOOKUP('01. Main'!$B793,[1]Mapping!$D:$D,[1]Mapping!$A:$A,0,0)</f>
        <v>Asadh 78</v>
      </c>
      <c r="G793" s="20">
        <f>_xlfn.XLOOKUP('01. Main'!$B793,[1]Mapping!D$2:D$24,[1]Mapping!E$2:E$24,0,0)</f>
        <v>2021</v>
      </c>
    </row>
    <row r="794" spans="1:7" x14ac:dyDescent="0.45">
      <c r="A794" s="13">
        <f>'[1]02. Matrix'!A803</f>
        <v>793</v>
      </c>
      <c r="B794" s="14">
        <f>'[1]02. Matrix'!B803</f>
        <v>9</v>
      </c>
      <c r="C794" s="14" t="str">
        <f>'[1]02. Matrix'!C803</f>
        <v>HIRE PURCHASE LOAN</v>
      </c>
      <c r="D794" s="14">
        <f>'[1]02. Matrix'!D803</f>
        <v>1</v>
      </c>
      <c r="E794" s="15">
        <f>'[1]02. Matrix'!E803</f>
        <v>0.37713561751520697</v>
      </c>
      <c r="F794" s="14" t="str">
        <f>_xlfn.XLOOKUP('01. Main'!$B794,[1]Mapping!$D:$D,[1]Mapping!$A:$A,0,0)</f>
        <v>Asadh 78</v>
      </c>
      <c r="G794" s="16">
        <f>_xlfn.XLOOKUP('01. Main'!$B794,[1]Mapping!D$2:D$24,[1]Mapping!E$2:E$24,0,0)</f>
        <v>2021</v>
      </c>
    </row>
    <row r="795" spans="1:7" x14ac:dyDescent="0.45">
      <c r="A795" s="17">
        <f>'[1]02. Matrix'!A804</f>
        <v>794</v>
      </c>
      <c r="B795" s="18">
        <f>'[1]02. Matrix'!B804</f>
        <v>9</v>
      </c>
      <c r="C795" s="18" t="str">
        <f>'[1]02. Matrix'!C804</f>
        <v>DEPRIVED SECTOR LOAN</v>
      </c>
      <c r="D795" s="18">
        <f>'[1]02. Matrix'!D804</f>
        <v>1</v>
      </c>
      <c r="E795" s="19">
        <f>'[1]02. Matrix'!E804</f>
        <v>3.7359120211697884E-2</v>
      </c>
      <c r="F795" s="18" t="str">
        <f>_xlfn.XLOOKUP('01. Main'!$B795,[1]Mapping!$D:$D,[1]Mapping!$A:$A,0,0)</f>
        <v>Asadh 78</v>
      </c>
      <c r="G795" s="20">
        <f>_xlfn.XLOOKUP('01. Main'!$B795,[1]Mapping!D$2:D$24,[1]Mapping!E$2:E$24,0,0)</f>
        <v>2021</v>
      </c>
    </row>
    <row r="796" spans="1:7" x14ac:dyDescent="0.45">
      <c r="A796" s="13">
        <f>'[1]02. Matrix'!A805</f>
        <v>795</v>
      </c>
      <c r="B796" s="14">
        <f>'[1]02. Matrix'!B805</f>
        <v>9</v>
      </c>
      <c r="C796" s="14" t="str">
        <f>'[1]02. Matrix'!C805</f>
        <v>EDUCATIONAL LOAN</v>
      </c>
      <c r="D796" s="14">
        <f>'[1]02. Matrix'!D805</f>
        <v>1</v>
      </c>
      <c r="E796" s="15">
        <f>'[1]02. Matrix'!E805</f>
        <v>0</v>
      </c>
      <c r="F796" s="14" t="str">
        <f>_xlfn.XLOOKUP('01. Main'!$B796,[1]Mapping!$D:$D,[1]Mapping!$A:$A,0,0)</f>
        <v>Asadh 78</v>
      </c>
      <c r="G796" s="16">
        <f>_xlfn.XLOOKUP('01. Main'!$B796,[1]Mapping!D$2:D$24,[1]Mapping!E$2:E$24,0,0)</f>
        <v>2021</v>
      </c>
    </row>
    <row r="797" spans="1:7" x14ac:dyDescent="0.45">
      <c r="A797" s="17">
        <f>'[1]02. Matrix'!A806</f>
        <v>796</v>
      </c>
      <c r="B797" s="18">
        <f>'[1]02. Matrix'!B806</f>
        <v>9</v>
      </c>
      <c r="C797" s="18" t="str">
        <f>'[1]02. Matrix'!C806</f>
        <v>AGRICULTURE LOAN</v>
      </c>
      <c r="D797" s="18">
        <f>'[1]02. Matrix'!D806</f>
        <v>1</v>
      </c>
      <c r="E797" s="19">
        <f>'[1]02. Matrix'!E806</f>
        <v>8.7557871540043727E-2</v>
      </c>
      <c r="F797" s="18" t="str">
        <f>_xlfn.XLOOKUP('01. Main'!$B797,[1]Mapping!$D:$D,[1]Mapping!$A:$A,0,0)</f>
        <v>Asadh 78</v>
      </c>
      <c r="G797" s="20">
        <f>_xlfn.XLOOKUP('01. Main'!$B797,[1]Mapping!D$2:D$24,[1]Mapping!E$2:E$24,0,0)</f>
        <v>2021</v>
      </c>
    </row>
    <row r="798" spans="1:7" x14ac:dyDescent="0.45">
      <c r="A798" s="13">
        <f>'[1]02. Matrix'!A807</f>
        <v>797</v>
      </c>
      <c r="B798" s="14">
        <f>'[1]02. Matrix'!B807</f>
        <v>9</v>
      </c>
      <c r="C798" s="14" t="str">
        <f>'[1]02. Matrix'!C807</f>
        <v>RESI PER.HOME-EMI</v>
      </c>
      <c r="D798" s="14">
        <f>'[1]02. Matrix'!D807</f>
        <v>1</v>
      </c>
      <c r="E798" s="15">
        <f>'[1]02. Matrix'!E807</f>
        <v>0.10514814217995466</v>
      </c>
      <c r="F798" s="14" t="str">
        <f>_xlfn.XLOOKUP('01. Main'!$B798,[1]Mapping!$D:$D,[1]Mapping!$A:$A,0,0)</f>
        <v>Asadh 78</v>
      </c>
      <c r="G798" s="16">
        <f>_xlfn.XLOOKUP('01. Main'!$B798,[1]Mapping!D$2:D$24,[1]Mapping!E$2:E$24,0,0)</f>
        <v>2021</v>
      </c>
    </row>
    <row r="799" spans="1:7" x14ac:dyDescent="0.45">
      <c r="A799" s="17">
        <f>'[1]02. Matrix'!A808</f>
        <v>798</v>
      </c>
      <c r="B799" s="18">
        <f>'[1]02. Matrix'!B808</f>
        <v>9</v>
      </c>
      <c r="C799" s="18" t="str">
        <f>'[1]02. Matrix'!C808</f>
        <v>TERM LOAN - BUSINESS</v>
      </c>
      <c r="D799" s="18">
        <f>'[1]02. Matrix'!D808</f>
        <v>1</v>
      </c>
      <c r="E799" s="19">
        <f>'[1]02. Matrix'!E808</f>
        <v>0</v>
      </c>
      <c r="F799" s="18" t="str">
        <f>_xlfn.XLOOKUP('01. Main'!$B799,[1]Mapping!$D:$D,[1]Mapping!$A:$A,0,0)</f>
        <v>Asadh 78</v>
      </c>
      <c r="G799" s="20">
        <f>_xlfn.XLOOKUP('01. Main'!$B799,[1]Mapping!D$2:D$24,[1]Mapping!E$2:E$24,0,0)</f>
        <v>2021</v>
      </c>
    </row>
    <row r="800" spans="1:7" x14ac:dyDescent="0.45">
      <c r="A800" s="13">
        <f>'[1]02. Matrix'!A809</f>
        <v>799</v>
      </c>
      <c r="B800" s="14">
        <f>'[1]02. Matrix'!B809</f>
        <v>9</v>
      </c>
      <c r="C800" s="14" t="str">
        <f>'[1]02. Matrix'!C809</f>
        <v>CONS FIN BUSN TRM LO</v>
      </c>
      <c r="D800" s="14">
        <f>'[1]02. Matrix'!D809</f>
        <v>1</v>
      </c>
      <c r="E800" s="15">
        <f>'[1]02. Matrix'!E809</f>
        <v>0</v>
      </c>
      <c r="F800" s="14" t="str">
        <f>_xlfn.XLOOKUP('01. Main'!$B800,[1]Mapping!$D:$D,[1]Mapping!$A:$A,0,0)</f>
        <v>Asadh 78</v>
      </c>
      <c r="G800" s="16">
        <f>_xlfn.XLOOKUP('01. Main'!$B800,[1]Mapping!D$2:D$24,[1]Mapping!E$2:E$24,0,0)</f>
        <v>2021</v>
      </c>
    </row>
    <row r="801" spans="1:7" x14ac:dyDescent="0.45">
      <c r="A801" s="17">
        <f>'[1]02. Matrix'!A810</f>
        <v>800</v>
      </c>
      <c r="B801" s="18">
        <f>'[1]02. Matrix'!B810</f>
        <v>9</v>
      </c>
      <c r="C801" s="18" t="str">
        <f>'[1]02. Matrix'!C810</f>
        <v>BIS/PERHIRE PURCHASE</v>
      </c>
      <c r="D801" s="18">
        <f>'[1]02. Matrix'!D810</f>
        <v>1</v>
      </c>
      <c r="E801" s="19">
        <f>'[1]02. Matrix'!E810</f>
        <v>0.30260697661094627</v>
      </c>
      <c r="F801" s="18" t="str">
        <f>_xlfn.XLOOKUP('01. Main'!$B801,[1]Mapping!$D:$D,[1]Mapping!$A:$A,0,0)</f>
        <v>Asadh 78</v>
      </c>
      <c r="G801" s="20">
        <f>_xlfn.XLOOKUP('01. Main'!$B801,[1]Mapping!D$2:D$24,[1]Mapping!E$2:E$24,0,0)</f>
        <v>2021</v>
      </c>
    </row>
    <row r="802" spans="1:7" x14ac:dyDescent="0.45">
      <c r="A802" s="13">
        <f>'[1]02. Matrix'!A811</f>
        <v>801</v>
      </c>
      <c r="B802" s="14">
        <f>'[1]02. Matrix'!B811</f>
        <v>9</v>
      </c>
      <c r="C802" s="14" t="str">
        <f>'[1]02. Matrix'!C811</f>
        <v xml:space="preserve">INT CAP TERM LOAN </v>
      </c>
      <c r="D802" s="14">
        <f>'[1]02. Matrix'!D811</f>
        <v>1</v>
      </c>
      <c r="E802" s="15">
        <f>'[1]02. Matrix'!E811</f>
        <v>0</v>
      </c>
      <c r="F802" s="14" t="str">
        <f>_xlfn.XLOOKUP('01. Main'!$B802,[1]Mapping!$D:$D,[1]Mapping!$A:$A,0,0)</f>
        <v>Asadh 78</v>
      </c>
      <c r="G802" s="16">
        <f>_xlfn.XLOOKUP('01. Main'!$B802,[1]Mapping!D$2:D$24,[1]Mapping!E$2:E$24,0,0)</f>
        <v>2021</v>
      </c>
    </row>
    <row r="803" spans="1:7" x14ac:dyDescent="0.45">
      <c r="A803" s="17">
        <f>'[1]02. Matrix'!A812</f>
        <v>802</v>
      </c>
      <c r="B803" s="18">
        <f>'[1]02. Matrix'!B812</f>
        <v>9</v>
      </c>
      <c r="C803" s="18" t="str">
        <f>'[1]02. Matrix'!C812</f>
        <v>PERSONAL LOAN</v>
      </c>
      <c r="D803" s="18">
        <f>'[1]02. Matrix'!D812</f>
        <v>1</v>
      </c>
      <c r="E803" s="19">
        <f>'[1]02. Matrix'!E812</f>
        <v>6.4849134416083365E-2</v>
      </c>
      <c r="F803" s="18" t="str">
        <f>_xlfn.XLOOKUP('01. Main'!$B803,[1]Mapping!$D:$D,[1]Mapping!$A:$A,0,0)</f>
        <v>Asadh 78</v>
      </c>
      <c r="G803" s="20">
        <f>_xlfn.XLOOKUP('01. Main'!$B803,[1]Mapping!D$2:D$24,[1]Mapping!E$2:E$24,0,0)</f>
        <v>2021</v>
      </c>
    </row>
    <row r="804" spans="1:7" x14ac:dyDescent="0.45">
      <c r="A804" s="13">
        <f>'[1]02. Matrix'!A813</f>
        <v>803</v>
      </c>
      <c r="B804" s="14">
        <f>'[1]02. Matrix'!B813</f>
        <v>9</v>
      </c>
      <c r="C804" s="14" t="str">
        <f>'[1]02. Matrix'!C813</f>
        <v>MORTGAGE LOAN</v>
      </c>
      <c r="D804" s="14">
        <f>'[1]02. Matrix'!D813</f>
        <v>1</v>
      </c>
      <c r="E804" s="15">
        <f>'[1]02. Matrix'!E813</f>
        <v>0</v>
      </c>
      <c r="F804" s="14" t="str">
        <f>_xlfn.XLOOKUP('01. Main'!$B804,[1]Mapping!$D:$D,[1]Mapping!$A:$A,0,0)</f>
        <v>Asadh 78</v>
      </c>
      <c r="G804" s="16">
        <f>_xlfn.XLOOKUP('01. Main'!$B804,[1]Mapping!D$2:D$24,[1]Mapping!E$2:E$24,0,0)</f>
        <v>2021</v>
      </c>
    </row>
    <row r="805" spans="1:7" x14ac:dyDescent="0.45">
      <c r="A805" s="17">
        <f>'[1]02. Matrix'!A814</f>
        <v>804</v>
      </c>
      <c r="B805" s="18">
        <f>'[1]02. Matrix'!B814</f>
        <v>9</v>
      </c>
      <c r="C805" s="18" t="str">
        <f>'[1]02. Matrix'!C814</f>
        <v>LOAN AGAINST FDR</v>
      </c>
      <c r="D805" s="18">
        <f>'[1]02. Matrix'!D814</f>
        <v>1</v>
      </c>
      <c r="E805" s="19">
        <f>'[1]02. Matrix'!E814</f>
        <v>0</v>
      </c>
      <c r="F805" s="18" t="str">
        <f>_xlfn.XLOOKUP('01. Main'!$B805,[1]Mapping!$D:$D,[1]Mapping!$A:$A,0,0)</f>
        <v>Asadh 78</v>
      </c>
      <c r="G805" s="20">
        <f>_xlfn.XLOOKUP('01. Main'!$B805,[1]Mapping!D$2:D$24,[1]Mapping!E$2:E$24,0,0)</f>
        <v>2021</v>
      </c>
    </row>
    <row r="806" spans="1:7" x14ac:dyDescent="0.45">
      <c r="A806" s="13">
        <f>'[1]02. Matrix'!A815</f>
        <v>805</v>
      </c>
      <c r="B806" s="14">
        <f>'[1]02. Matrix'!B815</f>
        <v>9</v>
      </c>
      <c r="C806" s="14" t="str">
        <f>'[1]02. Matrix'!C815</f>
        <v>RECEIVABLE LOAN</v>
      </c>
      <c r="D806" s="14">
        <f>'[1]02. Matrix'!D815</f>
        <v>1</v>
      </c>
      <c r="E806" s="15">
        <f>'[1]02. Matrix'!E815</f>
        <v>0</v>
      </c>
      <c r="F806" s="14" t="str">
        <f>_xlfn.XLOOKUP('01. Main'!$B806,[1]Mapping!$D:$D,[1]Mapping!$A:$A,0,0)</f>
        <v>Asadh 78</v>
      </c>
      <c r="G806" s="16">
        <f>_xlfn.XLOOKUP('01. Main'!$B806,[1]Mapping!D$2:D$24,[1]Mapping!E$2:E$24,0,0)</f>
        <v>2021</v>
      </c>
    </row>
    <row r="807" spans="1:7" x14ac:dyDescent="0.45">
      <c r="A807" s="17">
        <f>'[1]02. Matrix'!A816</f>
        <v>806</v>
      </c>
      <c r="B807" s="18">
        <f>'[1]02. Matrix'!B816</f>
        <v>9</v>
      </c>
      <c r="C807" s="18" t="str">
        <f>'[1]02. Matrix'!C816</f>
        <v>STAFF LOAN</v>
      </c>
      <c r="D807" s="18">
        <f>'[1]02. Matrix'!D816</f>
        <v>1</v>
      </c>
      <c r="E807" s="19">
        <f>'[1]02. Matrix'!E816</f>
        <v>4.072983535735248E-2</v>
      </c>
      <c r="F807" s="18" t="str">
        <f>_xlfn.XLOOKUP('01. Main'!$B807,[1]Mapping!$D:$D,[1]Mapping!$A:$A,0,0)</f>
        <v>Asadh 78</v>
      </c>
      <c r="G807" s="20">
        <f>_xlfn.XLOOKUP('01. Main'!$B807,[1]Mapping!D$2:D$24,[1]Mapping!E$2:E$24,0,0)</f>
        <v>2021</v>
      </c>
    </row>
    <row r="808" spans="1:7" x14ac:dyDescent="0.45">
      <c r="A808" s="13">
        <f>'[1]02. Matrix'!A817</f>
        <v>807</v>
      </c>
      <c r="B808" s="14">
        <f>'[1]02. Matrix'!B817</f>
        <v>9</v>
      </c>
      <c r="C808" s="14" t="str">
        <f>'[1]02. Matrix'!C817</f>
        <v>AGRICULTURAL LOAN</v>
      </c>
      <c r="D808" s="14">
        <f>'[1]02. Matrix'!D817</f>
        <v>1</v>
      </c>
      <c r="E808" s="15">
        <f>'[1]02. Matrix'!E817</f>
        <v>0</v>
      </c>
      <c r="F808" s="14" t="str">
        <f>_xlfn.XLOOKUP('01. Main'!$B808,[1]Mapping!$D:$D,[1]Mapping!$A:$A,0,0)</f>
        <v>Asadh 78</v>
      </c>
      <c r="G808" s="16">
        <f>_xlfn.XLOOKUP('01. Main'!$B808,[1]Mapping!D$2:D$24,[1]Mapping!E$2:E$24,0,0)</f>
        <v>2021</v>
      </c>
    </row>
    <row r="809" spans="1:7" x14ac:dyDescent="0.45">
      <c r="A809" s="17">
        <f>'[1]02. Matrix'!A818</f>
        <v>808</v>
      </c>
      <c r="B809" s="18">
        <f>'[1]02. Matrix'!B818</f>
        <v>9</v>
      </c>
      <c r="C809" s="18" t="str">
        <f>'[1]02. Matrix'!C818</f>
        <v>EARTHQUAKE RELIEF LO</v>
      </c>
      <c r="D809" s="18">
        <f>'[1]02. Matrix'!D818</f>
        <v>1</v>
      </c>
      <c r="E809" s="19">
        <f>'[1]02. Matrix'!E818</f>
        <v>0</v>
      </c>
      <c r="F809" s="18" t="str">
        <f>_xlfn.XLOOKUP('01. Main'!$B809,[1]Mapping!$D:$D,[1]Mapping!$A:$A,0,0)</f>
        <v>Asadh 78</v>
      </c>
      <c r="G809" s="20">
        <f>_xlfn.XLOOKUP('01. Main'!$B809,[1]Mapping!D$2:D$24,[1]Mapping!E$2:E$24,0,0)</f>
        <v>2021</v>
      </c>
    </row>
    <row r="810" spans="1:7" x14ac:dyDescent="0.45">
      <c r="A810" s="13">
        <f>'[1]02. Matrix'!A819</f>
        <v>809</v>
      </c>
      <c r="B810" s="14">
        <f>'[1]02. Matrix'!B819</f>
        <v>9</v>
      </c>
      <c r="C810" s="14" t="str">
        <f>'[1]02. Matrix'!C819</f>
        <v>TOURISM SECTOR LOAN</v>
      </c>
      <c r="D810" s="14">
        <f>'[1]02. Matrix'!D819</f>
        <v>1</v>
      </c>
      <c r="E810" s="15">
        <f>'[1]02. Matrix'!E819</f>
        <v>1.2305193086419752E-2</v>
      </c>
      <c r="F810" s="14" t="str">
        <f>_xlfn.XLOOKUP('01. Main'!$B810,[1]Mapping!$D:$D,[1]Mapping!$A:$A,0,0)</f>
        <v>Asadh 78</v>
      </c>
      <c r="G810" s="16">
        <f>_xlfn.XLOOKUP('01. Main'!$B810,[1]Mapping!D$2:D$24,[1]Mapping!E$2:E$24,0,0)</f>
        <v>2021</v>
      </c>
    </row>
    <row r="811" spans="1:7" x14ac:dyDescent="0.45">
      <c r="A811" s="17">
        <f>'[1]02. Matrix'!A820</f>
        <v>810</v>
      </c>
      <c r="B811" s="18">
        <f>'[1]02. Matrix'!B820</f>
        <v>9</v>
      </c>
      <c r="C811" s="18" t="str">
        <f>'[1]02. Matrix'!C820</f>
        <v>SME LOAN</v>
      </c>
      <c r="D811" s="18">
        <f>'[1]02. Matrix'!D820</f>
        <v>1</v>
      </c>
      <c r="E811" s="19">
        <f>'[1]02. Matrix'!E820</f>
        <v>0</v>
      </c>
      <c r="F811" s="18" t="str">
        <f>_xlfn.XLOOKUP('01. Main'!$B811,[1]Mapping!$D:$D,[1]Mapping!$A:$A,0,0)</f>
        <v>Asadh 78</v>
      </c>
      <c r="G811" s="20">
        <f>_xlfn.XLOOKUP('01. Main'!$B811,[1]Mapping!D$2:D$24,[1]Mapping!E$2:E$24,0,0)</f>
        <v>2021</v>
      </c>
    </row>
    <row r="812" spans="1:7" x14ac:dyDescent="0.45">
      <c r="A812" s="13">
        <f>'[1]02. Matrix'!A821</f>
        <v>811</v>
      </c>
      <c r="B812" s="14">
        <f>'[1]02. Matrix'!B821</f>
        <v>9</v>
      </c>
      <c r="C812" s="14" t="str">
        <f>'[1]02. Matrix'!C821</f>
        <v>EDUCATIONAL LOAN EMI</v>
      </c>
      <c r="D812" s="14">
        <f>'[1]02. Matrix'!D821</f>
        <v>1</v>
      </c>
      <c r="E812" s="15">
        <f>'[1]02. Matrix'!E821</f>
        <v>0</v>
      </c>
      <c r="F812" s="14" t="str">
        <f>_xlfn.XLOOKUP('01. Main'!$B812,[1]Mapping!$D:$D,[1]Mapping!$A:$A,0,0)</f>
        <v>Asadh 78</v>
      </c>
      <c r="G812" s="16">
        <f>_xlfn.XLOOKUP('01. Main'!$B812,[1]Mapping!D$2:D$24,[1]Mapping!E$2:E$24,0,0)</f>
        <v>2021</v>
      </c>
    </row>
    <row r="813" spans="1:7" x14ac:dyDescent="0.45">
      <c r="A813" s="17">
        <f>'[1]02. Matrix'!A822</f>
        <v>812</v>
      </c>
      <c r="B813" s="18">
        <f>'[1]02. Matrix'!B822</f>
        <v>9</v>
      </c>
      <c r="C813" s="18" t="str">
        <f>'[1]02. Matrix'!C822</f>
        <v>OVERDRAFT PROFESSION</v>
      </c>
      <c r="D813" s="18">
        <f>'[1]02. Matrix'!D822</f>
        <v>1</v>
      </c>
      <c r="E813" s="19">
        <f>'[1]02. Matrix'!E822</f>
        <v>0</v>
      </c>
      <c r="F813" s="18" t="str">
        <f>_xlfn.XLOOKUP('01. Main'!$B813,[1]Mapping!$D:$D,[1]Mapping!$A:$A,0,0)</f>
        <v>Asadh 78</v>
      </c>
      <c r="G813" s="20">
        <f>_xlfn.XLOOKUP('01. Main'!$B813,[1]Mapping!D$2:D$24,[1]Mapping!E$2:E$24,0,0)</f>
        <v>2021</v>
      </c>
    </row>
    <row r="814" spans="1:7" x14ac:dyDescent="0.45">
      <c r="A814" s="13">
        <f>'[1]02. Matrix'!A823</f>
        <v>813</v>
      </c>
      <c r="B814" s="14">
        <f>'[1]02. Matrix'!B823</f>
        <v>9</v>
      </c>
      <c r="C814" s="14" t="str">
        <f>'[1]02. Matrix'!C823</f>
        <v>OD PERSONAL LOAN</v>
      </c>
      <c r="D814" s="14">
        <f>'[1]02. Matrix'!D823</f>
        <v>2</v>
      </c>
      <c r="E814" s="15">
        <f>'[1]02. Matrix'!E823</f>
        <v>0</v>
      </c>
      <c r="F814" s="14" t="str">
        <f>_xlfn.XLOOKUP('01. Main'!$B814,[1]Mapping!$D:$D,[1]Mapping!$A:$A,0,0)</f>
        <v>Asadh 78</v>
      </c>
      <c r="G814" s="16">
        <f>_xlfn.XLOOKUP('01. Main'!$B814,[1]Mapping!D$2:D$24,[1]Mapping!E$2:E$24,0,0)</f>
        <v>2021</v>
      </c>
    </row>
    <row r="815" spans="1:7" x14ac:dyDescent="0.45">
      <c r="A815" s="17">
        <f>'[1]02. Matrix'!A824</f>
        <v>814</v>
      </c>
      <c r="B815" s="18">
        <f>'[1]02. Matrix'!B824</f>
        <v>9</v>
      </c>
      <c r="C815" s="18" t="str">
        <f>'[1]02. Matrix'!C824</f>
        <v>OD BUSINESS LOAN</v>
      </c>
      <c r="D815" s="18">
        <f>'[1]02. Matrix'!D824</f>
        <v>2</v>
      </c>
      <c r="E815" s="19">
        <f>'[1]02. Matrix'!E824</f>
        <v>0</v>
      </c>
      <c r="F815" s="18" t="str">
        <f>_xlfn.XLOOKUP('01. Main'!$B815,[1]Mapping!$D:$D,[1]Mapping!$A:$A,0,0)</f>
        <v>Asadh 78</v>
      </c>
      <c r="G815" s="20">
        <f>_xlfn.XLOOKUP('01. Main'!$B815,[1]Mapping!D$2:D$24,[1]Mapping!E$2:E$24,0,0)</f>
        <v>2021</v>
      </c>
    </row>
    <row r="816" spans="1:7" x14ac:dyDescent="0.45">
      <c r="A816" s="13">
        <f>'[1]02. Matrix'!A825</f>
        <v>815</v>
      </c>
      <c r="B816" s="14">
        <f>'[1]02. Matrix'!B825</f>
        <v>9</v>
      </c>
      <c r="C816" s="14" t="str">
        <f>'[1]02. Matrix'!C825</f>
        <v>OD STAFF LOAN</v>
      </c>
      <c r="D816" s="14">
        <f>'[1]02. Matrix'!D825</f>
        <v>2</v>
      </c>
      <c r="E816" s="15">
        <f>'[1]02. Matrix'!E825</f>
        <v>0</v>
      </c>
      <c r="F816" s="14" t="str">
        <f>_xlfn.XLOOKUP('01. Main'!$B816,[1]Mapping!$D:$D,[1]Mapping!$A:$A,0,0)</f>
        <v>Asadh 78</v>
      </c>
      <c r="G816" s="16">
        <f>_xlfn.XLOOKUP('01. Main'!$B816,[1]Mapping!D$2:D$24,[1]Mapping!E$2:E$24,0,0)</f>
        <v>2021</v>
      </c>
    </row>
    <row r="817" spans="1:7" x14ac:dyDescent="0.45">
      <c r="A817" s="17">
        <f>'[1]02. Matrix'!A826</f>
        <v>816</v>
      </c>
      <c r="B817" s="18">
        <f>'[1]02. Matrix'!B826</f>
        <v>9</v>
      </c>
      <c r="C817" s="18" t="str">
        <f>'[1]02. Matrix'!C826</f>
        <v>TERM LOAN</v>
      </c>
      <c r="D817" s="18">
        <f>'[1]02. Matrix'!D826</f>
        <v>2</v>
      </c>
      <c r="E817" s="19">
        <f>'[1]02. Matrix'!E826</f>
        <v>0.18144463949916811</v>
      </c>
      <c r="F817" s="18" t="str">
        <f>_xlfn.XLOOKUP('01. Main'!$B817,[1]Mapping!$D:$D,[1]Mapping!$A:$A,0,0)</f>
        <v>Asadh 78</v>
      </c>
      <c r="G817" s="20">
        <f>_xlfn.XLOOKUP('01. Main'!$B817,[1]Mapping!D$2:D$24,[1]Mapping!E$2:E$24,0,0)</f>
        <v>2021</v>
      </c>
    </row>
    <row r="818" spans="1:7" x14ac:dyDescent="0.45">
      <c r="A818" s="13">
        <f>'[1]02. Matrix'!A827</f>
        <v>817</v>
      </c>
      <c r="B818" s="14">
        <f>'[1]02. Matrix'!B827</f>
        <v>9</v>
      </c>
      <c r="C818" s="14" t="str">
        <f>'[1]02. Matrix'!C827</f>
        <v>WC TRADING/IND LOAN</v>
      </c>
      <c r="D818" s="14">
        <f>'[1]02. Matrix'!D827</f>
        <v>2</v>
      </c>
      <c r="E818" s="15">
        <f>'[1]02. Matrix'!E827</f>
        <v>0.17619956346084034</v>
      </c>
      <c r="F818" s="14" t="str">
        <f>_xlfn.XLOOKUP('01. Main'!$B818,[1]Mapping!$D:$D,[1]Mapping!$A:$A,0,0)</f>
        <v>Asadh 78</v>
      </c>
      <c r="G818" s="16">
        <f>_xlfn.XLOOKUP('01. Main'!$B818,[1]Mapping!D$2:D$24,[1]Mapping!E$2:E$24,0,0)</f>
        <v>2021</v>
      </c>
    </row>
    <row r="819" spans="1:7" x14ac:dyDescent="0.45">
      <c r="A819" s="17">
        <f>'[1]02. Matrix'!A828</f>
        <v>818</v>
      </c>
      <c r="B819" s="18">
        <f>'[1]02. Matrix'!B828</f>
        <v>9</v>
      </c>
      <c r="C819" s="18" t="str">
        <f>'[1]02. Matrix'!C828</f>
        <v>HOUSING LOAN</v>
      </c>
      <c r="D819" s="18">
        <f>'[1]02. Matrix'!D828</f>
        <v>2</v>
      </c>
      <c r="E819" s="19">
        <f>'[1]02. Matrix'!E828</f>
        <v>0.18110230329119989</v>
      </c>
      <c r="F819" s="18" t="str">
        <f>_xlfn.XLOOKUP('01. Main'!$B819,[1]Mapping!$D:$D,[1]Mapping!$A:$A,0,0)</f>
        <v>Asadh 78</v>
      </c>
      <c r="G819" s="20">
        <f>_xlfn.XLOOKUP('01. Main'!$B819,[1]Mapping!D$2:D$24,[1]Mapping!E$2:E$24,0,0)</f>
        <v>2021</v>
      </c>
    </row>
    <row r="820" spans="1:7" x14ac:dyDescent="0.45">
      <c r="A820" s="13">
        <f>'[1]02. Matrix'!A829</f>
        <v>819</v>
      </c>
      <c r="B820" s="14">
        <f>'[1]02. Matrix'!B829</f>
        <v>9</v>
      </c>
      <c r="C820" s="14" t="str">
        <f>'[1]02. Matrix'!C829</f>
        <v>RESI REAL EST LOAN</v>
      </c>
      <c r="D820" s="14">
        <f>'[1]02. Matrix'!D829</f>
        <v>2</v>
      </c>
      <c r="E820" s="15">
        <f>'[1]02. Matrix'!E829</f>
        <v>0.19380325564818116</v>
      </c>
      <c r="F820" s="14" t="str">
        <f>_xlfn.XLOOKUP('01. Main'!$B820,[1]Mapping!$D:$D,[1]Mapping!$A:$A,0,0)</f>
        <v>Asadh 78</v>
      </c>
      <c r="G820" s="16">
        <f>_xlfn.XLOOKUP('01. Main'!$B820,[1]Mapping!D$2:D$24,[1]Mapping!E$2:E$24,0,0)</f>
        <v>2021</v>
      </c>
    </row>
    <row r="821" spans="1:7" x14ac:dyDescent="0.45">
      <c r="A821" s="17">
        <f>'[1]02. Matrix'!A830</f>
        <v>820</v>
      </c>
      <c r="B821" s="18">
        <f>'[1]02. Matrix'!B830</f>
        <v>9</v>
      </c>
      <c r="C821" s="18" t="str">
        <f>'[1]02. Matrix'!C830</f>
        <v>MARGIN NATURE LOAN</v>
      </c>
      <c r="D821" s="18">
        <f>'[1]02. Matrix'!D830</f>
        <v>2</v>
      </c>
      <c r="E821" s="19">
        <f>'[1]02. Matrix'!E830</f>
        <v>0</v>
      </c>
      <c r="F821" s="18" t="str">
        <f>_xlfn.XLOOKUP('01. Main'!$B821,[1]Mapping!$D:$D,[1]Mapping!$A:$A,0,0)</f>
        <v>Asadh 78</v>
      </c>
      <c r="G821" s="20">
        <f>_xlfn.XLOOKUP('01. Main'!$B821,[1]Mapping!D$2:D$24,[1]Mapping!E$2:E$24,0,0)</f>
        <v>2021</v>
      </c>
    </row>
    <row r="822" spans="1:7" x14ac:dyDescent="0.45">
      <c r="A822" s="13">
        <f>'[1]02. Matrix'!A831</f>
        <v>821</v>
      </c>
      <c r="B822" s="14">
        <f>'[1]02. Matrix'!B831</f>
        <v>9</v>
      </c>
      <c r="C822" s="14" t="str">
        <f>'[1]02. Matrix'!C831</f>
        <v>HIRE PURCHASE LOAN</v>
      </c>
      <c r="D822" s="14">
        <f>'[1]02. Matrix'!D831</f>
        <v>2</v>
      </c>
      <c r="E822" s="15">
        <f>'[1]02. Matrix'!E831</f>
        <v>0.70625640686497093</v>
      </c>
      <c r="F822" s="14" t="str">
        <f>_xlfn.XLOOKUP('01. Main'!$B822,[1]Mapping!$D:$D,[1]Mapping!$A:$A,0,0)</f>
        <v>Asadh 78</v>
      </c>
      <c r="G822" s="16">
        <f>_xlfn.XLOOKUP('01. Main'!$B822,[1]Mapping!D$2:D$24,[1]Mapping!E$2:E$24,0,0)</f>
        <v>2021</v>
      </c>
    </row>
    <row r="823" spans="1:7" x14ac:dyDescent="0.45">
      <c r="A823" s="17">
        <f>'[1]02. Matrix'!A832</f>
        <v>822</v>
      </c>
      <c r="B823" s="18">
        <f>'[1]02. Matrix'!B832</f>
        <v>9</v>
      </c>
      <c r="C823" s="18" t="str">
        <f>'[1]02. Matrix'!C832</f>
        <v>DEPRIVED SECTOR LOAN</v>
      </c>
      <c r="D823" s="18">
        <f>'[1]02. Matrix'!D832</f>
        <v>2</v>
      </c>
      <c r="E823" s="19">
        <f>'[1]02. Matrix'!E832</f>
        <v>6.8160690694082704E-2</v>
      </c>
      <c r="F823" s="18" t="str">
        <f>_xlfn.XLOOKUP('01. Main'!$B823,[1]Mapping!$D:$D,[1]Mapping!$A:$A,0,0)</f>
        <v>Asadh 78</v>
      </c>
      <c r="G823" s="20">
        <f>_xlfn.XLOOKUP('01. Main'!$B823,[1]Mapping!D$2:D$24,[1]Mapping!E$2:E$24,0,0)</f>
        <v>2021</v>
      </c>
    </row>
    <row r="824" spans="1:7" x14ac:dyDescent="0.45">
      <c r="A824" s="13">
        <f>'[1]02. Matrix'!A833</f>
        <v>823</v>
      </c>
      <c r="B824" s="14">
        <f>'[1]02. Matrix'!B833</f>
        <v>9</v>
      </c>
      <c r="C824" s="14" t="str">
        <f>'[1]02. Matrix'!C833</f>
        <v>EDUCATIONAL LOAN</v>
      </c>
      <c r="D824" s="14">
        <f>'[1]02. Matrix'!D833</f>
        <v>2</v>
      </c>
      <c r="E824" s="15">
        <f>'[1]02. Matrix'!E833</f>
        <v>1.0494834061131674E-2</v>
      </c>
      <c r="F824" s="14" t="str">
        <f>_xlfn.XLOOKUP('01. Main'!$B824,[1]Mapping!$D:$D,[1]Mapping!$A:$A,0,0)</f>
        <v>Asadh 78</v>
      </c>
      <c r="G824" s="16">
        <f>_xlfn.XLOOKUP('01. Main'!$B824,[1]Mapping!D$2:D$24,[1]Mapping!E$2:E$24,0,0)</f>
        <v>2021</v>
      </c>
    </row>
    <row r="825" spans="1:7" x14ac:dyDescent="0.45">
      <c r="A825" s="17">
        <f>'[1]02. Matrix'!A834</f>
        <v>824</v>
      </c>
      <c r="B825" s="18">
        <f>'[1]02. Matrix'!B834</f>
        <v>9</v>
      </c>
      <c r="C825" s="18" t="str">
        <f>'[1]02. Matrix'!C834</f>
        <v>AGRICULTURE LOAN</v>
      </c>
      <c r="D825" s="18">
        <f>'[1]02. Matrix'!D834</f>
        <v>2</v>
      </c>
      <c r="E825" s="19">
        <f>'[1]02. Matrix'!E834</f>
        <v>0.1068340986290294</v>
      </c>
      <c r="F825" s="18" t="str">
        <f>_xlfn.XLOOKUP('01. Main'!$B825,[1]Mapping!$D:$D,[1]Mapping!$A:$A,0,0)</f>
        <v>Asadh 78</v>
      </c>
      <c r="G825" s="20">
        <f>_xlfn.XLOOKUP('01. Main'!$B825,[1]Mapping!D$2:D$24,[1]Mapping!E$2:E$24,0,0)</f>
        <v>2021</v>
      </c>
    </row>
    <row r="826" spans="1:7" x14ac:dyDescent="0.45">
      <c r="A826" s="13">
        <f>'[1]02. Matrix'!A835</f>
        <v>825</v>
      </c>
      <c r="B826" s="14">
        <f>'[1]02. Matrix'!B835</f>
        <v>9</v>
      </c>
      <c r="C826" s="14" t="str">
        <f>'[1]02. Matrix'!C835</f>
        <v>RESI PER.HOME-EMI</v>
      </c>
      <c r="D826" s="14">
        <f>'[1]02. Matrix'!D835</f>
        <v>2</v>
      </c>
      <c r="E826" s="15">
        <f>'[1]02. Matrix'!E835</f>
        <v>0.37419049633788598</v>
      </c>
      <c r="F826" s="14" t="str">
        <f>_xlfn.XLOOKUP('01. Main'!$B826,[1]Mapping!$D:$D,[1]Mapping!$A:$A,0,0)</f>
        <v>Asadh 78</v>
      </c>
      <c r="G826" s="16">
        <f>_xlfn.XLOOKUP('01. Main'!$B826,[1]Mapping!D$2:D$24,[1]Mapping!E$2:E$24,0,0)</f>
        <v>2021</v>
      </c>
    </row>
    <row r="827" spans="1:7" x14ac:dyDescent="0.45">
      <c r="A827" s="17">
        <f>'[1]02. Matrix'!A836</f>
        <v>826</v>
      </c>
      <c r="B827" s="18">
        <f>'[1]02. Matrix'!B836</f>
        <v>9</v>
      </c>
      <c r="C827" s="18" t="str">
        <f>'[1]02. Matrix'!C836</f>
        <v>TERM LOAN - BUSINESS</v>
      </c>
      <c r="D827" s="18">
        <f>'[1]02. Matrix'!D836</f>
        <v>2</v>
      </c>
      <c r="E827" s="19">
        <f>'[1]02. Matrix'!E836</f>
        <v>0</v>
      </c>
      <c r="F827" s="18" t="str">
        <f>_xlfn.XLOOKUP('01. Main'!$B827,[1]Mapping!$D:$D,[1]Mapping!$A:$A,0,0)</f>
        <v>Asadh 78</v>
      </c>
      <c r="G827" s="20">
        <f>_xlfn.XLOOKUP('01. Main'!$B827,[1]Mapping!D$2:D$24,[1]Mapping!E$2:E$24,0,0)</f>
        <v>2021</v>
      </c>
    </row>
    <row r="828" spans="1:7" x14ac:dyDescent="0.45">
      <c r="A828" s="13">
        <f>'[1]02. Matrix'!A837</f>
        <v>827</v>
      </c>
      <c r="B828" s="14">
        <f>'[1]02. Matrix'!B837</f>
        <v>9</v>
      </c>
      <c r="C828" s="14" t="str">
        <f>'[1]02. Matrix'!C837</f>
        <v>CONS FIN BUSN TRM LO</v>
      </c>
      <c r="D828" s="14">
        <f>'[1]02. Matrix'!D837</f>
        <v>2</v>
      </c>
      <c r="E828" s="15">
        <f>'[1]02. Matrix'!E837</f>
        <v>0</v>
      </c>
      <c r="F828" s="14" t="str">
        <f>_xlfn.XLOOKUP('01. Main'!$B828,[1]Mapping!$D:$D,[1]Mapping!$A:$A,0,0)</f>
        <v>Asadh 78</v>
      </c>
      <c r="G828" s="16">
        <f>_xlfn.XLOOKUP('01. Main'!$B828,[1]Mapping!D$2:D$24,[1]Mapping!E$2:E$24,0,0)</f>
        <v>2021</v>
      </c>
    </row>
    <row r="829" spans="1:7" x14ac:dyDescent="0.45">
      <c r="A829" s="17">
        <f>'[1]02. Matrix'!A838</f>
        <v>828</v>
      </c>
      <c r="B829" s="18">
        <f>'[1]02. Matrix'!B838</f>
        <v>9</v>
      </c>
      <c r="C829" s="18" t="str">
        <f>'[1]02. Matrix'!C838</f>
        <v>BIS/PERHIRE PURCHASE</v>
      </c>
      <c r="D829" s="18">
        <f>'[1]02. Matrix'!D838</f>
        <v>2</v>
      </c>
      <c r="E829" s="19">
        <f>'[1]02. Matrix'!E838</f>
        <v>0.42736011955877257</v>
      </c>
      <c r="F829" s="18" t="str">
        <f>_xlfn.XLOOKUP('01. Main'!$B829,[1]Mapping!$D:$D,[1]Mapping!$A:$A,0,0)</f>
        <v>Asadh 78</v>
      </c>
      <c r="G829" s="20">
        <f>_xlfn.XLOOKUP('01. Main'!$B829,[1]Mapping!D$2:D$24,[1]Mapping!E$2:E$24,0,0)</f>
        <v>2021</v>
      </c>
    </row>
    <row r="830" spans="1:7" x14ac:dyDescent="0.45">
      <c r="A830" s="13">
        <f>'[1]02. Matrix'!A839</f>
        <v>829</v>
      </c>
      <c r="B830" s="14">
        <f>'[1]02. Matrix'!B839</f>
        <v>9</v>
      </c>
      <c r="C830" s="14" t="str">
        <f>'[1]02. Matrix'!C839</f>
        <v xml:space="preserve">INT CAP TERM LOAN </v>
      </c>
      <c r="D830" s="14">
        <f>'[1]02. Matrix'!D839</f>
        <v>2</v>
      </c>
      <c r="E830" s="15">
        <f>'[1]02. Matrix'!E839</f>
        <v>0</v>
      </c>
      <c r="F830" s="14" t="str">
        <f>_xlfn.XLOOKUP('01. Main'!$B830,[1]Mapping!$D:$D,[1]Mapping!$A:$A,0,0)</f>
        <v>Asadh 78</v>
      </c>
      <c r="G830" s="16">
        <f>_xlfn.XLOOKUP('01. Main'!$B830,[1]Mapping!D$2:D$24,[1]Mapping!E$2:E$24,0,0)</f>
        <v>2021</v>
      </c>
    </row>
    <row r="831" spans="1:7" x14ac:dyDescent="0.45">
      <c r="A831" s="17">
        <f>'[1]02. Matrix'!A840</f>
        <v>830</v>
      </c>
      <c r="B831" s="18">
        <f>'[1]02. Matrix'!B840</f>
        <v>9</v>
      </c>
      <c r="C831" s="18" t="str">
        <f>'[1]02. Matrix'!C840</f>
        <v>PERSONAL LOAN</v>
      </c>
      <c r="D831" s="18">
        <f>'[1]02. Matrix'!D840</f>
        <v>2</v>
      </c>
      <c r="E831" s="19">
        <f>'[1]02. Matrix'!E840</f>
        <v>0.19173592967382574</v>
      </c>
      <c r="F831" s="18" t="str">
        <f>_xlfn.XLOOKUP('01. Main'!$B831,[1]Mapping!$D:$D,[1]Mapping!$A:$A,0,0)</f>
        <v>Asadh 78</v>
      </c>
      <c r="G831" s="20">
        <f>_xlfn.XLOOKUP('01. Main'!$B831,[1]Mapping!D$2:D$24,[1]Mapping!E$2:E$24,0,0)</f>
        <v>2021</v>
      </c>
    </row>
    <row r="832" spans="1:7" x14ac:dyDescent="0.45">
      <c r="A832" s="13">
        <f>'[1]02. Matrix'!A841</f>
        <v>831</v>
      </c>
      <c r="B832" s="14">
        <f>'[1]02. Matrix'!B841</f>
        <v>9</v>
      </c>
      <c r="C832" s="14" t="str">
        <f>'[1]02. Matrix'!C841</f>
        <v>MORTGAGE LOAN</v>
      </c>
      <c r="D832" s="14">
        <f>'[1]02. Matrix'!D841</f>
        <v>2</v>
      </c>
      <c r="E832" s="15">
        <f>'[1]02. Matrix'!E841</f>
        <v>0</v>
      </c>
      <c r="F832" s="14" t="str">
        <f>_xlfn.XLOOKUP('01. Main'!$B832,[1]Mapping!$D:$D,[1]Mapping!$A:$A,0,0)</f>
        <v>Asadh 78</v>
      </c>
      <c r="G832" s="16">
        <f>_xlfn.XLOOKUP('01. Main'!$B832,[1]Mapping!D$2:D$24,[1]Mapping!E$2:E$24,0,0)</f>
        <v>2021</v>
      </c>
    </row>
    <row r="833" spans="1:7" x14ac:dyDescent="0.45">
      <c r="A833" s="17">
        <f>'[1]02. Matrix'!A842</f>
        <v>832</v>
      </c>
      <c r="B833" s="18">
        <f>'[1]02. Matrix'!B842</f>
        <v>9</v>
      </c>
      <c r="C833" s="18" t="str">
        <f>'[1]02. Matrix'!C842</f>
        <v>LOAN AGAINST FDR</v>
      </c>
      <c r="D833" s="18">
        <f>'[1]02. Matrix'!D842</f>
        <v>2</v>
      </c>
      <c r="E833" s="19">
        <f>'[1]02. Matrix'!E842</f>
        <v>0</v>
      </c>
      <c r="F833" s="18" t="str">
        <f>_xlfn.XLOOKUP('01. Main'!$B833,[1]Mapping!$D:$D,[1]Mapping!$A:$A,0,0)</f>
        <v>Asadh 78</v>
      </c>
      <c r="G833" s="20">
        <f>_xlfn.XLOOKUP('01. Main'!$B833,[1]Mapping!D$2:D$24,[1]Mapping!E$2:E$24,0,0)</f>
        <v>2021</v>
      </c>
    </row>
    <row r="834" spans="1:7" x14ac:dyDescent="0.45">
      <c r="A834" s="13">
        <f>'[1]02. Matrix'!A843</f>
        <v>833</v>
      </c>
      <c r="B834" s="14">
        <f>'[1]02. Matrix'!B843</f>
        <v>9</v>
      </c>
      <c r="C834" s="14" t="str">
        <f>'[1]02. Matrix'!C843</f>
        <v>RECEIVABLE LOAN</v>
      </c>
      <c r="D834" s="14">
        <f>'[1]02. Matrix'!D843</f>
        <v>2</v>
      </c>
      <c r="E834" s="15">
        <f>'[1]02. Matrix'!E843</f>
        <v>1</v>
      </c>
      <c r="F834" s="14" t="str">
        <f>_xlfn.XLOOKUP('01. Main'!$B834,[1]Mapping!$D:$D,[1]Mapping!$A:$A,0,0)</f>
        <v>Asadh 78</v>
      </c>
      <c r="G834" s="16">
        <f>_xlfn.XLOOKUP('01. Main'!$B834,[1]Mapping!D$2:D$24,[1]Mapping!E$2:E$24,0,0)</f>
        <v>2021</v>
      </c>
    </row>
    <row r="835" spans="1:7" x14ac:dyDescent="0.45">
      <c r="A835" s="17">
        <f>'[1]02. Matrix'!A844</f>
        <v>834</v>
      </c>
      <c r="B835" s="18">
        <f>'[1]02. Matrix'!B844</f>
        <v>9</v>
      </c>
      <c r="C835" s="18" t="str">
        <f>'[1]02. Matrix'!C844</f>
        <v>STAFF LOAN</v>
      </c>
      <c r="D835" s="18">
        <f>'[1]02. Matrix'!D844</f>
        <v>2</v>
      </c>
      <c r="E835" s="19">
        <f>'[1]02. Matrix'!E844</f>
        <v>0</v>
      </c>
      <c r="F835" s="18" t="str">
        <f>_xlfn.XLOOKUP('01. Main'!$B835,[1]Mapping!$D:$D,[1]Mapping!$A:$A,0,0)</f>
        <v>Asadh 78</v>
      </c>
      <c r="G835" s="20">
        <f>_xlfn.XLOOKUP('01. Main'!$B835,[1]Mapping!D$2:D$24,[1]Mapping!E$2:E$24,0,0)</f>
        <v>2021</v>
      </c>
    </row>
    <row r="836" spans="1:7" x14ac:dyDescent="0.45">
      <c r="A836" s="13">
        <f>'[1]02. Matrix'!A845</f>
        <v>835</v>
      </c>
      <c r="B836" s="14">
        <f>'[1]02. Matrix'!B845</f>
        <v>9</v>
      </c>
      <c r="C836" s="14" t="str">
        <f>'[1]02. Matrix'!C845</f>
        <v>AGRICULTURAL LOAN</v>
      </c>
      <c r="D836" s="14">
        <f>'[1]02. Matrix'!D845</f>
        <v>2</v>
      </c>
      <c r="E836" s="15">
        <f>'[1]02. Matrix'!E845</f>
        <v>0</v>
      </c>
      <c r="F836" s="14" t="str">
        <f>_xlfn.XLOOKUP('01. Main'!$B836,[1]Mapping!$D:$D,[1]Mapping!$A:$A,0,0)</f>
        <v>Asadh 78</v>
      </c>
      <c r="G836" s="16">
        <f>_xlfn.XLOOKUP('01. Main'!$B836,[1]Mapping!D$2:D$24,[1]Mapping!E$2:E$24,0,0)</f>
        <v>2021</v>
      </c>
    </row>
    <row r="837" spans="1:7" x14ac:dyDescent="0.45">
      <c r="A837" s="17">
        <f>'[1]02. Matrix'!A846</f>
        <v>836</v>
      </c>
      <c r="B837" s="18">
        <f>'[1]02. Matrix'!B846</f>
        <v>9</v>
      </c>
      <c r="C837" s="18" t="str">
        <f>'[1]02. Matrix'!C846</f>
        <v>EARTHQUAKE RELIEF LO</v>
      </c>
      <c r="D837" s="18">
        <f>'[1]02. Matrix'!D846</f>
        <v>2</v>
      </c>
      <c r="E837" s="19">
        <f>'[1]02. Matrix'!E846</f>
        <v>0</v>
      </c>
      <c r="F837" s="18" t="str">
        <f>_xlfn.XLOOKUP('01. Main'!$B837,[1]Mapping!$D:$D,[1]Mapping!$A:$A,0,0)</f>
        <v>Asadh 78</v>
      </c>
      <c r="G837" s="20">
        <f>_xlfn.XLOOKUP('01. Main'!$B837,[1]Mapping!D$2:D$24,[1]Mapping!E$2:E$24,0,0)</f>
        <v>2021</v>
      </c>
    </row>
    <row r="838" spans="1:7" x14ac:dyDescent="0.45">
      <c r="A838" s="13">
        <f>'[1]02. Matrix'!A847</f>
        <v>837</v>
      </c>
      <c r="B838" s="14">
        <f>'[1]02. Matrix'!B847</f>
        <v>9</v>
      </c>
      <c r="C838" s="14" t="str">
        <f>'[1]02. Matrix'!C847</f>
        <v>TOURISM SECTOR LOAN</v>
      </c>
      <c r="D838" s="14">
        <f>'[1]02. Matrix'!D847</f>
        <v>2</v>
      </c>
      <c r="E838" s="15">
        <f>'[1]02. Matrix'!E847</f>
        <v>0</v>
      </c>
      <c r="F838" s="14" t="str">
        <f>_xlfn.XLOOKUP('01. Main'!$B838,[1]Mapping!$D:$D,[1]Mapping!$A:$A,0,0)</f>
        <v>Asadh 78</v>
      </c>
      <c r="G838" s="16">
        <f>_xlfn.XLOOKUP('01. Main'!$B838,[1]Mapping!D$2:D$24,[1]Mapping!E$2:E$24,0,0)</f>
        <v>2021</v>
      </c>
    </row>
    <row r="839" spans="1:7" x14ac:dyDescent="0.45">
      <c r="A839" s="17">
        <f>'[1]02. Matrix'!A848</f>
        <v>838</v>
      </c>
      <c r="B839" s="18">
        <f>'[1]02. Matrix'!B848</f>
        <v>9</v>
      </c>
      <c r="C839" s="18" t="str">
        <f>'[1]02. Matrix'!C848</f>
        <v>SME LOAN</v>
      </c>
      <c r="D839" s="18">
        <f>'[1]02. Matrix'!D848</f>
        <v>2</v>
      </c>
      <c r="E839" s="19">
        <f>'[1]02. Matrix'!E848</f>
        <v>0</v>
      </c>
      <c r="F839" s="18" t="str">
        <f>_xlfn.XLOOKUP('01. Main'!$B839,[1]Mapping!$D:$D,[1]Mapping!$A:$A,0,0)</f>
        <v>Asadh 78</v>
      </c>
      <c r="G839" s="20">
        <f>_xlfn.XLOOKUP('01. Main'!$B839,[1]Mapping!D$2:D$24,[1]Mapping!E$2:E$24,0,0)</f>
        <v>2021</v>
      </c>
    </row>
    <row r="840" spans="1:7" x14ac:dyDescent="0.45">
      <c r="A840" s="13">
        <f>'[1]02. Matrix'!A849</f>
        <v>839</v>
      </c>
      <c r="B840" s="14">
        <f>'[1]02. Matrix'!B849</f>
        <v>9</v>
      </c>
      <c r="C840" s="14" t="str">
        <f>'[1]02. Matrix'!C849</f>
        <v>EDUCATIONAL LOAN EMI</v>
      </c>
      <c r="D840" s="14">
        <f>'[1]02. Matrix'!D849</f>
        <v>2</v>
      </c>
      <c r="E840" s="15">
        <f>'[1]02. Matrix'!E849</f>
        <v>0</v>
      </c>
      <c r="F840" s="14" t="str">
        <f>_xlfn.XLOOKUP('01. Main'!$B840,[1]Mapping!$D:$D,[1]Mapping!$A:$A,0,0)</f>
        <v>Asadh 78</v>
      </c>
      <c r="G840" s="16">
        <f>_xlfn.XLOOKUP('01. Main'!$B840,[1]Mapping!D$2:D$24,[1]Mapping!E$2:E$24,0,0)</f>
        <v>2021</v>
      </c>
    </row>
    <row r="841" spans="1:7" x14ac:dyDescent="0.45">
      <c r="A841" s="17">
        <f>'[1]02. Matrix'!A850</f>
        <v>840</v>
      </c>
      <c r="B841" s="18">
        <f>'[1]02. Matrix'!B850</f>
        <v>9</v>
      </c>
      <c r="C841" s="18" t="str">
        <f>'[1]02. Matrix'!C850</f>
        <v>OVERDRAFT PROFESSION</v>
      </c>
      <c r="D841" s="18">
        <f>'[1]02. Matrix'!D850</f>
        <v>2</v>
      </c>
      <c r="E841" s="19">
        <f>'[1]02. Matrix'!E850</f>
        <v>0</v>
      </c>
      <c r="F841" s="18" t="str">
        <f>_xlfn.XLOOKUP('01. Main'!$B841,[1]Mapping!$D:$D,[1]Mapping!$A:$A,0,0)</f>
        <v>Asadh 78</v>
      </c>
      <c r="G841" s="20">
        <f>_xlfn.XLOOKUP('01. Main'!$B841,[1]Mapping!D$2:D$24,[1]Mapping!E$2:E$24,0,0)</f>
        <v>2021</v>
      </c>
    </row>
    <row r="842" spans="1:7" x14ac:dyDescent="0.45">
      <c r="A842" s="13">
        <f>'[1]02. Matrix'!A851</f>
        <v>841</v>
      </c>
      <c r="B842" s="14">
        <f>'[1]02. Matrix'!B851</f>
        <v>8</v>
      </c>
      <c r="C842" s="14" t="str">
        <f>'[1]02. Matrix'!C851</f>
        <v>OD PERSONAL LOAN</v>
      </c>
      <c r="D842" s="14">
        <f>'[1]02. Matrix'!D851</f>
        <v>1</v>
      </c>
      <c r="E842" s="15">
        <f>'[1]02. Matrix'!E851</f>
        <v>0</v>
      </c>
      <c r="F842" s="14" t="str">
        <f>_xlfn.XLOOKUP('01. Main'!$B842,[1]Mapping!$D:$D,[1]Mapping!$A:$A,0,0)</f>
        <v>Chaitra 77</v>
      </c>
      <c r="G842" s="16">
        <f>_xlfn.XLOOKUP('01. Main'!$B842,[1]Mapping!D$2:D$24,[1]Mapping!E$2:E$24,0,0)</f>
        <v>2021</v>
      </c>
    </row>
    <row r="843" spans="1:7" x14ac:dyDescent="0.45">
      <c r="A843" s="17">
        <f>'[1]02. Matrix'!A852</f>
        <v>842</v>
      </c>
      <c r="B843" s="18">
        <f>'[1]02. Matrix'!B852</f>
        <v>8</v>
      </c>
      <c r="C843" s="18" t="str">
        <f>'[1]02. Matrix'!C852</f>
        <v>OD BUSINESS LOAN</v>
      </c>
      <c r="D843" s="18">
        <f>'[1]02. Matrix'!D852</f>
        <v>1</v>
      </c>
      <c r="E843" s="19">
        <f>'[1]02. Matrix'!E852</f>
        <v>0</v>
      </c>
      <c r="F843" s="18" t="str">
        <f>_xlfn.XLOOKUP('01. Main'!$B843,[1]Mapping!$D:$D,[1]Mapping!$A:$A,0,0)</f>
        <v>Chaitra 77</v>
      </c>
      <c r="G843" s="20">
        <f>_xlfn.XLOOKUP('01. Main'!$B843,[1]Mapping!D$2:D$24,[1]Mapping!E$2:E$24,0,0)</f>
        <v>2021</v>
      </c>
    </row>
    <row r="844" spans="1:7" x14ac:dyDescent="0.45">
      <c r="A844" s="13">
        <f>'[1]02. Matrix'!A853</f>
        <v>843</v>
      </c>
      <c r="B844" s="14">
        <f>'[1]02. Matrix'!B853</f>
        <v>8</v>
      </c>
      <c r="C844" s="14" t="str">
        <f>'[1]02. Matrix'!C853</f>
        <v>OD STAFF LOAN</v>
      </c>
      <c r="D844" s="14">
        <f>'[1]02. Matrix'!D853</f>
        <v>1</v>
      </c>
      <c r="E844" s="15">
        <f>'[1]02. Matrix'!E853</f>
        <v>0</v>
      </c>
      <c r="F844" s="14" t="str">
        <f>_xlfn.XLOOKUP('01. Main'!$B844,[1]Mapping!$D:$D,[1]Mapping!$A:$A,0,0)</f>
        <v>Chaitra 77</v>
      </c>
      <c r="G844" s="16">
        <f>_xlfn.XLOOKUP('01. Main'!$B844,[1]Mapping!D$2:D$24,[1]Mapping!E$2:E$24,0,0)</f>
        <v>2021</v>
      </c>
    </row>
    <row r="845" spans="1:7" x14ac:dyDescent="0.45">
      <c r="A845" s="17">
        <f>'[1]02. Matrix'!A854</f>
        <v>844</v>
      </c>
      <c r="B845" s="18">
        <f>'[1]02. Matrix'!B854</f>
        <v>8</v>
      </c>
      <c r="C845" s="18" t="str">
        <f>'[1]02. Matrix'!C854</f>
        <v>TERM LOAN</v>
      </c>
      <c r="D845" s="18">
        <f>'[1]02. Matrix'!D854</f>
        <v>1</v>
      </c>
      <c r="E845" s="19">
        <f>'[1]02. Matrix'!E854</f>
        <v>3.5595709363847441E-2</v>
      </c>
      <c r="F845" s="18" t="str">
        <f>_xlfn.XLOOKUP('01. Main'!$B845,[1]Mapping!$D:$D,[1]Mapping!$A:$A,0,0)</f>
        <v>Chaitra 77</v>
      </c>
      <c r="G845" s="20">
        <f>_xlfn.XLOOKUP('01. Main'!$B845,[1]Mapping!D$2:D$24,[1]Mapping!E$2:E$24,0,0)</f>
        <v>2021</v>
      </c>
    </row>
    <row r="846" spans="1:7" x14ac:dyDescent="0.45">
      <c r="A846" s="13">
        <f>'[1]02. Matrix'!A855</f>
        <v>845</v>
      </c>
      <c r="B846" s="14">
        <f>'[1]02. Matrix'!B855</f>
        <v>8</v>
      </c>
      <c r="C846" s="14" t="str">
        <f>'[1]02. Matrix'!C855</f>
        <v>WC TRADING/IND LOAN</v>
      </c>
      <c r="D846" s="14">
        <f>'[1]02. Matrix'!D855</f>
        <v>1</v>
      </c>
      <c r="E846" s="15">
        <f>'[1]02. Matrix'!E855</f>
        <v>4.1573251817567956E-2</v>
      </c>
      <c r="F846" s="14" t="str">
        <f>_xlfn.XLOOKUP('01. Main'!$B846,[1]Mapping!$D:$D,[1]Mapping!$A:$A,0,0)</f>
        <v>Chaitra 77</v>
      </c>
      <c r="G846" s="16">
        <f>_xlfn.XLOOKUP('01. Main'!$B846,[1]Mapping!D$2:D$24,[1]Mapping!E$2:E$24,0,0)</f>
        <v>2021</v>
      </c>
    </row>
    <row r="847" spans="1:7" x14ac:dyDescent="0.45">
      <c r="A847" s="17">
        <f>'[1]02. Matrix'!A856</f>
        <v>846</v>
      </c>
      <c r="B847" s="18">
        <f>'[1]02. Matrix'!B856</f>
        <v>8</v>
      </c>
      <c r="C847" s="18" t="str">
        <f>'[1]02. Matrix'!C856</f>
        <v>HOUSING LOAN</v>
      </c>
      <c r="D847" s="18">
        <f>'[1]02. Matrix'!D856</f>
        <v>1</v>
      </c>
      <c r="E847" s="19">
        <f>'[1]02. Matrix'!E856</f>
        <v>5.6606238733316536E-2</v>
      </c>
      <c r="F847" s="18" t="str">
        <f>_xlfn.XLOOKUP('01. Main'!$B847,[1]Mapping!$D:$D,[1]Mapping!$A:$A,0,0)</f>
        <v>Chaitra 77</v>
      </c>
      <c r="G847" s="20">
        <f>_xlfn.XLOOKUP('01. Main'!$B847,[1]Mapping!D$2:D$24,[1]Mapping!E$2:E$24,0,0)</f>
        <v>2021</v>
      </c>
    </row>
    <row r="848" spans="1:7" x14ac:dyDescent="0.45">
      <c r="A848" s="13">
        <f>'[1]02. Matrix'!A857</f>
        <v>847</v>
      </c>
      <c r="B848" s="14">
        <f>'[1]02. Matrix'!B857</f>
        <v>8</v>
      </c>
      <c r="C848" s="14" t="str">
        <f>'[1]02. Matrix'!C857</f>
        <v>RESI REAL EST LOAN</v>
      </c>
      <c r="D848" s="14">
        <f>'[1]02. Matrix'!D857</f>
        <v>1</v>
      </c>
      <c r="E848" s="15">
        <f>'[1]02. Matrix'!E857</f>
        <v>0</v>
      </c>
      <c r="F848" s="14" t="str">
        <f>_xlfn.XLOOKUP('01. Main'!$B848,[1]Mapping!$D:$D,[1]Mapping!$A:$A,0,0)</f>
        <v>Chaitra 77</v>
      </c>
      <c r="G848" s="16">
        <f>_xlfn.XLOOKUP('01. Main'!$B848,[1]Mapping!D$2:D$24,[1]Mapping!E$2:E$24,0,0)</f>
        <v>2021</v>
      </c>
    </row>
    <row r="849" spans="1:7" x14ac:dyDescent="0.45">
      <c r="A849" s="17">
        <f>'[1]02. Matrix'!A858</f>
        <v>848</v>
      </c>
      <c r="B849" s="18">
        <f>'[1]02. Matrix'!B858</f>
        <v>8</v>
      </c>
      <c r="C849" s="18" t="str">
        <f>'[1]02. Matrix'!C858</f>
        <v>MARGIN NATURE LOAN</v>
      </c>
      <c r="D849" s="18">
        <f>'[1]02. Matrix'!D858</f>
        <v>1</v>
      </c>
      <c r="E849" s="19">
        <f>'[1]02. Matrix'!E858</f>
        <v>0</v>
      </c>
      <c r="F849" s="18" t="str">
        <f>_xlfn.XLOOKUP('01. Main'!$B849,[1]Mapping!$D:$D,[1]Mapping!$A:$A,0,0)</f>
        <v>Chaitra 77</v>
      </c>
      <c r="G849" s="20">
        <f>_xlfn.XLOOKUP('01. Main'!$B849,[1]Mapping!D$2:D$24,[1]Mapping!E$2:E$24,0,0)</f>
        <v>2021</v>
      </c>
    </row>
    <row r="850" spans="1:7" x14ac:dyDescent="0.45">
      <c r="A850" s="13">
        <f>'[1]02. Matrix'!A859</f>
        <v>849</v>
      </c>
      <c r="B850" s="14">
        <f>'[1]02. Matrix'!B859</f>
        <v>8</v>
      </c>
      <c r="C850" s="14" t="str">
        <f>'[1]02. Matrix'!C859</f>
        <v>HIRE PURCHASE LOAN</v>
      </c>
      <c r="D850" s="14">
        <f>'[1]02. Matrix'!D859</f>
        <v>1</v>
      </c>
      <c r="E850" s="15">
        <f>'[1]02. Matrix'!E859</f>
        <v>0.33676884791168549</v>
      </c>
      <c r="F850" s="14" t="str">
        <f>_xlfn.XLOOKUP('01. Main'!$B850,[1]Mapping!$D:$D,[1]Mapping!$A:$A,0,0)</f>
        <v>Chaitra 77</v>
      </c>
      <c r="G850" s="16">
        <f>_xlfn.XLOOKUP('01. Main'!$B850,[1]Mapping!D$2:D$24,[1]Mapping!E$2:E$24,0,0)</f>
        <v>2021</v>
      </c>
    </row>
    <row r="851" spans="1:7" x14ac:dyDescent="0.45">
      <c r="A851" s="17">
        <f>'[1]02. Matrix'!A860</f>
        <v>850</v>
      </c>
      <c r="B851" s="18">
        <f>'[1]02. Matrix'!B860</f>
        <v>8</v>
      </c>
      <c r="C851" s="18" t="str">
        <f>'[1]02. Matrix'!C860</f>
        <v>DEPRIVED SECTOR LOAN</v>
      </c>
      <c r="D851" s="18">
        <f>'[1]02. Matrix'!D860</f>
        <v>1</v>
      </c>
      <c r="E851" s="19">
        <f>'[1]02. Matrix'!E860</f>
        <v>3.4419665421563564E-2</v>
      </c>
      <c r="F851" s="18" t="str">
        <f>_xlfn.XLOOKUP('01. Main'!$B851,[1]Mapping!$D:$D,[1]Mapping!$A:$A,0,0)</f>
        <v>Chaitra 77</v>
      </c>
      <c r="G851" s="20">
        <f>_xlfn.XLOOKUP('01. Main'!$B851,[1]Mapping!D$2:D$24,[1]Mapping!E$2:E$24,0,0)</f>
        <v>2021</v>
      </c>
    </row>
    <row r="852" spans="1:7" x14ac:dyDescent="0.45">
      <c r="A852" s="13">
        <f>'[1]02. Matrix'!A861</f>
        <v>851</v>
      </c>
      <c r="B852" s="14">
        <f>'[1]02. Matrix'!B861</f>
        <v>8</v>
      </c>
      <c r="C852" s="14" t="str">
        <f>'[1]02. Matrix'!C861</f>
        <v>EDUCATIONAL LOAN</v>
      </c>
      <c r="D852" s="14">
        <f>'[1]02. Matrix'!D861</f>
        <v>1</v>
      </c>
      <c r="E852" s="15">
        <f>'[1]02. Matrix'!E861</f>
        <v>0.60815618403291949</v>
      </c>
      <c r="F852" s="14" t="str">
        <f>_xlfn.XLOOKUP('01. Main'!$B852,[1]Mapping!$D:$D,[1]Mapping!$A:$A,0,0)</f>
        <v>Chaitra 77</v>
      </c>
      <c r="G852" s="16">
        <f>_xlfn.XLOOKUP('01. Main'!$B852,[1]Mapping!D$2:D$24,[1]Mapping!E$2:E$24,0,0)</f>
        <v>2021</v>
      </c>
    </row>
    <row r="853" spans="1:7" x14ac:dyDescent="0.45">
      <c r="A853" s="17">
        <f>'[1]02. Matrix'!A862</f>
        <v>852</v>
      </c>
      <c r="B853" s="18">
        <f>'[1]02. Matrix'!B862</f>
        <v>8</v>
      </c>
      <c r="C853" s="18" t="str">
        <f>'[1]02. Matrix'!C862</f>
        <v>AGRICULTURE LOAN</v>
      </c>
      <c r="D853" s="18">
        <f>'[1]02. Matrix'!D862</f>
        <v>1</v>
      </c>
      <c r="E853" s="19">
        <f>'[1]02. Matrix'!E862</f>
        <v>0</v>
      </c>
      <c r="F853" s="18" t="str">
        <f>_xlfn.XLOOKUP('01. Main'!$B853,[1]Mapping!$D:$D,[1]Mapping!$A:$A,0,0)</f>
        <v>Chaitra 77</v>
      </c>
      <c r="G853" s="20">
        <f>_xlfn.XLOOKUP('01. Main'!$B853,[1]Mapping!D$2:D$24,[1]Mapping!E$2:E$24,0,0)</f>
        <v>2021</v>
      </c>
    </row>
    <row r="854" spans="1:7" x14ac:dyDescent="0.45">
      <c r="A854" s="13">
        <f>'[1]02. Matrix'!A863</f>
        <v>853</v>
      </c>
      <c r="B854" s="14">
        <f>'[1]02. Matrix'!B863</f>
        <v>8</v>
      </c>
      <c r="C854" s="14" t="str">
        <f>'[1]02. Matrix'!C863</f>
        <v>RESI PER.HOME-EMI</v>
      </c>
      <c r="D854" s="14">
        <f>'[1]02. Matrix'!D863</f>
        <v>1</v>
      </c>
      <c r="E854" s="15">
        <f>'[1]02. Matrix'!E863</f>
        <v>0</v>
      </c>
      <c r="F854" s="14" t="str">
        <f>_xlfn.XLOOKUP('01. Main'!$B854,[1]Mapping!$D:$D,[1]Mapping!$A:$A,0,0)</f>
        <v>Chaitra 77</v>
      </c>
      <c r="G854" s="16">
        <f>_xlfn.XLOOKUP('01. Main'!$B854,[1]Mapping!D$2:D$24,[1]Mapping!E$2:E$24,0,0)</f>
        <v>2021</v>
      </c>
    </row>
    <row r="855" spans="1:7" x14ac:dyDescent="0.45">
      <c r="A855" s="17">
        <f>'[1]02. Matrix'!A864</f>
        <v>854</v>
      </c>
      <c r="B855" s="18">
        <f>'[1]02. Matrix'!B864</f>
        <v>8</v>
      </c>
      <c r="C855" s="18" t="str">
        <f>'[1]02. Matrix'!C864</f>
        <v>TERM LOAN - BUSINESS</v>
      </c>
      <c r="D855" s="18">
        <f>'[1]02. Matrix'!D864</f>
        <v>1</v>
      </c>
      <c r="E855" s="19">
        <f>'[1]02. Matrix'!E864</f>
        <v>0</v>
      </c>
      <c r="F855" s="18" t="str">
        <f>_xlfn.XLOOKUP('01. Main'!$B855,[1]Mapping!$D:$D,[1]Mapping!$A:$A,0,0)</f>
        <v>Chaitra 77</v>
      </c>
      <c r="G855" s="20">
        <f>_xlfn.XLOOKUP('01. Main'!$B855,[1]Mapping!D$2:D$24,[1]Mapping!E$2:E$24,0,0)</f>
        <v>2021</v>
      </c>
    </row>
    <row r="856" spans="1:7" x14ac:dyDescent="0.45">
      <c r="A856" s="13">
        <f>'[1]02. Matrix'!A865</f>
        <v>855</v>
      </c>
      <c r="B856" s="14">
        <f>'[1]02. Matrix'!B865</f>
        <v>8</v>
      </c>
      <c r="C856" s="14" t="str">
        <f>'[1]02. Matrix'!C865</f>
        <v>CONS FIN BUSN TRM LO</v>
      </c>
      <c r="D856" s="14">
        <f>'[1]02. Matrix'!D865</f>
        <v>1</v>
      </c>
      <c r="E856" s="15">
        <f>'[1]02. Matrix'!E865</f>
        <v>0</v>
      </c>
      <c r="F856" s="14" t="str">
        <f>_xlfn.XLOOKUP('01. Main'!$B856,[1]Mapping!$D:$D,[1]Mapping!$A:$A,0,0)</f>
        <v>Chaitra 77</v>
      </c>
      <c r="G856" s="16">
        <f>_xlfn.XLOOKUP('01. Main'!$B856,[1]Mapping!D$2:D$24,[1]Mapping!E$2:E$24,0,0)</f>
        <v>2021</v>
      </c>
    </row>
    <row r="857" spans="1:7" x14ac:dyDescent="0.45">
      <c r="A857" s="17">
        <f>'[1]02. Matrix'!A866</f>
        <v>856</v>
      </c>
      <c r="B857" s="18">
        <f>'[1]02. Matrix'!B866</f>
        <v>8</v>
      </c>
      <c r="C857" s="18" t="str">
        <f>'[1]02. Matrix'!C866</f>
        <v>BIS/PERHIRE PURCHASE</v>
      </c>
      <c r="D857" s="18">
        <f>'[1]02. Matrix'!D866</f>
        <v>1</v>
      </c>
      <c r="E857" s="19">
        <f>'[1]02. Matrix'!E866</f>
        <v>1.8501487409931461E-2</v>
      </c>
      <c r="F857" s="18" t="str">
        <f>_xlfn.XLOOKUP('01. Main'!$B857,[1]Mapping!$D:$D,[1]Mapping!$A:$A,0,0)</f>
        <v>Chaitra 77</v>
      </c>
      <c r="G857" s="20">
        <f>_xlfn.XLOOKUP('01. Main'!$B857,[1]Mapping!D$2:D$24,[1]Mapping!E$2:E$24,0,0)</f>
        <v>2021</v>
      </c>
    </row>
    <row r="858" spans="1:7" x14ac:dyDescent="0.45">
      <c r="A858" s="13">
        <f>'[1]02. Matrix'!A867</f>
        <v>857</v>
      </c>
      <c r="B858" s="14">
        <f>'[1]02. Matrix'!B867</f>
        <v>8</v>
      </c>
      <c r="C858" s="14" t="str">
        <f>'[1]02. Matrix'!C867</f>
        <v xml:space="preserve">INT CAP TERM LOAN </v>
      </c>
      <c r="D858" s="14">
        <f>'[1]02. Matrix'!D867</f>
        <v>1</v>
      </c>
      <c r="E858" s="15">
        <f>'[1]02. Matrix'!E867</f>
        <v>0</v>
      </c>
      <c r="F858" s="14" t="str">
        <f>_xlfn.XLOOKUP('01. Main'!$B858,[1]Mapping!$D:$D,[1]Mapping!$A:$A,0,0)</f>
        <v>Chaitra 77</v>
      </c>
      <c r="G858" s="16">
        <f>_xlfn.XLOOKUP('01. Main'!$B858,[1]Mapping!D$2:D$24,[1]Mapping!E$2:E$24,0,0)</f>
        <v>2021</v>
      </c>
    </row>
    <row r="859" spans="1:7" x14ac:dyDescent="0.45">
      <c r="A859" s="17">
        <f>'[1]02. Matrix'!A868</f>
        <v>858</v>
      </c>
      <c r="B859" s="18">
        <f>'[1]02. Matrix'!B868</f>
        <v>8</v>
      </c>
      <c r="C859" s="18" t="str">
        <f>'[1]02. Matrix'!C868</f>
        <v>PERSONAL LOAN</v>
      </c>
      <c r="D859" s="18">
        <f>'[1]02. Matrix'!D868</f>
        <v>1</v>
      </c>
      <c r="E859" s="19">
        <f>'[1]02. Matrix'!E868</f>
        <v>6.1660851752168663E-2</v>
      </c>
      <c r="F859" s="18" t="str">
        <f>_xlfn.XLOOKUP('01. Main'!$B859,[1]Mapping!$D:$D,[1]Mapping!$A:$A,0,0)</f>
        <v>Chaitra 77</v>
      </c>
      <c r="G859" s="20">
        <f>_xlfn.XLOOKUP('01. Main'!$B859,[1]Mapping!D$2:D$24,[1]Mapping!E$2:E$24,0,0)</f>
        <v>2021</v>
      </c>
    </row>
    <row r="860" spans="1:7" x14ac:dyDescent="0.45">
      <c r="A860" s="13">
        <f>'[1]02. Matrix'!A869</f>
        <v>859</v>
      </c>
      <c r="B860" s="14">
        <f>'[1]02. Matrix'!B869</f>
        <v>8</v>
      </c>
      <c r="C860" s="14" t="str">
        <f>'[1]02. Matrix'!C869</f>
        <v>MORTGAGE LOAN</v>
      </c>
      <c r="D860" s="14">
        <f>'[1]02. Matrix'!D869</f>
        <v>1</v>
      </c>
      <c r="E860" s="15">
        <f>'[1]02. Matrix'!E869</f>
        <v>0</v>
      </c>
      <c r="F860" s="14" t="str">
        <f>_xlfn.XLOOKUP('01. Main'!$B860,[1]Mapping!$D:$D,[1]Mapping!$A:$A,0,0)</f>
        <v>Chaitra 77</v>
      </c>
      <c r="G860" s="16">
        <f>_xlfn.XLOOKUP('01. Main'!$B860,[1]Mapping!D$2:D$24,[1]Mapping!E$2:E$24,0,0)</f>
        <v>2021</v>
      </c>
    </row>
    <row r="861" spans="1:7" x14ac:dyDescent="0.45">
      <c r="A861" s="17">
        <f>'[1]02. Matrix'!A870</f>
        <v>860</v>
      </c>
      <c r="B861" s="18">
        <f>'[1]02. Matrix'!B870</f>
        <v>8</v>
      </c>
      <c r="C861" s="18" t="str">
        <f>'[1]02. Matrix'!C870</f>
        <v>LOAN AGAINST FDR</v>
      </c>
      <c r="D861" s="18">
        <f>'[1]02. Matrix'!D870</f>
        <v>1</v>
      </c>
      <c r="E861" s="19">
        <f>'[1]02. Matrix'!E870</f>
        <v>0</v>
      </c>
      <c r="F861" s="18" t="str">
        <f>_xlfn.XLOOKUP('01. Main'!$B861,[1]Mapping!$D:$D,[1]Mapping!$A:$A,0,0)</f>
        <v>Chaitra 77</v>
      </c>
      <c r="G861" s="20">
        <f>_xlfn.XLOOKUP('01. Main'!$B861,[1]Mapping!D$2:D$24,[1]Mapping!E$2:E$24,0,0)</f>
        <v>2021</v>
      </c>
    </row>
    <row r="862" spans="1:7" x14ac:dyDescent="0.45">
      <c r="A862" s="13">
        <f>'[1]02. Matrix'!A871</f>
        <v>861</v>
      </c>
      <c r="B862" s="14">
        <f>'[1]02. Matrix'!B871</f>
        <v>8</v>
      </c>
      <c r="C862" s="14" t="str">
        <f>'[1]02. Matrix'!C871</f>
        <v>RECEIVABLE LOAN</v>
      </c>
      <c r="D862" s="14">
        <f>'[1]02. Matrix'!D871</f>
        <v>1</v>
      </c>
      <c r="E862" s="15">
        <f>'[1]02. Matrix'!E871</f>
        <v>0.11316596489692332</v>
      </c>
      <c r="F862" s="14" t="str">
        <f>_xlfn.XLOOKUP('01. Main'!$B862,[1]Mapping!$D:$D,[1]Mapping!$A:$A,0,0)</f>
        <v>Chaitra 77</v>
      </c>
      <c r="G862" s="16">
        <f>_xlfn.XLOOKUP('01. Main'!$B862,[1]Mapping!D$2:D$24,[1]Mapping!E$2:E$24,0,0)</f>
        <v>2021</v>
      </c>
    </row>
    <row r="863" spans="1:7" x14ac:dyDescent="0.45">
      <c r="A863" s="17">
        <f>'[1]02. Matrix'!A872</f>
        <v>862</v>
      </c>
      <c r="B863" s="18">
        <f>'[1]02. Matrix'!B872</f>
        <v>8</v>
      </c>
      <c r="C863" s="18" t="str">
        <f>'[1]02. Matrix'!C872</f>
        <v>STAFF LOAN</v>
      </c>
      <c r="D863" s="18">
        <f>'[1]02. Matrix'!D872</f>
        <v>1</v>
      </c>
      <c r="E863" s="19">
        <f>'[1]02. Matrix'!E872</f>
        <v>0</v>
      </c>
      <c r="F863" s="18" t="str">
        <f>_xlfn.XLOOKUP('01. Main'!$B863,[1]Mapping!$D:$D,[1]Mapping!$A:$A,0,0)</f>
        <v>Chaitra 77</v>
      </c>
      <c r="G863" s="20">
        <f>_xlfn.XLOOKUP('01. Main'!$B863,[1]Mapping!D$2:D$24,[1]Mapping!E$2:E$24,0,0)</f>
        <v>2021</v>
      </c>
    </row>
    <row r="864" spans="1:7" x14ac:dyDescent="0.45">
      <c r="A864" s="13">
        <f>'[1]02. Matrix'!A873</f>
        <v>863</v>
      </c>
      <c r="B864" s="14">
        <f>'[1]02. Matrix'!B873</f>
        <v>8</v>
      </c>
      <c r="C864" s="14" t="str">
        <f>'[1]02. Matrix'!C873</f>
        <v>AGRICULTURAL LOAN</v>
      </c>
      <c r="D864" s="14">
        <f>'[1]02. Matrix'!D873</f>
        <v>1</v>
      </c>
      <c r="E864" s="15">
        <f>'[1]02. Matrix'!E873</f>
        <v>0</v>
      </c>
      <c r="F864" s="14" t="str">
        <f>_xlfn.XLOOKUP('01. Main'!$B864,[1]Mapping!$D:$D,[1]Mapping!$A:$A,0,0)</f>
        <v>Chaitra 77</v>
      </c>
      <c r="G864" s="16">
        <f>_xlfn.XLOOKUP('01. Main'!$B864,[1]Mapping!D$2:D$24,[1]Mapping!E$2:E$24,0,0)</f>
        <v>2021</v>
      </c>
    </row>
    <row r="865" spans="1:7" x14ac:dyDescent="0.45">
      <c r="A865" s="17">
        <f>'[1]02. Matrix'!A874</f>
        <v>864</v>
      </c>
      <c r="B865" s="18">
        <f>'[1]02. Matrix'!B874</f>
        <v>8</v>
      </c>
      <c r="C865" s="18" t="str">
        <f>'[1]02. Matrix'!C874</f>
        <v>EARTHQUAKE RELIEF LO</v>
      </c>
      <c r="D865" s="18">
        <f>'[1]02. Matrix'!D874</f>
        <v>1</v>
      </c>
      <c r="E865" s="19">
        <f>'[1]02. Matrix'!E874</f>
        <v>0</v>
      </c>
      <c r="F865" s="18" t="str">
        <f>_xlfn.XLOOKUP('01. Main'!$B865,[1]Mapping!$D:$D,[1]Mapping!$A:$A,0,0)</f>
        <v>Chaitra 77</v>
      </c>
      <c r="G865" s="20">
        <f>_xlfn.XLOOKUP('01. Main'!$B865,[1]Mapping!D$2:D$24,[1]Mapping!E$2:E$24,0,0)</f>
        <v>2021</v>
      </c>
    </row>
    <row r="866" spans="1:7" x14ac:dyDescent="0.45">
      <c r="A866" s="13">
        <f>'[1]02. Matrix'!A875</f>
        <v>865</v>
      </c>
      <c r="B866" s="14">
        <f>'[1]02. Matrix'!B875</f>
        <v>8</v>
      </c>
      <c r="C866" s="14" t="str">
        <f>'[1]02. Matrix'!C875</f>
        <v>TOURISM SECTOR LOAN</v>
      </c>
      <c r="D866" s="14">
        <f>'[1]02. Matrix'!D875</f>
        <v>1</v>
      </c>
      <c r="E866" s="15">
        <f>'[1]02. Matrix'!E875</f>
        <v>0</v>
      </c>
      <c r="F866" s="14" t="str">
        <f>_xlfn.XLOOKUP('01. Main'!$B866,[1]Mapping!$D:$D,[1]Mapping!$A:$A,0,0)</f>
        <v>Chaitra 77</v>
      </c>
      <c r="G866" s="16">
        <f>_xlfn.XLOOKUP('01. Main'!$B866,[1]Mapping!D$2:D$24,[1]Mapping!E$2:E$24,0,0)</f>
        <v>2021</v>
      </c>
    </row>
    <row r="867" spans="1:7" x14ac:dyDescent="0.45">
      <c r="A867" s="17">
        <f>'[1]02. Matrix'!A876</f>
        <v>866</v>
      </c>
      <c r="B867" s="18">
        <f>'[1]02. Matrix'!B876</f>
        <v>8</v>
      </c>
      <c r="C867" s="18" t="str">
        <f>'[1]02. Matrix'!C876</f>
        <v>SME LOAN</v>
      </c>
      <c r="D867" s="18">
        <f>'[1]02. Matrix'!D876</f>
        <v>1</v>
      </c>
      <c r="E867" s="19">
        <f>'[1]02. Matrix'!E876</f>
        <v>0</v>
      </c>
      <c r="F867" s="18" t="str">
        <f>_xlfn.XLOOKUP('01. Main'!$B867,[1]Mapping!$D:$D,[1]Mapping!$A:$A,0,0)</f>
        <v>Chaitra 77</v>
      </c>
      <c r="G867" s="20">
        <f>_xlfn.XLOOKUP('01. Main'!$B867,[1]Mapping!D$2:D$24,[1]Mapping!E$2:E$24,0,0)</f>
        <v>2021</v>
      </c>
    </row>
    <row r="868" spans="1:7" x14ac:dyDescent="0.45">
      <c r="A868" s="13">
        <f>'[1]02. Matrix'!A877</f>
        <v>867</v>
      </c>
      <c r="B868" s="14">
        <f>'[1]02. Matrix'!B877</f>
        <v>8</v>
      </c>
      <c r="C868" s="14" t="str">
        <f>'[1]02. Matrix'!C877</f>
        <v>EDUCATIONAL LOAN EMI</v>
      </c>
      <c r="D868" s="14">
        <f>'[1]02. Matrix'!D877</f>
        <v>1</v>
      </c>
      <c r="E868" s="15">
        <f>'[1]02. Matrix'!E877</f>
        <v>0</v>
      </c>
      <c r="F868" s="14" t="str">
        <f>_xlfn.XLOOKUP('01. Main'!$B868,[1]Mapping!$D:$D,[1]Mapping!$A:$A,0,0)</f>
        <v>Chaitra 77</v>
      </c>
      <c r="G868" s="16">
        <f>_xlfn.XLOOKUP('01. Main'!$B868,[1]Mapping!D$2:D$24,[1]Mapping!E$2:E$24,0,0)</f>
        <v>2021</v>
      </c>
    </row>
    <row r="869" spans="1:7" x14ac:dyDescent="0.45">
      <c r="A869" s="17">
        <f>'[1]02. Matrix'!A878</f>
        <v>868</v>
      </c>
      <c r="B869" s="18">
        <f>'[1]02. Matrix'!B878</f>
        <v>8</v>
      </c>
      <c r="C869" s="18" t="str">
        <f>'[1]02. Matrix'!C878</f>
        <v>OVERDRAFT PROFESSION</v>
      </c>
      <c r="D869" s="18">
        <f>'[1]02. Matrix'!D878</f>
        <v>1</v>
      </c>
      <c r="E869" s="19">
        <f>'[1]02. Matrix'!E878</f>
        <v>0</v>
      </c>
      <c r="F869" s="18" t="str">
        <f>_xlfn.XLOOKUP('01. Main'!$B869,[1]Mapping!$D:$D,[1]Mapping!$A:$A,0,0)</f>
        <v>Chaitra 77</v>
      </c>
      <c r="G869" s="20">
        <f>_xlfn.XLOOKUP('01. Main'!$B869,[1]Mapping!D$2:D$24,[1]Mapping!E$2:E$24,0,0)</f>
        <v>2021</v>
      </c>
    </row>
    <row r="870" spans="1:7" x14ac:dyDescent="0.45">
      <c r="A870" s="13">
        <f>'[1]02. Matrix'!A879</f>
        <v>869</v>
      </c>
      <c r="B870" s="14">
        <f>'[1]02. Matrix'!B879</f>
        <v>8</v>
      </c>
      <c r="C870" s="14" t="str">
        <f>'[1]02. Matrix'!C879</f>
        <v>OD PERSONAL LOAN</v>
      </c>
      <c r="D870" s="14">
        <f>'[1]02. Matrix'!D879</f>
        <v>2</v>
      </c>
      <c r="E870" s="15">
        <f>'[1]02. Matrix'!E879</f>
        <v>0</v>
      </c>
      <c r="F870" s="14" t="str">
        <f>_xlfn.XLOOKUP('01. Main'!$B870,[1]Mapping!$D:$D,[1]Mapping!$A:$A,0,0)</f>
        <v>Chaitra 77</v>
      </c>
      <c r="G870" s="16">
        <f>_xlfn.XLOOKUP('01. Main'!$B870,[1]Mapping!D$2:D$24,[1]Mapping!E$2:E$24,0,0)</f>
        <v>2021</v>
      </c>
    </row>
    <row r="871" spans="1:7" x14ac:dyDescent="0.45">
      <c r="A871" s="17">
        <f>'[1]02. Matrix'!A880</f>
        <v>870</v>
      </c>
      <c r="B871" s="18">
        <f>'[1]02. Matrix'!B880</f>
        <v>8</v>
      </c>
      <c r="C871" s="18" t="str">
        <f>'[1]02. Matrix'!C880</f>
        <v>OD BUSINESS LOAN</v>
      </c>
      <c r="D871" s="18">
        <f>'[1]02. Matrix'!D880</f>
        <v>2</v>
      </c>
      <c r="E871" s="19">
        <f>'[1]02. Matrix'!E880</f>
        <v>0</v>
      </c>
      <c r="F871" s="18" t="str">
        <f>_xlfn.XLOOKUP('01. Main'!$B871,[1]Mapping!$D:$D,[1]Mapping!$A:$A,0,0)</f>
        <v>Chaitra 77</v>
      </c>
      <c r="G871" s="20">
        <f>_xlfn.XLOOKUP('01. Main'!$B871,[1]Mapping!D$2:D$24,[1]Mapping!E$2:E$24,0,0)</f>
        <v>2021</v>
      </c>
    </row>
    <row r="872" spans="1:7" x14ac:dyDescent="0.45">
      <c r="A872" s="13">
        <f>'[1]02. Matrix'!A881</f>
        <v>871</v>
      </c>
      <c r="B872" s="14">
        <f>'[1]02. Matrix'!B881</f>
        <v>8</v>
      </c>
      <c r="C872" s="14" t="str">
        <f>'[1]02. Matrix'!C881</f>
        <v>OD STAFF LOAN</v>
      </c>
      <c r="D872" s="14">
        <f>'[1]02. Matrix'!D881</f>
        <v>2</v>
      </c>
      <c r="E872" s="15">
        <f>'[1]02. Matrix'!E881</f>
        <v>0</v>
      </c>
      <c r="F872" s="14" t="str">
        <f>_xlfn.XLOOKUP('01. Main'!$B872,[1]Mapping!$D:$D,[1]Mapping!$A:$A,0,0)</f>
        <v>Chaitra 77</v>
      </c>
      <c r="G872" s="16">
        <f>_xlfn.XLOOKUP('01. Main'!$B872,[1]Mapping!D$2:D$24,[1]Mapping!E$2:E$24,0,0)</f>
        <v>2021</v>
      </c>
    </row>
    <row r="873" spans="1:7" x14ac:dyDescent="0.45">
      <c r="A873" s="17">
        <f>'[1]02. Matrix'!A882</f>
        <v>872</v>
      </c>
      <c r="B873" s="18">
        <f>'[1]02. Matrix'!B882</f>
        <v>8</v>
      </c>
      <c r="C873" s="18" t="str">
        <f>'[1]02. Matrix'!C882</f>
        <v>TERM LOAN</v>
      </c>
      <c r="D873" s="18">
        <f>'[1]02. Matrix'!D882</f>
        <v>2</v>
      </c>
      <c r="E873" s="19">
        <f>'[1]02. Matrix'!E882</f>
        <v>6.3690298745467555E-2</v>
      </c>
      <c r="F873" s="18" t="str">
        <f>_xlfn.XLOOKUP('01. Main'!$B873,[1]Mapping!$D:$D,[1]Mapping!$A:$A,0,0)</f>
        <v>Chaitra 77</v>
      </c>
      <c r="G873" s="20">
        <f>_xlfn.XLOOKUP('01. Main'!$B873,[1]Mapping!D$2:D$24,[1]Mapping!E$2:E$24,0,0)</f>
        <v>2021</v>
      </c>
    </row>
    <row r="874" spans="1:7" x14ac:dyDescent="0.45">
      <c r="A874" s="13">
        <f>'[1]02. Matrix'!A883</f>
        <v>873</v>
      </c>
      <c r="B874" s="14">
        <f>'[1]02. Matrix'!B883</f>
        <v>8</v>
      </c>
      <c r="C874" s="14" t="str">
        <f>'[1]02. Matrix'!C883</f>
        <v>WC TRADING/IND LOAN</v>
      </c>
      <c r="D874" s="14">
        <f>'[1]02. Matrix'!D883</f>
        <v>2</v>
      </c>
      <c r="E874" s="15">
        <f>'[1]02. Matrix'!E883</f>
        <v>7.3761936158340827E-2</v>
      </c>
      <c r="F874" s="14" t="str">
        <f>_xlfn.XLOOKUP('01. Main'!$B874,[1]Mapping!$D:$D,[1]Mapping!$A:$A,0,0)</f>
        <v>Chaitra 77</v>
      </c>
      <c r="G874" s="16">
        <f>_xlfn.XLOOKUP('01. Main'!$B874,[1]Mapping!D$2:D$24,[1]Mapping!E$2:E$24,0,0)</f>
        <v>2021</v>
      </c>
    </row>
    <row r="875" spans="1:7" x14ac:dyDescent="0.45">
      <c r="A875" s="17">
        <f>'[1]02. Matrix'!A884</f>
        <v>874</v>
      </c>
      <c r="B875" s="18">
        <f>'[1]02. Matrix'!B884</f>
        <v>8</v>
      </c>
      <c r="C875" s="18" t="str">
        <f>'[1]02. Matrix'!C884</f>
        <v>HOUSING LOAN</v>
      </c>
      <c r="D875" s="18">
        <f>'[1]02. Matrix'!D884</f>
        <v>2</v>
      </c>
      <c r="E875" s="19">
        <f>'[1]02. Matrix'!E884</f>
        <v>0.11315946032789265</v>
      </c>
      <c r="F875" s="18" t="str">
        <f>_xlfn.XLOOKUP('01. Main'!$B875,[1]Mapping!$D:$D,[1]Mapping!$A:$A,0,0)</f>
        <v>Chaitra 77</v>
      </c>
      <c r="G875" s="20">
        <f>_xlfn.XLOOKUP('01. Main'!$B875,[1]Mapping!D$2:D$24,[1]Mapping!E$2:E$24,0,0)</f>
        <v>2021</v>
      </c>
    </row>
    <row r="876" spans="1:7" x14ac:dyDescent="0.45">
      <c r="A876" s="13">
        <f>'[1]02. Matrix'!A885</f>
        <v>875</v>
      </c>
      <c r="B876" s="14">
        <f>'[1]02. Matrix'!B885</f>
        <v>8</v>
      </c>
      <c r="C876" s="14" t="str">
        <f>'[1]02. Matrix'!C885</f>
        <v>RESI REAL EST LOAN</v>
      </c>
      <c r="D876" s="14">
        <f>'[1]02. Matrix'!D885</f>
        <v>2</v>
      </c>
      <c r="E876" s="15">
        <f>'[1]02. Matrix'!E885</f>
        <v>0</v>
      </c>
      <c r="F876" s="14" t="str">
        <f>_xlfn.XLOOKUP('01. Main'!$B876,[1]Mapping!$D:$D,[1]Mapping!$A:$A,0,0)</f>
        <v>Chaitra 77</v>
      </c>
      <c r="G876" s="16">
        <f>_xlfn.XLOOKUP('01. Main'!$B876,[1]Mapping!D$2:D$24,[1]Mapping!E$2:E$24,0,0)</f>
        <v>2021</v>
      </c>
    </row>
    <row r="877" spans="1:7" x14ac:dyDescent="0.45">
      <c r="A877" s="17">
        <f>'[1]02. Matrix'!A886</f>
        <v>876</v>
      </c>
      <c r="B877" s="18">
        <f>'[1]02. Matrix'!B886</f>
        <v>8</v>
      </c>
      <c r="C877" s="18" t="str">
        <f>'[1]02. Matrix'!C886</f>
        <v>MARGIN NATURE LOAN</v>
      </c>
      <c r="D877" s="18">
        <f>'[1]02. Matrix'!D886</f>
        <v>2</v>
      </c>
      <c r="E877" s="19">
        <f>'[1]02. Matrix'!E886</f>
        <v>0</v>
      </c>
      <c r="F877" s="18" t="str">
        <f>_xlfn.XLOOKUP('01. Main'!$B877,[1]Mapping!$D:$D,[1]Mapping!$A:$A,0,0)</f>
        <v>Chaitra 77</v>
      </c>
      <c r="G877" s="20">
        <f>_xlfn.XLOOKUP('01. Main'!$B877,[1]Mapping!D$2:D$24,[1]Mapping!E$2:E$24,0,0)</f>
        <v>2021</v>
      </c>
    </row>
    <row r="878" spans="1:7" x14ac:dyDescent="0.45">
      <c r="A878" s="13">
        <f>'[1]02. Matrix'!A887</f>
        <v>877</v>
      </c>
      <c r="B878" s="14">
        <f>'[1]02. Matrix'!B887</f>
        <v>8</v>
      </c>
      <c r="C878" s="14" t="str">
        <f>'[1]02. Matrix'!C887</f>
        <v>HIRE PURCHASE LOAN</v>
      </c>
      <c r="D878" s="14">
        <f>'[1]02. Matrix'!D887</f>
        <v>2</v>
      </c>
      <c r="E878" s="15">
        <f>'[1]02. Matrix'!E887</f>
        <v>0.37428674142940799</v>
      </c>
      <c r="F878" s="14" t="str">
        <f>_xlfn.XLOOKUP('01. Main'!$B878,[1]Mapping!$D:$D,[1]Mapping!$A:$A,0,0)</f>
        <v>Chaitra 77</v>
      </c>
      <c r="G878" s="16">
        <f>_xlfn.XLOOKUP('01. Main'!$B878,[1]Mapping!D$2:D$24,[1]Mapping!E$2:E$24,0,0)</f>
        <v>2021</v>
      </c>
    </row>
    <row r="879" spans="1:7" x14ac:dyDescent="0.45">
      <c r="A879" s="17">
        <f>'[1]02. Matrix'!A888</f>
        <v>878</v>
      </c>
      <c r="B879" s="18">
        <f>'[1]02. Matrix'!B888</f>
        <v>8</v>
      </c>
      <c r="C879" s="18" t="str">
        <f>'[1]02. Matrix'!C888</f>
        <v>DEPRIVED SECTOR LOAN</v>
      </c>
      <c r="D879" s="18">
        <f>'[1]02. Matrix'!D888</f>
        <v>2</v>
      </c>
      <c r="E879" s="19">
        <f>'[1]02. Matrix'!E888</f>
        <v>0.10518184213179138</v>
      </c>
      <c r="F879" s="18" t="str">
        <f>_xlfn.XLOOKUP('01. Main'!$B879,[1]Mapping!$D:$D,[1]Mapping!$A:$A,0,0)</f>
        <v>Chaitra 77</v>
      </c>
      <c r="G879" s="20">
        <f>_xlfn.XLOOKUP('01. Main'!$B879,[1]Mapping!D$2:D$24,[1]Mapping!E$2:E$24,0,0)</f>
        <v>2021</v>
      </c>
    </row>
    <row r="880" spans="1:7" x14ac:dyDescent="0.45">
      <c r="A880" s="13">
        <f>'[1]02. Matrix'!A889</f>
        <v>879</v>
      </c>
      <c r="B880" s="14">
        <f>'[1]02. Matrix'!B889</f>
        <v>8</v>
      </c>
      <c r="C880" s="14" t="str">
        <f>'[1]02. Matrix'!C889</f>
        <v>EDUCATIONAL LOAN</v>
      </c>
      <c r="D880" s="14">
        <f>'[1]02. Matrix'!D889</f>
        <v>2</v>
      </c>
      <c r="E880" s="15">
        <f>'[1]02. Matrix'!E889</f>
        <v>1</v>
      </c>
      <c r="F880" s="14" t="str">
        <f>_xlfn.XLOOKUP('01. Main'!$B880,[1]Mapping!$D:$D,[1]Mapping!$A:$A,0,0)</f>
        <v>Chaitra 77</v>
      </c>
      <c r="G880" s="16">
        <f>_xlfn.XLOOKUP('01. Main'!$B880,[1]Mapping!D$2:D$24,[1]Mapping!E$2:E$24,0,0)</f>
        <v>2021</v>
      </c>
    </row>
    <row r="881" spans="1:7" x14ac:dyDescent="0.45">
      <c r="A881" s="17">
        <f>'[1]02. Matrix'!A890</f>
        <v>880</v>
      </c>
      <c r="B881" s="18">
        <f>'[1]02. Matrix'!B890</f>
        <v>8</v>
      </c>
      <c r="C881" s="18" t="str">
        <f>'[1]02. Matrix'!C890</f>
        <v>AGRICULTURE LOAN</v>
      </c>
      <c r="D881" s="18">
        <f>'[1]02. Matrix'!D890</f>
        <v>2</v>
      </c>
      <c r="E881" s="19">
        <f>'[1]02. Matrix'!E890</f>
        <v>0</v>
      </c>
      <c r="F881" s="18" t="str">
        <f>_xlfn.XLOOKUP('01. Main'!$B881,[1]Mapping!$D:$D,[1]Mapping!$A:$A,0,0)</f>
        <v>Chaitra 77</v>
      </c>
      <c r="G881" s="20">
        <f>_xlfn.XLOOKUP('01. Main'!$B881,[1]Mapping!D$2:D$24,[1]Mapping!E$2:E$24,0,0)</f>
        <v>2021</v>
      </c>
    </row>
    <row r="882" spans="1:7" x14ac:dyDescent="0.45">
      <c r="A882" s="13">
        <f>'[1]02. Matrix'!A891</f>
        <v>881</v>
      </c>
      <c r="B882" s="14">
        <f>'[1]02. Matrix'!B891</f>
        <v>8</v>
      </c>
      <c r="C882" s="14" t="str">
        <f>'[1]02. Matrix'!C891</f>
        <v>RESI PER.HOME-EMI</v>
      </c>
      <c r="D882" s="14">
        <f>'[1]02. Matrix'!D891</f>
        <v>2</v>
      </c>
      <c r="E882" s="15">
        <f>'[1]02. Matrix'!E891</f>
        <v>0</v>
      </c>
      <c r="F882" s="14" t="str">
        <f>_xlfn.XLOOKUP('01. Main'!$B882,[1]Mapping!$D:$D,[1]Mapping!$A:$A,0,0)</f>
        <v>Chaitra 77</v>
      </c>
      <c r="G882" s="16">
        <f>_xlfn.XLOOKUP('01. Main'!$B882,[1]Mapping!D$2:D$24,[1]Mapping!E$2:E$24,0,0)</f>
        <v>2021</v>
      </c>
    </row>
    <row r="883" spans="1:7" x14ac:dyDescent="0.45">
      <c r="A883" s="17">
        <f>'[1]02. Matrix'!A892</f>
        <v>882</v>
      </c>
      <c r="B883" s="18">
        <f>'[1]02. Matrix'!B892</f>
        <v>8</v>
      </c>
      <c r="C883" s="18" t="str">
        <f>'[1]02. Matrix'!C892</f>
        <v>TERM LOAN - BUSINESS</v>
      </c>
      <c r="D883" s="18">
        <f>'[1]02. Matrix'!D892</f>
        <v>2</v>
      </c>
      <c r="E883" s="19">
        <f>'[1]02. Matrix'!E892</f>
        <v>0</v>
      </c>
      <c r="F883" s="18" t="str">
        <f>_xlfn.XLOOKUP('01. Main'!$B883,[1]Mapping!$D:$D,[1]Mapping!$A:$A,0,0)</f>
        <v>Chaitra 77</v>
      </c>
      <c r="G883" s="20">
        <f>_xlfn.XLOOKUP('01. Main'!$B883,[1]Mapping!D$2:D$24,[1]Mapping!E$2:E$24,0,0)</f>
        <v>2021</v>
      </c>
    </row>
    <row r="884" spans="1:7" x14ac:dyDescent="0.45">
      <c r="A884" s="13">
        <f>'[1]02. Matrix'!A893</f>
        <v>883</v>
      </c>
      <c r="B884" s="14">
        <f>'[1]02. Matrix'!B893</f>
        <v>8</v>
      </c>
      <c r="C884" s="14" t="str">
        <f>'[1]02. Matrix'!C893</f>
        <v>CONS FIN BUSN TRM LO</v>
      </c>
      <c r="D884" s="14">
        <f>'[1]02. Matrix'!D893</f>
        <v>2</v>
      </c>
      <c r="E884" s="15">
        <f>'[1]02. Matrix'!E893</f>
        <v>0</v>
      </c>
      <c r="F884" s="14" t="str">
        <f>_xlfn.XLOOKUP('01. Main'!$B884,[1]Mapping!$D:$D,[1]Mapping!$A:$A,0,0)</f>
        <v>Chaitra 77</v>
      </c>
      <c r="G884" s="16">
        <f>_xlfn.XLOOKUP('01. Main'!$B884,[1]Mapping!D$2:D$24,[1]Mapping!E$2:E$24,0,0)</f>
        <v>2021</v>
      </c>
    </row>
    <row r="885" spans="1:7" x14ac:dyDescent="0.45">
      <c r="A885" s="17">
        <f>'[1]02. Matrix'!A894</f>
        <v>884</v>
      </c>
      <c r="B885" s="18">
        <f>'[1]02. Matrix'!B894</f>
        <v>8</v>
      </c>
      <c r="C885" s="18" t="str">
        <f>'[1]02. Matrix'!C894</f>
        <v>BIS/PERHIRE PURCHASE</v>
      </c>
      <c r="D885" s="18">
        <f>'[1]02. Matrix'!D894</f>
        <v>2</v>
      </c>
      <c r="E885" s="19">
        <f>'[1]02. Matrix'!E894</f>
        <v>1.5859813746793655E-2</v>
      </c>
      <c r="F885" s="18" t="str">
        <f>_xlfn.XLOOKUP('01. Main'!$B885,[1]Mapping!$D:$D,[1]Mapping!$A:$A,0,0)</f>
        <v>Chaitra 77</v>
      </c>
      <c r="G885" s="20">
        <f>_xlfn.XLOOKUP('01. Main'!$B885,[1]Mapping!D$2:D$24,[1]Mapping!E$2:E$24,0,0)</f>
        <v>2021</v>
      </c>
    </row>
    <row r="886" spans="1:7" x14ac:dyDescent="0.45">
      <c r="A886" s="13">
        <f>'[1]02. Matrix'!A895</f>
        <v>885</v>
      </c>
      <c r="B886" s="14">
        <f>'[1]02. Matrix'!B895</f>
        <v>8</v>
      </c>
      <c r="C886" s="14" t="str">
        <f>'[1]02. Matrix'!C895</f>
        <v xml:space="preserve">INT CAP TERM LOAN </v>
      </c>
      <c r="D886" s="14">
        <f>'[1]02. Matrix'!D895</f>
        <v>2</v>
      </c>
      <c r="E886" s="15">
        <f>'[1]02. Matrix'!E895</f>
        <v>0</v>
      </c>
      <c r="F886" s="14" t="str">
        <f>_xlfn.XLOOKUP('01. Main'!$B886,[1]Mapping!$D:$D,[1]Mapping!$A:$A,0,0)</f>
        <v>Chaitra 77</v>
      </c>
      <c r="G886" s="16">
        <f>_xlfn.XLOOKUP('01. Main'!$B886,[1]Mapping!D$2:D$24,[1]Mapping!E$2:E$24,0,0)</f>
        <v>2021</v>
      </c>
    </row>
    <row r="887" spans="1:7" x14ac:dyDescent="0.45">
      <c r="A887" s="17">
        <f>'[1]02. Matrix'!A896</f>
        <v>886</v>
      </c>
      <c r="B887" s="18">
        <f>'[1]02. Matrix'!B896</f>
        <v>8</v>
      </c>
      <c r="C887" s="18" t="str">
        <f>'[1]02. Matrix'!C896</f>
        <v>PERSONAL LOAN</v>
      </c>
      <c r="D887" s="18">
        <f>'[1]02. Matrix'!D896</f>
        <v>2</v>
      </c>
      <c r="E887" s="19">
        <f>'[1]02. Matrix'!E896</f>
        <v>0.1073355647677755</v>
      </c>
      <c r="F887" s="18" t="str">
        <f>_xlfn.XLOOKUP('01. Main'!$B887,[1]Mapping!$D:$D,[1]Mapping!$A:$A,0,0)</f>
        <v>Chaitra 77</v>
      </c>
      <c r="G887" s="20">
        <f>_xlfn.XLOOKUP('01. Main'!$B887,[1]Mapping!D$2:D$24,[1]Mapping!E$2:E$24,0,0)</f>
        <v>2021</v>
      </c>
    </row>
    <row r="888" spans="1:7" x14ac:dyDescent="0.45">
      <c r="A888" s="13">
        <f>'[1]02. Matrix'!A897</f>
        <v>887</v>
      </c>
      <c r="B888" s="14">
        <f>'[1]02. Matrix'!B897</f>
        <v>8</v>
      </c>
      <c r="C888" s="14" t="str">
        <f>'[1]02. Matrix'!C897</f>
        <v>MORTGAGE LOAN</v>
      </c>
      <c r="D888" s="14">
        <f>'[1]02. Matrix'!D897</f>
        <v>2</v>
      </c>
      <c r="E888" s="15">
        <f>'[1]02. Matrix'!E897</f>
        <v>0</v>
      </c>
      <c r="F888" s="14" t="str">
        <f>_xlfn.XLOOKUP('01. Main'!$B888,[1]Mapping!$D:$D,[1]Mapping!$A:$A,0,0)</f>
        <v>Chaitra 77</v>
      </c>
      <c r="G888" s="16">
        <f>_xlfn.XLOOKUP('01. Main'!$B888,[1]Mapping!D$2:D$24,[1]Mapping!E$2:E$24,0,0)</f>
        <v>2021</v>
      </c>
    </row>
    <row r="889" spans="1:7" x14ac:dyDescent="0.45">
      <c r="A889" s="17">
        <f>'[1]02. Matrix'!A898</f>
        <v>888</v>
      </c>
      <c r="B889" s="18">
        <f>'[1]02. Matrix'!B898</f>
        <v>8</v>
      </c>
      <c r="C889" s="18" t="str">
        <f>'[1]02. Matrix'!C898</f>
        <v>LOAN AGAINST FDR</v>
      </c>
      <c r="D889" s="18">
        <f>'[1]02. Matrix'!D898</f>
        <v>2</v>
      </c>
      <c r="E889" s="19">
        <f>'[1]02. Matrix'!E898</f>
        <v>0</v>
      </c>
      <c r="F889" s="18" t="str">
        <f>_xlfn.XLOOKUP('01. Main'!$B889,[1]Mapping!$D:$D,[1]Mapping!$A:$A,0,0)</f>
        <v>Chaitra 77</v>
      </c>
      <c r="G889" s="20">
        <f>_xlfn.XLOOKUP('01. Main'!$B889,[1]Mapping!D$2:D$24,[1]Mapping!E$2:E$24,0,0)</f>
        <v>2021</v>
      </c>
    </row>
    <row r="890" spans="1:7" x14ac:dyDescent="0.45">
      <c r="A890" s="13">
        <f>'[1]02. Matrix'!A899</f>
        <v>889</v>
      </c>
      <c r="B890" s="14">
        <f>'[1]02. Matrix'!B899</f>
        <v>8</v>
      </c>
      <c r="C890" s="14" t="str">
        <f>'[1]02. Matrix'!C899</f>
        <v>RECEIVABLE LOAN</v>
      </c>
      <c r="D890" s="14">
        <f>'[1]02. Matrix'!D899</f>
        <v>2</v>
      </c>
      <c r="E890" s="15">
        <f>'[1]02. Matrix'!E899</f>
        <v>0</v>
      </c>
      <c r="F890" s="14" t="str">
        <f>_xlfn.XLOOKUP('01. Main'!$B890,[1]Mapping!$D:$D,[1]Mapping!$A:$A,0,0)</f>
        <v>Chaitra 77</v>
      </c>
      <c r="G890" s="16">
        <f>_xlfn.XLOOKUP('01. Main'!$B890,[1]Mapping!D$2:D$24,[1]Mapping!E$2:E$24,0,0)</f>
        <v>2021</v>
      </c>
    </row>
    <row r="891" spans="1:7" x14ac:dyDescent="0.45">
      <c r="A891" s="17">
        <f>'[1]02. Matrix'!A900</f>
        <v>890</v>
      </c>
      <c r="B891" s="18">
        <f>'[1]02. Matrix'!B900</f>
        <v>8</v>
      </c>
      <c r="C891" s="18" t="str">
        <f>'[1]02. Matrix'!C900</f>
        <v>STAFF LOAN</v>
      </c>
      <c r="D891" s="18">
        <f>'[1]02. Matrix'!D900</f>
        <v>2</v>
      </c>
      <c r="E891" s="19">
        <f>'[1]02. Matrix'!E900</f>
        <v>0</v>
      </c>
      <c r="F891" s="18" t="str">
        <f>_xlfn.XLOOKUP('01. Main'!$B891,[1]Mapping!$D:$D,[1]Mapping!$A:$A,0,0)</f>
        <v>Chaitra 77</v>
      </c>
      <c r="G891" s="20">
        <f>_xlfn.XLOOKUP('01. Main'!$B891,[1]Mapping!D$2:D$24,[1]Mapping!E$2:E$24,0,0)</f>
        <v>2021</v>
      </c>
    </row>
    <row r="892" spans="1:7" x14ac:dyDescent="0.45">
      <c r="A892" s="13">
        <f>'[1]02. Matrix'!A901</f>
        <v>891</v>
      </c>
      <c r="B892" s="14">
        <f>'[1]02. Matrix'!B901</f>
        <v>8</v>
      </c>
      <c r="C892" s="14" t="str">
        <f>'[1]02. Matrix'!C901</f>
        <v>AGRICULTURAL LOAN</v>
      </c>
      <c r="D892" s="14">
        <f>'[1]02. Matrix'!D901</f>
        <v>2</v>
      </c>
      <c r="E892" s="15">
        <f>'[1]02. Matrix'!E901</f>
        <v>0</v>
      </c>
      <c r="F892" s="14" t="str">
        <f>_xlfn.XLOOKUP('01. Main'!$B892,[1]Mapping!$D:$D,[1]Mapping!$A:$A,0,0)</f>
        <v>Chaitra 77</v>
      </c>
      <c r="G892" s="16">
        <f>_xlfn.XLOOKUP('01. Main'!$B892,[1]Mapping!D$2:D$24,[1]Mapping!E$2:E$24,0,0)</f>
        <v>2021</v>
      </c>
    </row>
    <row r="893" spans="1:7" x14ac:dyDescent="0.45">
      <c r="A893" s="17">
        <f>'[1]02. Matrix'!A902</f>
        <v>892</v>
      </c>
      <c r="B893" s="18">
        <f>'[1]02. Matrix'!B902</f>
        <v>8</v>
      </c>
      <c r="C893" s="18" t="str">
        <f>'[1]02. Matrix'!C902</f>
        <v>EARTHQUAKE RELIEF LO</v>
      </c>
      <c r="D893" s="18">
        <f>'[1]02. Matrix'!D902</f>
        <v>2</v>
      </c>
      <c r="E893" s="19">
        <f>'[1]02. Matrix'!E902</f>
        <v>0</v>
      </c>
      <c r="F893" s="18" t="str">
        <f>_xlfn.XLOOKUP('01. Main'!$B893,[1]Mapping!$D:$D,[1]Mapping!$A:$A,0,0)</f>
        <v>Chaitra 77</v>
      </c>
      <c r="G893" s="20">
        <f>_xlfn.XLOOKUP('01. Main'!$B893,[1]Mapping!D$2:D$24,[1]Mapping!E$2:E$24,0,0)</f>
        <v>2021</v>
      </c>
    </row>
    <row r="894" spans="1:7" x14ac:dyDescent="0.45">
      <c r="A894" s="13">
        <f>'[1]02. Matrix'!A903</f>
        <v>893</v>
      </c>
      <c r="B894" s="14">
        <f>'[1]02. Matrix'!B903</f>
        <v>8</v>
      </c>
      <c r="C894" s="14" t="str">
        <f>'[1]02. Matrix'!C903</f>
        <v>TOURISM SECTOR LOAN</v>
      </c>
      <c r="D894" s="14">
        <f>'[1]02. Matrix'!D903</f>
        <v>2</v>
      </c>
      <c r="E894" s="15">
        <f>'[1]02. Matrix'!E903</f>
        <v>0</v>
      </c>
      <c r="F894" s="14" t="str">
        <f>_xlfn.XLOOKUP('01. Main'!$B894,[1]Mapping!$D:$D,[1]Mapping!$A:$A,0,0)</f>
        <v>Chaitra 77</v>
      </c>
      <c r="G894" s="16">
        <f>_xlfn.XLOOKUP('01. Main'!$B894,[1]Mapping!D$2:D$24,[1]Mapping!E$2:E$24,0,0)</f>
        <v>2021</v>
      </c>
    </row>
    <row r="895" spans="1:7" x14ac:dyDescent="0.45">
      <c r="A895" s="17">
        <f>'[1]02. Matrix'!A904</f>
        <v>894</v>
      </c>
      <c r="B895" s="18">
        <f>'[1]02. Matrix'!B904</f>
        <v>8</v>
      </c>
      <c r="C895" s="18" t="str">
        <f>'[1]02. Matrix'!C904</f>
        <v>SME LOAN</v>
      </c>
      <c r="D895" s="18">
        <f>'[1]02. Matrix'!D904</f>
        <v>2</v>
      </c>
      <c r="E895" s="19">
        <f>'[1]02. Matrix'!E904</f>
        <v>0</v>
      </c>
      <c r="F895" s="18" t="str">
        <f>_xlfn.XLOOKUP('01. Main'!$B895,[1]Mapping!$D:$D,[1]Mapping!$A:$A,0,0)</f>
        <v>Chaitra 77</v>
      </c>
      <c r="G895" s="20">
        <f>_xlfn.XLOOKUP('01. Main'!$B895,[1]Mapping!D$2:D$24,[1]Mapping!E$2:E$24,0,0)</f>
        <v>2021</v>
      </c>
    </row>
    <row r="896" spans="1:7" x14ac:dyDescent="0.45">
      <c r="A896" s="13">
        <f>'[1]02. Matrix'!A905</f>
        <v>895</v>
      </c>
      <c r="B896" s="14">
        <f>'[1]02. Matrix'!B905</f>
        <v>8</v>
      </c>
      <c r="C896" s="14" t="str">
        <f>'[1]02. Matrix'!C905</f>
        <v>EDUCATIONAL LOAN EMI</v>
      </c>
      <c r="D896" s="14">
        <f>'[1]02. Matrix'!D905</f>
        <v>2</v>
      </c>
      <c r="E896" s="15">
        <f>'[1]02. Matrix'!E905</f>
        <v>0</v>
      </c>
      <c r="F896" s="14" t="str">
        <f>_xlfn.XLOOKUP('01. Main'!$B896,[1]Mapping!$D:$D,[1]Mapping!$A:$A,0,0)</f>
        <v>Chaitra 77</v>
      </c>
      <c r="G896" s="16">
        <f>_xlfn.XLOOKUP('01. Main'!$B896,[1]Mapping!D$2:D$24,[1]Mapping!E$2:E$24,0,0)</f>
        <v>2021</v>
      </c>
    </row>
    <row r="897" spans="1:7" x14ac:dyDescent="0.45">
      <c r="A897" s="17">
        <f>'[1]02. Matrix'!A906</f>
        <v>896</v>
      </c>
      <c r="B897" s="18">
        <f>'[1]02. Matrix'!B906</f>
        <v>8</v>
      </c>
      <c r="C897" s="18" t="str">
        <f>'[1]02. Matrix'!C906</f>
        <v>OVERDRAFT PROFESSION</v>
      </c>
      <c r="D897" s="18">
        <f>'[1]02. Matrix'!D906</f>
        <v>2</v>
      </c>
      <c r="E897" s="19">
        <f>'[1]02. Matrix'!E906</f>
        <v>0</v>
      </c>
      <c r="F897" s="18" t="str">
        <f>_xlfn.XLOOKUP('01. Main'!$B897,[1]Mapping!$D:$D,[1]Mapping!$A:$A,0,0)</f>
        <v>Chaitra 77</v>
      </c>
      <c r="G897" s="20">
        <f>_xlfn.XLOOKUP('01. Main'!$B897,[1]Mapping!D$2:D$24,[1]Mapping!E$2:E$24,0,0)</f>
        <v>2021</v>
      </c>
    </row>
    <row r="898" spans="1:7" x14ac:dyDescent="0.45">
      <c r="A898" s="13">
        <f>'[1]02. Matrix'!A907</f>
        <v>897</v>
      </c>
      <c r="B898" s="14">
        <f>'[1]02. Matrix'!B907</f>
        <v>7</v>
      </c>
      <c r="C898" s="14" t="str">
        <f>'[1]02. Matrix'!C907</f>
        <v>OD PERSONAL LOAN</v>
      </c>
      <c r="D898" s="14">
        <f>'[1]02. Matrix'!D907</f>
        <v>1</v>
      </c>
      <c r="E898" s="15">
        <f>'[1]02. Matrix'!E907</f>
        <v>0</v>
      </c>
      <c r="F898" s="14" t="str">
        <f>_xlfn.XLOOKUP('01. Main'!$B898,[1]Mapping!$D:$D,[1]Mapping!$A:$A,0,0)</f>
        <v>Poush 77</v>
      </c>
      <c r="G898" s="16">
        <f>_xlfn.XLOOKUP('01. Main'!$B898,[1]Mapping!D$2:D$24,[1]Mapping!E$2:E$24,0,0)</f>
        <v>2020</v>
      </c>
    </row>
    <row r="899" spans="1:7" x14ac:dyDescent="0.45">
      <c r="A899" s="17">
        <f>'[1]02. Matrix'!A908</f>
        <v>898</v>
      </c>
      <c r="B899" s="18">
        <f>'[1]02. Matrix'!B908</f>
        <v>7</v>
      </c>
      <c r="C899" s="18" t="str">
        <f>'[1]02. Matrix'!C908</f>
        <v>OD BUSINESS LOAN</v>
      </c>
      <c r="D899" s="18">
        <f>'[1]02. Matrix'!D908</f>
        <v>1</v>
      </c>
      <c r="E899" s="19">
        <f>'[1]02. Matrix'!E908</f>
        <v>0</v>
      </c>
      <c r="F899" s="18" t="str">
        <f>_xlfn.XLOOKUP('01. Main'!$B899,[1]Mapping!$D:$D,[1]Mapping!$A:$A,0,0)</f>
        <v>Poush 77</v>
      </c>
      <c r="G899" s="20">
        <f>_xlfn.XLOOKUP('01. Main'!$B899,[1]Mapping!D$2:D$24,[1]Mapping!E$2:E$24,0,0)</f>
        <v>2020</v>
      </c>
    </row>
    <row r="900" spans="1:7" x14ac:dyDescent="0.45">
      <c r="A900" s="13">
        <f>'[1]02. Matrix'!A909</f>
        <v>899</v>
      </c>
      <c r="B900" s="14">
        <f>'[1]02. Matrix'!B909</f>
        <v>7</v>
      </c>
      <c r="C900" s="14" t="str">
        <f>'[1]02. Matrix'!C909</f>
        <v>OD STAFF LOAN</v>
      </c>
      <c r="D900" s="14">
        <f>'[1]02. Matrix'!D909</f>
        <v>1</v>
      </c>
      <c r="E900" s="15">
        <f>'[1]02. Matrix'!E909</f>
        <v>0</v>
      </c>
      <c r="F900" s="14" t="str">
        <f>_xlfn.XLOOKUP('01. Main'!$B900,[1]Mapping!$D:$D,[1]Mapping!$A:$A,0,0)</f>
        <v>Poush 77</v>
      </c>
      <c r="G900" s="16">
        <f>_xlfn.XLOOKUP('01. Main'!$B900,[1]Mapping!D$2:D$24,[1]Mapping!E$2:E$24,0,0)</f>
        <v>2020</v>
      </c>
    </row>
    <row r="901" spans="1:7" x14ac:dyDescent="0.45">
      <c r="A901" s="17">
        <f>'[1]02. Matrix'!A910</f>
        <v>900</v>
      </c>
      <c r="B901" s="18">
        <f>'[1]02. Matrix'!B910</f>
        <v>7</v>
      </c>
      <c r="C901" s="18" t="str">
        <f>'[1]02. Matrix'!C910</f>
        <v>TERM LOAN</v>
      </c>
      <c r="D901" s="18">
        <f>'[1]02. Matrix'!D910</f>
        <v>1</v>
      </c>
      <c r="E901" s="19">
        <f>'[1]02. Matrix'!E910</f>
        <v>1.7885411056569177E-2</v>
      </c>
      <c r="F901" s="18" t="str">
        <f>_xlfn.XLOOKUP('01. Main'!$B901,[1]Mapping!$D:$D,[1]Mapping!$A:$A,0,0)</f>
        <v>Poush 77</v>
      </c>
      <c r="G901" s="20">
        <f>_xlfn.XLOOKUP('01. Main'!$B901,[1]Mapping!D$2:D$24,[1]Mapping!E$2:E$24,0,0)</f>
        <v>2020</v>
      </c>
    </row>
    <row r="902" spans="1:7" x14ac:dyDescent="0.45">
      <c r="A902" s="13">
        <f>'[1]02. Matrix'!A911</f>
        <v>901</v>
      </c>
      <c r="B902" s="14">
        <f>'[1]02. Matrix'!B911</f>
        <v>7</v>
      </c>
      <c r="C902" s="14" t="str">
        <f>'[1]02. Matrix'!C911</f>
        <v>WC TRADING/IND LOAN</v>
      </c>
      <c r="D902" s="14">
        <f>'[1]02. Matrix'!D911</f>
        <v>1</v>
      </c>
      <c r="E902" s="15">
        <f>'[1]02. Matrix'!E911</f>
        <v>3.1824090906875581E-2</v>
      </c>
      <c r="F902" s="14" t="str">
        <f>_xlfn.XLOOKUP('01. Main'!$B902,[1]Mapping!$D:$D,[1]Mapping!$A:$A,0,0)</f>
        <v>Poush 77</v>
      </c>
      <c r="G902" s="16">
        <f>_xlfn.XLOOKUP('01. Main'!$B902,[1]Mapping!D$2:D$24,[1]Mapping!E$2:E$24,0,0)</f>
        <v>2020</v>
      </c>
    </row>
    <row r="903" spans="1:7" x14ac:dyDescent="0.45">
      <c r="A903" s="17">
        <f>'[1]02. Matrix'!A912</f>
        <v>902</v>
      </c>
      <c r="B903" s="18">
        <f>'[1]02. Matrix'!B912</f>
        <v>7</v>
      </c>
      <c r="C903" s="18" t="str">
        <f>'[1]02. Matrix'!C912</f>
        <v>HOUSING LOAN</v>
      </c>
      <c r="D903" s="18">
        <f>'[1]02. Matrix'!D912</f>
        <v>1</v>
      </c>
      <c r="E903" s="19">
        <f>'[1]02. Matrix'!E912</f>
        <v>3.4008724246098E-2</v>
      </c>
      <c r="F903" s="18" t="str">
        <f>_xlfn.XLOOKUP('01. Main'!$B903,[1]Mapping!$D:$D,[1]Mapping!$A:$A,0,0)</f>
        <v>Poush 77</v>
      </c>
      <c r="G903" s="20">
        <f>_xlfn.XLOOKUP('01. Main'!$B903,[1]Mapping!D$2:D$24,[1]Mapping!E$2:E$24,0,0)</f>
        <v>2020</v>
      </c>
    </row>
    <row r="904" spans="1:7" x14ac:dyDescent="0.45">
      <c r="A904" s="13">
        <f>'[1]02. Matrix'!A913</f>
        <v>903</v>
      </c>
      <c r="B904" s="14">
        <f>'[1]02. Matrix'!B913</f>
        <v>7</v>
      </c>
      <c r="C904" s="14" t="str">
        <f>'[1]02. Matrix'!C913</f>
        <v>RESI REAL EST LOAN</v>
      </c>
      <c r="D904" s="14">
        <f>'[1]02. Matrix'!D913</f>
        <v>1</v>
      </c>
      <c r="E904" s="15">
        <f>'[1]02. Matrix'!E913</f>
        <v>0</v>
      </c>
      <c r="F904" s="14" t="str">
        <f>_xlfn.XLOOKUP('01. Main'!$B904,[1]Mapping!$D:$D,[1]Mapping!$A:$A,0,0)</f>
        <v>Poush 77</v>
      </c>
      <c r="G904" s="16">
        <f>_xlfn.XLOOKUP('01. Main'!$B904,[1]Mapping!D$2:D$24,[1]Mapping!E$2:E$24,0,0)</f>
        <v>2020</v>
      </c>
    </row>
    <row r="905" spans="1:7" x14ac:dyDescent="0.45">
      <c r="A905" s="17">
        <f>'[1]02. Matrix'!A914</f>
        <v>904</v>
      </c>
      <c r="B905" s="18">
        <f>'[1]02. Matrix'!B914</f>
        <v>7</v>
      </c>
      <c r="C905" s="18" t="str">
        <f>'[1]02. Matrix'!C914</f>
        <v>MARGIN NATURE LOAN</v>
      </c>
      <c r="D905" s="18">
        <f>'[1]02. Matrix'!D914</f>
        <v>1</v>
      </c>
      <c r="E905" s="19">
        <f>'[1]02. Matrix'!E914</f>
        <v>0</v>
      </c>
      <c r="F905" s="18" t="str">
        <f>_xlfn.XLOOKUP('01. Main'!$B905,[1]Mapping!$D:$D,[1]Mapping!$A:$A,0,0)</f>
        <v>Poush 77</v>
      </c>
      <c r="G905" s="20">
        <f>_xlfn.XLOOKUP('01. Main'!$B905,[1]Mapping!D$2:D$24,[1]Mapping!E$2:E$24,0,0)</f>
        <v>2020</v>
      </c>
    </row>
    <row r="906" spans="1:7" x14ac:dyDescent="0.45">
      <c r="A906" s="13">
        <f>'[1]02. Matrix'!A915</f>
        <v>905</v>
      </c>
      <c r="B906" s="14">
        <f>'[1]02. Matrix'!B915</f>
        <v>7</v>
      </c>
      <c r="C906" s="14" t="str">
        <f>'[1]02. Matrix'!C915</f>
        <v>HIRE PURCHASE LOAN</v>
      </c>
      <c r="D906" s="14">
        <f>'[1]02. Matrix'!D915</f>
        <v>1</v>
      </c>
      <c r="E906" s="15">
        <f>'[1]02. Matrix'!E915</f>
        <v>1.5804606833484568E-2</v>
      </c>
      <c r="F906" s="14" t="str">
        <f>_xlfn.XLOOKUP('01. Main'!$B906,[1]Mapping!$D:$D,[1]Mapping!$A:$A,0,0)</f>
        <v>Poush 77</v>
      </c>
      <c r="G906" s="16">
        <f>_xlfn.XLOOKUP('01. Main'!$B906,[1]Mapping!D$2:D$24,[1]Mapping!E$2:E$24,0,0)</f>
        <v>2020</v>
      </c>
    </row>
    <row r="907" spans="1:7" x14ac:dyDescent="0.45">
      <c r="A907" s="17">
        <f>'[1]02. Matrix'!A916</f>
        <v>906</v>
      </c>
      <c r="B907" s="18">
        <f>'[1]02. Matrix'!B916</f>
        <v>7</v>
      </c>
      <c r="C907" s="18" t="str">
        <f>'[1]02. Matrix'!C916</f>
        <v>DEPRIVED SECTOR LOAN</v>
      </c>
      <c r="D907" s="18">
        <f>'[1]02. Matrix'!D916</f>
        <v>1</v>
      </c>
      <c r="E907" s="19">
        <f>'[1]02. Matrix'!E916</f>
        <v>9.4247026652508406E-4</v>
      </c>
      <c r="F907" s="18" t="str">
        <f>_xlfn.XLOOKUP('01. Main'!$B907,[1]Mapping!$D:$D,[1]Mapping!$A:$A,0,0)</f>
        <v>Poush 77</v>
      </c>
      <c r="G907" s="20">
        <f>_xlfn.XLOOKUP('01. Main'!$B907,[1]Mapping!D$2:D$24,[1]Mapping!E$2:E$24,0,0)</f>
        <v>2020</v>
      </c>
    </row>
    <row r="908" spans="1:7" x14ac:dyDescent="0.45">
      <c r="A908" s="13">
        <f>'[1]02. Matrix'!A917</f>
        <v>907</v>
      </c>
      <c r="B908" s="14">
        <f>'[1]02. Matrix'!B917</f>
        <v>7</v>
      </c>
      <c r="C908" s="14" t="str">
        <f>'[1]02. Matrix'!C917</f>
        <v>EDUCATIONAL LOAN</v>
      </c>
      <c r="D908" s="14">
        <f>'[1]02. Matrix'!D917</f>
        <v>1</v>
      </c>
      <c r="E908" s="15">
        <f>'[1]02. Matrix'!E917</f>
        <v>0</v>
      </c>
      <c r="F908" s="14" t="str">
        <f>_xlfn.XLOOKUP('01. Main'!$B908,[1]Mapping!$D:$D,[1]Mapping!$A:$A,0,0)</f>
        <v>Poush 77</v>
      </c>
      <c r="G908" s="16">
        <f>_xlfn.XLOOKUP('01. Main'!$B908,[1]Mapping!D$2:D$24,[1]Mapping!E$2:E$24,0,0)</f>
        <v>2020</v>
      </c>
    </row>
    <row r="909" spans="1:7" x14ac:dyDescent="0.45">
      <c r="A909" s="17">
        <f>'[1]02. Matrix'!A918</f>
        <v>908</v>
      </c>
      <c r="B909" s="18">
        <f>'[1]02. Matrix'!B918</f>
        <v>7</v>
      </c>
      <c r="C909" s="18" t="str">
        <f>'[1]02. Matrix'!C918</f>
        <v>AGRICULTURE LOAN</v>
      </c>
      <c r="D909" s="18">
        <f>'[1]02. Matrix'!D918</f>
        <v>1</v>
      </c>
      <c r="E909" s="19">
        <f>'[1]02. Matrix'!E918</f>
        <v>1.6983954370702423E-2</v>
      </c>
      <c r="F909" s="18" t="str">
        <f>_xlfn.XLOOKUP('01. Main'!$B909,[1]Mapping!$D:$D,[1]Mapping!$A:$A,0,0)</f>
        <v>Poush 77</v>
      </c>
      <c r="G909" s="20">
        <f>_xlfn.XLOOKUP('01. Main'!$B909,[1]Mapping!D$2:D$24,[1]Mapping!E$2:E$24,0,0)</f>
        <v>2020</v>
      </c>
    </row>
    <row r="910" spans="1:7" x14ac:dyDescent="0.45">
      <c r="A910" s="13">
        <f>'[1]02. Matrix'!A919</f>
        <v>909</v>
      </c>
      <c r="B910" s="14">
        <f>'[1]02. Matrix'!B919</f>
        <v>7</v>
      </c>
      <c r="C910" s="14" t="str">
        <f>'[1]02. Matrix'!C919</f>
        <v>RESI PER.HOME-EMI</v>
      </c>
      <c r="D910" s="14">
        <f>'[1]02. Matrix'!D919</f>
        <v>1</v>
      </c>
      <c r="E910" s="15">
        <f>'[1]02. Matrix'!E919</f>
        <v>2.3707386068005216E-2</v>
      </c>
      <c r="F910" s="14" t="str">
        <f>_xlfn.XLOOKUP('01. Main'!$B910,[1]Mapping!$D:$D,[1]Mapping!$A:$A,0,0)</f>
        <v>Poush 77</v>
      </c>
      <c r="G910" s="16">
        <f>_xlfn.XLOOKUP('01. Main'!$B910,[1]Mapping!D$2:D$24,[1]Mapping!E$2:E$24,0,0)</f>
        <v>2020</v>
      </c>
    </row>
    <row r="911" spans="1:7" x14ac:dyDescent="0.45">
      <c r="A911" s="17">
        <f>'[1]02. Matrix'!A920</f>
        <v>910</v>
      </c>
      <c r="B911" s="18">
        <f>'[1]02. Matrix'!B920</f>
        <v>7</v>
      </c>
      <c r="C911" s="18" t="str">
        <f>'[1]02. Matrix'!C920</f>
        <v>TERM LOAN - BUSINESS</v>
      </c>
      <c r="D911" s="18">
        <f>'[1]02. Matrix'!D920</f>
        <v>1</v>
      </c>
      <c r="E911" s="19">
        <f>'[1]02. Matrix'!E920</f>
        <v>0</v>
      </c>
      <c r="F911" s="18" t="str">
        <f>_xlfn.XLOOKUP('01. Main'!$B911,[1]Mapping!$D:$D,[1]Mapping!$A:$A,0,0)</f>
        <v>Poush 77</v>
      </c>
      <c r="G911" s="20">
        <f>_xlfn.XLOOKUP('01. Main'!$B911,[1]Mapping!D$2:D$24,[1]Mapping!E$2:E$24,0,0)</f>
        <v>2020</v>
      </c>
    </row>
    <row r="912" spans="1:7" x14ac:dyDescent="0.45">
      <c r="A912" s="13">
        <f>'[1]02. Matrix'!A921</f>
        <v>911</v>
      </c>
      <c r="B912" s="14">
        <f>'[1]02. Matrix'!B921</f>
        <v>7</v>
      </c>
      <c r="C912" s="14" t="str">
        <f>'[1]02. Matrix'!C921</f>
        <v>CONS FIN BUSN TRM LO</v>
      </c>
      <c r="D912" s="14">
        <f>'[1]02. Matrix'!D921</f>
        <v>1</v>
      </c>
      <c r="E912" s="15">
        <f>'[1]02. Matrix'!E921</f>
        <v>0</v>
      </c>
      <c r="F912" s="14" t="str">
        <f>_xlfn.XLOOKUP('01. Main'!$B912,[1]Mapping!$D:$D,[1]Mapping!$A:$A,0,0)</f>
        <v>Poush 77</v>
      </c>
      <c r="G912" s="16">
        <f>_xlfn.XLOOKUP('01. Main'!$B912,[1]Mapping!D$2:D$24,[1]Mapping!E$2:E$24,0,0)</f>
        <v>2020</v>
      </c>
    </row>
    <row r="913" spans="1:7" x14ac:dyDescent="0.45">
      <c r="A913" s="17">
        <f>'[1]02. Matrix'!A922</f>
        <v>912</v>
      </c>
      <c r="B913" s="18">
        <f>'[1]02. Matrix'!B922</f>
        <v>7</v>
      </c>
      <c r="C913" s="18" t="str">
        <f>'[1]02. Matrix'!C922</f>
        <v>BIS/PERHIRE PURCHASE</v>
      </c>
      <c r="D913" s="18">
        <f>'[1]02. Matrix'!D922</f>
        <v>1</v>
      </c>
      <c r="E913" s="19">
        <f>'[1]02. Matrix'!E922</f>
        <v>9.2049408202809699E-3</v>
      </c>
      <c r="F913" s="18" t="str">
        <f>_xlfn.XLOOKUP('01. Main'!$B913,[1]Mapping!$D:$D,[1]Mapping!$A:$A,0,0)</f>
        <v>Poush 77</v>
      </c>
      <c r="G913" s="20">
        <f>_xlfn.XLOOKUP('01. Main'!$B913,[1]Mapping!D$2:D$24,[1]Mapping!E$2:E$24,0,0)</f>
        <v>2020</v>
      </c>
    </row>
    <row r="914" spans="1:7" x14ac:dyDescent="0.45">
      <c r="A914" s="13">
        <f>'[1]02. Matrix'!A923</f>
        <v>913</v>
      </c>
      <c r="B914" s="14">
        <f>'[1]02. Matrix'!B923</f>
        <v>7</v>
      </c>
      <c r="C914" s="14" t="str">
        <f>'[1]02. Matrix'!C923</f>
        <v xml:space="preserve">INT CAP TERM LOAN </v>
      </c>
      <c r="D914" s="14">
        <f>'[1]02. Matrix'!D923</f>
        <v>1</v>
      </c>
      <c r="E914" s="15">
        <f>'[1]02. Matrix'!E923</f>
        <v>0</v>
      </c>
      <c r="F914" s="14" t="str">
        <f>_xlfn.XLOOKUP('01. Main'!$B914,[1]Mapping!$D:$D,[1]Mapping!$A:$A,0,0)</f>
        <v>Poush 77</v>
      </c>
      <c r="G914" s="16">
        <f>_xlfn.XLOOKUP('01. Main'!$B914,[1]Mapping!D$2:D$24,[1]Mapping!E$2:E$24,0,0)</f>
        <v>2020</v>
      </c>
    </row>
    <row r="915" spans="1:7" x14ac:dyDescent="0.45">
      <c r="A915" s="17">
        <f>'[1]02. Matrix'!A924</f>
        <v>914</v>
      </c>
      <c r="B915" s="18">
        <f>'[1]02. Matrix'!B924</f>
        <v>7</v>
      </c>
      <c r="C915" s="18" t="str">
        <f>'[1]02. Matrix'!C924</f>
        <v>PERSONAL LOAN</v>
      </c>
      <c r="D915" s="18">
        <f>'[1]02. Matrix'!D924</f>
        <v>1</v>
      </c>
      <c r="E915" s="19">
        <f>'[1]02. Matrix'!E924</f>
        <v>2.3322060757486718E-2</v>
      </c>
      <c r="F915" s="18" t="str">
        <f>_xlfn.XLOOKUP('01. Main'!$B915,[1]Mapping!$D:$D,[1]Mapping!$A:$A,0,0)</f>
        <v>Poush 77</v>
      </c>
      <c r="G915" s="20">
        <f>_xlfn.XLOOKUP('01. Main'!$B915,[1]Mapping!D$2:D$24,[1]Mapping!E$2:E$24,0,0)</f>
        <v>2020</v>
      </c>
    </row>
    <row r="916" spans="1:7" x14ac:dyDescent="0.45">
      <c r="A916" s="13">
        <f>'[1]02. Matrix'!A925</f>
        <v>915</v>
      </c>
      <c r="B916" s="14">
        <f>'[1]02. Matrix'!B925</f>
        <v>7</v>
      </c>
      <c r="C916" s="14" t="str">
        <f>'[1]02. Matrix'!C925</f>
        <v>MORTGAGE LOAN</v>
      </c>
      <c r="D916" s="14">
        <f>'[1]02. Matrix'!D925</f>
        <v>1</v>
      </c>
      <c r="E916" s="15">
        <f>'[1]02. Matrix'!E925</f>
        <v>0</v>
      </c>
      <c r="F916" s="14" t="str">
        <f>_xlfn.XLOOKUP('01. Main'!$B916,[1]Mapping!$D:$D,[1]Mapping!$A:$A,0,0)</f>
        <v>Poush 77</v>
      </c>
      <c r="G916" s="16">
        <f>_xlfn.XLOOKUP('01. Main'!$B916,[1]Mapping!D$2:D$24,[1]Mapping!E$2:E$24,0,0)</f>
        <v>2020</v>
      </c>
    </row>
    <row r="917" spans="1:7" x14ac:dyDescent="0.45">
      <c r="A917" s="17">
        <f>'[1]02. Matrix'!A926</f>
        <v>916</v>
      </c>
      <c r="B917" s="18">
        <f>'[1]02. Matrix'!B926</f>
        <v>7</v>
      </c>
      <c r="C917" s="18" t="str">
        <f>'[1]02. Matrix'!C926</f>
        <v>LOAN AGAINST FDR</v>
      </c>
      <c r="D917" s="18">
        <f>'[1]02. Matrix'!D926</f>
        <v>1</v>
      </c>
      <c r="E917" s="19">
        <f>'[1]02. Matrix'!E926</f>
        <v>0</v>
      </c>
      <c r="F917" s="18" t="str">
        <f>_xlfn.XLOOKUP('01. Main'!$B917,[1]Mapping!$D:$D,[1]Mapping!$A:$A,0,0)</f>
        <v>Poush 77</v>
      </c>
      <c r="G917" s="20">
        <f>_xlfn.XLOOKUP('01. Main'!$B917,[1]Mapping!D$2:D$24,[1]Mapping!E$2:E$24,0,0)</f>
        <v>2020</v>
      </c>
    </row>
    <row r="918" spans="1:7" x14ac:dyDescent="0.45">
      <c r="A918" s="13">
        <f>'[1]02. Matrix'!A927</f>
        <v>917</v>
      </c>
      <c r="B918" s="14">
        <f>'[1]02. Matrix'!B927</f>
        <v>7</v>
      </c>
      <c r="C918" s="14" t="str">
        <f>'[1]02. Matrix'!C927</f>
        <v>RECEIVABLE LOAN</v>
      </c>
      <c r="D918" s="14">
        <f>'[1]02. Matrix'!D927</f>
        <v>1</v>
      </c>
      <c r="E918" s="15">
        <f>'[1]02. Matrix'!E927</f>
        <v>0</v>
      </c>
      <c r="F918" s="14" t="str">
        <f>_xlfn.XLOOKUP('01. Main'!$B918,[1]Mapping!$D:$D,[1]Mapping!$A:$A,0,0)</f>
        <v>Poush 77</v>
      </c>
      <c r="G918" s="16">
        <f>_xlfn.XLOOKUP('01. Main'!$B918,[1]Mapping!D$2:D$24,[1]Mapping!E$2:E$24,0,0)</f>
        <v>2020</v>
      </c>
    </row>
    <row r="919" spans="1:7" x14ac:dyDescent="0.45">
      <c r="A919" s="17">
        <f>'[1]02. Matrix'!A928</f>
        <v>918</v>
      </c>
      <c r="B919" s="18">
        <f>'[1]02. Matrix'!B928</f>
        <v>7</v>
      </c>
      <c r="C919" s="18" t="str">
        <f>'[1]02. Matrix'!C928</f>
        <v>STAFF LOAN</v>
      </c>
      <c r="D919" s="18">
        <f>'[1]02. Matrix'!D928</f>
        <v>1</v>
      </c>
      <c r="E919" s="19">
        <f>'[1]02. Matrix'!E928</f>
        <v>0</v>
      </c>
      <c r="F919" s="18" t="str">
        <f>_xlfn.XLOOKUP('01. Main'!$B919,[1]Mapping!$D:$D,[1]Mapping!$A:$A,0,0)</f>
        <v>Poush 77</v>
      </c>
      <c r="G919" s="20">
        <f>_xlfn.XLOOKUP('01. Main'!$B919,[1]Mapping!D$2:D$24,[1]Mapping!E$2:E$24,0,0)</f>
        <v>2020</v>
      </c>
    </row>
    <row r="920" spans="1:7" x14ac:dyDescent="0.45">
      <c r="A920" s="13">
        <f>'[1]02. Matrix'!A929</f>
        <v>919</v>
      </c>
      <c r="B920" s="14">
        <f>'[1]02. Matrix'!B929</f>
        <v>7</v>
      </c>
      <c r="C920" s="14" t="str">
        <f>'[1]02. Matrix'!C929</f>
        <v>AGRICULTURAL LOAN</v>
      </c>
      <c r="D920" s="14">
        <f>'[1]02. Matrix'!D929</f>
        <v>1</v>
      </c>
      <c r="E920" s="15">
        <f>'[1]02. Matrix'!E929</f>
        <v>0</v>
      </c>
      <c r="F920" s="14" t="str">
        <f>_xlfn.XLOOKUP('01. Main'!$B920,[1]Mapping!$D:$D,[1]Mapping!$A:$A,0,0)</f>
        <v>Poush 77</v>
      </c>
      <c r="G920" s="16">
        <f>_xlfn.XLOOKUP('01. Main'!$B920,[1]Mapping!D$2:D$24,[1]Mapping!E$2:E$24,0,0)</f>
        <v>2020</v>
      </c>
    </row>
    <row r="921" spans="1:7" x14ac:dyDescent="0.45">
      <c r="A921" s="17">
        <f>'[1]02. Matrix'!A930</f>
        <v>920</v>
      </c>
      <c r="B921" s="18">
        <f>'[1]02. Matrix'!B930</f>
        <v>7</v>
      </c>
      <c r="C921" s="18" t="str">
        <f>'[1]02. Matrix'!C930</f>
        <v>EARTHQUAKE RELIEF LO</v>
      </c>
      <c r="D921" s="18">
        <f>'[1]02. Matrix'!D930</f>
        <v>1</v>
      </c>
      <c r="E921" s="19">
        <f>'[1]02. Matrix'!E930</f>
        <v>0</v>
      </c>
      <c r="F921" s="18" t="str">
        <f>_xlfn.XLOOKUP('01. Main'!$B921,[1]Mapping!$D:$D,[1]Mapping!$A:$A,0,0)</f>
        <v>Poush 77</v>
      </c>
      <c r="G921" s="20">
        <f>_xlfn.XLOOKUP('01. Main'!$B921,[1]Mapping!D$2:D$24,[1]Mapping!E$2:E$24,0,0)</f>
        <v>2020</v>
      </c>
    </row>
    <row r="922" spans="1:7" x14ac:dyDescent="0.45">
      <c r="A922" s="13">
        <f>'[1]02. Matrix'!A931</f>
        <v>921</v>
      </c>
      <c r="B922" s="14">
        <f>'[1]02. Matrix'!B931</f>
        <v>7</v>
      </c>
      <c r="C922" s="14" t="str">
        <f>'[1]02. Matrix'!C931</f>
        <v>TOURISM SECTOR LOAN</v>
      </c>
      <c r="D922" s="14">
        <f>'[1]02. Matrix'!D931</f>
        <v>1</v>
      </c>
      <c r="E922" s="15">
        <f>'[1]02. Matrix'!E931</f>
        <v>0</v>
      </c>
      <c r="F922" s="14" t="str">
        <f>_xlfn.XLOOKUP('01. Main'!$B922,[1]Mapping!$D:$D,[1]Mapping!$A:$A,0,0)</f>
        <v>Poush 77</v>
      </c>
      <c r="G922" s="16">
        <f>_xlfn.XLOOKUP('01. Main'!$B922,[1]Mapping!D$2:D$24,[1]Mapping!E$2:E$24,0,0)</f>
        <v>2020</v>
      </c>
    </row>
    <row r="923" spans="1:7" x14ac:dyDescent="0.45">
      <c r="A923" s="17">
        <f>'[1]02. Matrix'!A932</f>
        <v>922</v>
      </c>
      <c r="B923" s="18">
        <f>'[1]02. Matrix'!B932</f>
        <v>7</v>
      </c>
      <c r="C923" s="18" t="str">
        <f>'[1]02. Matrix'!C932</f>
        <v>SME LOAN</v>
      </c>
      <c r="D923" s="18">
        <f>'[1]02. Matrix'!D932</f>
        <v>1</v>
      </c>
      <c r="E923" s="19">
        <f>'[1]02. Matrix'!E932</f>
        <v>0.3013511228620247</v>
      </c>
      <c r="F923" s="18" t="str">
        <f>_xlfn.XLOOKUP('01. Main'!$B923,[1]Mapping!$D:$D,[1]Mapping!$A:$A,0,0)</f>
        <v>Poush 77</v>
      </c>
      <c r="G923" s="20">
        <f>_xlfn.XLOOKUP('01. Main'!$B923,[1]Mapping!D$2:D$24,[1]Mapping!E$2:E$24,0,0)</f>
        <v>2020</v>
      </c>
    </row>
    <row r="924" spans="1:7" x14ac:dyDescent="0.45">
      <c r="A924" s="13">
        <f>'[1]02. Matrix'!A933</f>
        <v>923</v>
      </c>
      <c r="B924" s="14">
        <f>'[1]02. Matrix'!B933</f>
        <v>7</v>
      </c>
      <c r="C924" s="14" t="str">
        <f>'[1]02. Matrix'!C933</f>
        <v>EDUCATIONAL LOAN EMI</v>
      </c>
      <c r="D924" s="14">
        <f>'[1]02. Matrix'!D933</f>
        <v>1</v>
      </c>
      <c r="E924" s="15">
        <f>'[1]02. Matrix'!E933</f>
        <v>0</v>
      </c>
      <c r="F924" s="14" t="str">
        <f>_xlfn.XLOOKUP('01. Main'!$B924,[1]Mapping!$D:$D,[1]Mapping!$A:$A,0,0)</f>
        <v>Poush 77</v>
      </c>
      <c r="G924" s="16">
        <f>_xlfn.XLOOKUP('01. Main'!$B924,[1]Mapping!D$2:D$24,[1]Mapping!E$2:E$24,0,0)</f>
        <v>2020</v>
      </c>
    </row>
    <row r="925" spans="1:7" x14ac:dyDescent="0.45">
      <c r="A925" s="17">
        <f>'[1]02. Matrix'!A934</f>
        <v>924</v>
      </c>
      <c r="B925" s="18">
        <f>'[1]02. Matrix'!B934</f>
        <v>7</v>
      </c>
      <c r="C925" s="18" t="str">
        <f>'[1]02. Matrix'!C934</f>
        <v>OVERDRAFT PROFESSION</v>
      </c>
      <c r="D925" s="18">
        <f>'[1]02. Matrix'!D934</f>
        <v>1</v>
      </c>
      <c r="E925" s="19">
        <f>'[1]02. Matrix'!E934</f>
        <v>0</v>
      </c>
      <c r="F925" s="18" t="str">
        <f>_xlfn.XLOOKUP('01. Main'!$B925,[1]Mapping!$D:$D,[1]Mapping!$A:$A,0,0)</f>
        <v>Poush 77</v>
      </c>
      <c r="G925" s="20">
        <f>_xlfn.XLOOKUP('01. Main'!$B925,[1]Mapping!D$2:D$24,[1]Mapping!E$2:E$24,0,0)</f>
        <v>2020</v>
      </c>
    </row>
    <row r="926" spans="1:7" x14ac:dyDescent="0.45">
      <c r="A926" s="13">
        <f>'[1]02. Matrix'!A935</f>
        <v>925</v>
      </c>
      <c r="B926" s="14">
        <f>'[1]02. Matrix'!B935</f>
        <v>7</v>
      </c>
      <c r="C926" s="14" t="str">
        <f>'[1]02. Matrix'!C935</f>
        <v>OD PERSONAL LOAN</v>
      </c>
      <c r="D926" s="14">
        <f>'[1]02. Matrix'!D935</f>
        <v>2</v>
      </c>
      <c r="E926" s="15">
        <f>'[1]02. Matrix'!E935</f>
        <v>0</v>
      </c>
      <c r="F926" s="14" t="str">
        <f>_xlfn.XLOOKUP('01. Main'!$B926,[1]Mapping!$D:$D,[1]Mapping!$A:$A,0,0)</f>
        <v>Poush 77</v>
      </c>
      <c r="G926" s="16">
        <f>_xlfn.XLOOKUP('01. Main'!$B926,[1]Mapping!D$2:D$24,[1]Mapping!E$2:E$24,0,0)</f>
        <v>2020</v>
      </c>
    </row>
    <row r="927" spans="1:7" x14ac:dyDescent="0.45">
      <c r="A927" s="17">
        <f>'[1]02. Matrix'!A936</f>
        <v>926</v>
      </c>
      <c r="B927" s="18">
        <f>'[1]02. Matrix'!B936</f>
        <v>7</v>
      </c>
      <c r="C927" s="18" t="str">
        <f>'[1]02. Matrix'!C936</f>
        <v>OD BUSINESS LOAN</v>
      </c>
      <c r="D927" s="18">
        <f>'[1]02. Matrix'!D936</f>
        <v>2</v>
      </c>
      <c r="E927" s="19">
        <f>'[1]02. Matrix'!E936</f>
        <v>0</v>
      </c>
      <c r="F927" s="18" t="str">
        <f>_xlfn.XLOOKUP('01. Main'!$B927,[1]Mapping!$D:$D,[1]Mapping!$A:$A,0,0)</f>
        <v>Poush 77</v>
      </c>
      <c r="G927" s="20">
        <f>_xlfn.XLOOKUP('01. Main'!$B927,[1]Mapping!D$2:D$24,[1]Mapping!E$2:E$24,0,0)</f>
        <v>2020</v>
      </c>
    </row>
    <row r="928" spans="1:7" x14ac:dyDescent="0.45">
      <c r="A928" s="13">
        <f>'[1]02. Matrix'!A937</f>
        <v>927</v>
      </c>
      <c r="B928" s="14">
        <f>'[1]02. Matrix'!B937</f>
        <v>7</v>
      </c>
      <c r="C928" s="14" t="str">
        <f>'[1]02. Matrix'!C937</f>
        <v>OD STAFF LOAN</v>
      </c>
      <c r="D928" s="14">
        <f>'[1]02. Matrix'!D937</f>
        <v>2</v>
      </c>
      <c r="E928" s="15">
        <f>'[1]02. Matrix'!E937</f>
        <v>0</v>
      </c>
      <c r="F928" s="14" t="str">
        <f>_xlfn.XLOOKUP('01. Main'!$B928,[1]Mapping!$D:$D,[1]Mapping!$A:$A,0,0)</f>
        <v>Poush 77</v>
      </c>
      <c r="G928" s="16">
        <f>_xlfn.XLOOKUP('01. Main'!$B928,[1]Mapping!D$2:D$24,[1]Mapping!E$2:E$24,0,0)</f>
        <v>2020</v>
      </c>
    </row>
    <row r="929" spans="1:7" x14ac:dyDescent="0.45">
      <c r="A929" s="17">
        <f>'[1]02. Matrix'!A938</f>
        <v>928</v>
      </c>
      <c r="B929" s="18">
        <f>'[1]02. Matrix'!B938</f>
        <v>7</v>
      </c>
      <c r="C929" s="18" t="str">
        <f>'[1]02. Matrix'!C938</f>
        <v>TERM LOAN</v>
      </c>
      <c r="D929" s="18">
        <f>'[1]02. Matrix'!D938</f>
        <v>2</v>
      </c>
      <c r="E929" s="19">
        <f>'[1]02. Matrix'!E938</f>
        <v>5.3354586021527997E-2</v>
      </c>
      <c r="F929" s="18" t="str">
        <f>_xlfn.XLOOKUP('01. Main'!$B929,[1]Mapping!$D:$D,[1]Mapping!$A:$A,0,0)</f>
        <v>Poush 77</v>
      </c>
      <c r="G929" s="20">
        <f>_xlfn.XLOOKUP('01. Main'!$B929,[1]Mapping!D$2:D$24,[1]Mapping!E$2:E$24,0,0)</f>
        <v>2020</v>
      </c>
    </row>
    <row r="930" spans="1:7" x14ac:dyDescent="0.45">
      <c r="A930" s="13">
        <f>'[1]02. Matrix'!A939</f>
        <v>929</v>
      </c>
      <c r="B930" s="14">
        <f>'[1]02. Matrix'!B939</f>
        <v>7</v>
      </c>
      <c r="C930" s="14" t="str">
        <f>'[1]02. Matrix'!C939</f>
        <v>WC TRADING/IND LOAN</v>
      </c>
      <c r="D930" s="14">
        <f>'[1]02. Matrix'!D939</f>
        <v>2</v>
      </c>
      <c r="E930" s="15">
        <f>'[1]02. Matrix'!E939</f>
        <v>7.6917488612856369E-2</v>
      </c>
      <c r="F930" s="14" t="str">
        <f>_xlfn.XLOOKUP('01. Main'!$B930,[1]Mapping!$D:$D,[1]Mapping!$A:$A,0,0)</f>
        <v>Poush 77</v>
      </c>
      <c r="G930" s="16">
        <f>_xlfn.XLOOKUP('01. Main'!$B930,[1]Mapping!D$2:D$24,[1]Mapping!E$2:E$24,0,0)</f>
        <v>2020</v>
      </c>
    </row>
    <row r="931" spans="1:7" x14ac:dyDescent="0.45">
      <c r="A931" s="17">
        <f>'[1]02. Matrix'!A940</f>
        <v>930</v>
      </c>
      <c r="B931" s="18">
        <f>'[1]02. Matrix'!B940</f>
        <v>7</v>
      </c>
      <c r="C931" s="18" t="str">
        <f>'[1]02. Matrix'!C940</f>
        <v>HOUSING LOAN</v>
      </c>
      <c r="D931" s="18">
        <f>'[1]02. Matrix'!D940</f>
        <v>2</v>
      </c>
      <c r="E931" s="19">
        <f>'[1]02. Matrix'!E940</f>
        <v>5.1820449109062916E-2</v>
      </c>
      <c r="F931" s="18" t="str">
        <f>_xlfn.XLOOKUP('01. Main'!$B931,[1]Mapping!$D:$D,[1]Mapping!$A:$A,0,0)</f>
        <v>Poush 77</v>
      </c>
      <c r="G931" s="20">
        <f>_xlfn.XLOOKUP('01. Main'!$B931,[1]Mapping!D$2:D$24,[1]Mapping!E$2:E$24,0,0)</f>
        <v>2020</v>
      </c>
    </row>
    <row r="932" spans="1:7" x14ac:dyDescent="0.45">
      <c r="A932" s="13">
        <f>'[1]02. Matrix'!A941</f>
        <v>931</v>
      </c>
      <c r="B932" s="14">
        <f>'[1]02. Matrix'!B941</f>
        <v>7</v>
      </c>
      <c r="C932" s="14" t="str">
        <f>'[1]02. Matrix'!C941</f>
        <v>RESI REAL EST LOAN</v>
      </c>
      <c r="D932" s="14">
        <f>'[1]02. Matrix'!D941</f>
        <v>2</v>
      </c>
      <c r="E932" s="15">
        <f>'[1]02. Matrix'!E941</f>
        <v>0</v>
      </c>
      <c r="F932" s="14" t="str">
        <f>_xlfn.XLOOKUP('01. Main'!$B932,[1]Mapping!$D:$D,[1]Mapping!$A:$A,0,0)</f>
        <v>Poush 77</v>
      </c>
      <c r="G932" s="16">
        <f>_xlfn.XLOOKUP('01. Main'!$B932,[1]Mapping!D$2:D$24,[1]Mapping!E$2:E$24,0,0)</f>
        <v>2020</v>
      </c>
    </row>
    <row r="933" spans="1:7" x14ac:dyDescent="0.45">
      <c r="A933" s="17">
        <f>'[1]02. Matrix'!A942</f>
        <v>932</v>
      </c>
      <c r="B933" s="18">
        <f>'[1]02. Matrix'!B942</f>
        <v>7</v>
      </c>
      <c r="C933" s="18" t="str">
        <f>'[1]02. Matrix'!C942</f>
        <v>MARGIN NATURE LOAN</v>
      </c>
      <c r="D933" s="18">
        <f>'[1]02. Matrix'!D942</f>
        <v>2</v>
      </c>
      <c r="E933" s="19">
        <f>'[1]02. Matrix'!E942</f>
        <v>0</v>
      </c>
      <c r="F933" s="18" t="str">
        <f>_xlfn.XLOOKUP('01. Main'!$B933,[1]Mapping!$D:$D,[1]Mapping!$A:$A,0,0)</f>
        <v>Poush 77</v>
      </c>
      <c r="G933" s="20">
        <f>_xlfn.XLOOKUP('01. Main'!$B933,[1]Mapping!D$2:D$24,[1]Mapping!E$2:E$24,0,0)</f>
        <v>2020</v>
      </c>
    </row>
    <row r="934" spans="1:7" x14ac:dyDescent="0.45">
      <c r="A934" s="13">
        <f>'[1]02. Matrix'!A943</f>
        <v>933</v>
      </c>
      <c r="B934" s="14">
        <f>'[1]02. Matrix'!B943</f>
        <v>7</v>
      </c>
      <c r="C934" s="14" t="str">
        <f>'[1]02. Matrix'!C943</f>
        <v>HIRE PURCHASE LOAN</v>
      </c>
      <c r="D934" s="14">
        <f>'[1]02. Matrix'!D943</f>
        <v>2</v>
      </c>
      <c r="E934" s="15">
        <f>'[1]02. Matrix'!E943</f>
        <v>2.0330410718750434E-2</v>
      </c>
      <c r="F934" s="14" t="str">
        <f>_xlfn.XLOOKUP('01. Main'!$B934,[1]Mapping!$D:$D,[1]Mapping!$A:$A,0,0)</f>
        <v>Poush 77</v>
      </c>
      <c r="G934" s="16">
        <f>_xlfn.XLOOKUP('01. Main'!$B934,[1]Mapping!D$2:D$24,[1]Mapping!E$2:E$24,0,0)</f>
        <v>2020</v>
      </c>
    </row>
    <row r="935" spans="1:7" x14ac:dyDescent="0.45">
      <c r="A935" s="17">
        <f>'[1]02. Matrix'!A944</f>
        <v>934</v>
      </c>
      <c r="B935" s="18">
        <f>'[1]02. Matrix'!B944</f>
        <v>7</v>
      </c>
      <c r="C935" s="18" t="str">
        <f>'[1]02. Matrix'!C944</f>
        <v>DEPRIVED SECTOR LOAN</v>
      </c>
      <c r="D935" s="18">
        <f>'[1]02. Matrix'!D944</f>
        <v>2</v>
      </c>
      <c r="E935" s="19">
        <f>'[1]02. Matrix'!E944</f>
        <v>2.2455480748681835E-2</v>
      </c>
      <c r="F935" s="18" t="str">
        <f>_xlfn.XLOOKUP('01. Main'!$B935,[1]Mapping!$D:$D,[1]Mapping!$A:$A,0,0)</f>
        <v>Poush 77</v>
      </c>
      <c r="G935" s="20">
        <f>_xlfn.XLOOKUP('01. Main'!$B935,[1]Mapping!D$2:D$24,[1]Mapping!E$2:E$24,0,0)</f>
        <v>2020</v>
      </c>
    </row>
    <row r="936" spans="1:7" x14ac:dyDescent="0.45">
      <c r="A936" s="13">
        <f>'[1]02. Matrix'!A945</f>
        <v>935</v>
      </c>
      <c r="B936" s="14">
        <f>'[1]02. Matrix'!B945</f>
        <v>7</v>
      </c>
      <c r="C936" s="14" t="str">
        <f>'[1]02. Matrix'!C945</f>
        <v>EDUCATIONAL LOAN</v>
      </c>
      <c r="D936" s="14">
        <f>'[1]02. Matrix'!D945</f>
        <v>2</v>
      </c>
      <c r="E936" s="15">
        <f>'[1]02. Matrix'!E945</f>
        <v>0</v>
      </c>
      <c r="F936" s="14" t="str">
        <f>_xlfn.XLOOKUP('01. Main'!$B936,[1]Mapping!$D:$D,[1]Mapping!$A:$A,0,0)</f>
        <v>Poush 77</v>
      </c>
      <c r="G936" s="16">
        <f>_xlfn.XLOOKUP('01. Main'!$B936,[1]Mapping!D$2:D$24,[1]Mapping!E$2:E$24,0,0)</f>
        <v>2020</v>
      </c>
    </row>
    <row r="937" spans="1:7" x14ac:dyDescent="0.45">
      <c r="A937" s="17">
        <f>'[1]02. Matrix'!A946</f>
        <v>936</v>
      </c>
      <c r="B937" s="18">
        <f>'[1]02. Matrix'!B946</f>
        <v>7</v>
      </c>
      <c r="C937" s="18" t="str">
        <f>'[1]02. Matrix'!C946</f>
        <v>AGRICULTURE LOAN</v>
      </c>
      <c r="D937" s="18">
        <f>'[1]02. Matrix'!D946</f>
        <v>2</v>
      </c>
      <c r="E937" s="19">
        <f>'[1]02. Matrix'!E946</f>
        <v>4.1436462569548832E-2</v>
      </c>
      <c r="F937" s="18" t="str">
        <f>_xlfn.XLOOKUP('01. Main'!$B937,[1]Mapping!$D:$D,[1]Mapping!$A:$A,0,0)</f>
        <v>Poush 77</v>
      </c>
      <c r="G937" s="20">
        <f>_xlfn.XLOOKUP('01. Main'!$B937,[1]Mapping!D$2:D$24,[1]Mapping!E$2:E$24,0,0)</f>
        <v>2020</v>
      </c>
    </row>
    <row r="938" spans="1:7" x14ac:dyDescent="0.45">
      <c r="A938" s="13">
        <f>'[1]02. Matrix'!A947</f>
        <v>937</v>
      </c>
      <c r="B938" s="14">
        <f>'[1]02. Matrix'!B947</f>
        <v>7</v>
      </c>
      <c r="C938" s="14" t="str">
        <f>'[1]02. Matrix'!C947</f>
        <v>RESI PER.HOME-EMI</v>
      </c>
      <c r="D938" s="14">
        <f>'[1]02. Matrix'!D947</f>
        <v>2</v>
      </c>
      <c r="E938" s="15">
        <f>'[1]02. Matrix'!E947</f>
        <v>7.9266714356068635E-2</v>
      </c>
      <c r="F938" s="14" t="str">
        <f>_xlfn.XLOOKUP('01. Main'!$B938,[1]Mapping!$D:$D,[1]Mapping!$A:$A,0,0)</f>
        <v>Poush 77</v>
      </c>
      <c r="G938" s="16">
        <f>_xlfn.XLOOKUP('01. Main'!$B938,[1]Mapping!D$2:D$24,[1]Mapping!E$2:E$24,0,0)</f>
        <v>2020</v>
      </c>
    </row>
    <row r="939" spans="1:7" x14ac:dyDescent="0.45">
      <c r="A939" s="17">
        <f>'[1]02. Matrix'!A948</f>
        <v>938</v>
      </c>
      <c r="B939" s="18">
        <f>'[1]02. Matrix'!B948</f>
        <v>7</v>
      </c>
      <c r="C939" s="18" t="str">
        <f>'[1]02. Matrix'!C948</f>
        <v>TERM LOAN - BUSINESS</v>
      </c>
      <c r="D939" s="18">
        <f>'[1]02. Matrix'!D948</f>
        <v>2</v>
      </c>
      <c r="E939" s="19">
        <f>'[1]02. Matrix'!E948</f>
        <v>0</v>
      </c>
      <c r="F939" s="18" t="str">
        <f>_xlfn.XLOOKUP('01. Main'!$B939,[1]Mapping!$D:$D,[1]Mapping!$A:$A,0,0)</f>
        <v>Poush 77</v>
      </c>
      <c r="G939" s="20">
        <f>_xlfn.XLOOKUP('01. Main'!$B939,[1]Mapping!D$2:D$24,[1]Mapping!E$2:E$24,0,0)</f>
        <v>2020</v>
      </c>
    </row>
    <row r="940" spans="1:7" x14ac:dyDescent="0.45">
      <c r="A940" s="13">
        <f>'[1]02. Matrix'!A949</f>
        <v>939</v>
      </c>
      <c r="B940" s="14">
        <f>'[1]02. Matrix'!B949</f>
        <v>7</v>
      </c>
      <c r="C940" s="14" t="str">
        <f>'[1]02. Matrix'!C949</f>
        <v>CONS FIN BUSN TRM LO</v>
      </c>
      <c r="D940" s="14">
        <f>'[1]02. Matrix'!D949</f>
        <v>2</v>
      </c>
      <c r="E940" s="15">
        <f>'[1]02. Matrix'!E949</f>
        <v>0</v>
      </c>
      <c r="F940" s="14" t="str">
        <f>_xlfn.XLOOKUP('01. Main'!$B940,[1]Mapping!$D:$D,[1]Mapping!$A:$A,0,0)</f>
        <v>Poush 77</v>
      </c>
      <c r="G940" s="16">
        <f>_xlfn.XLOOKUP('01. Main'!$B940,[1]Mapping!D$2:D$24,[1]Mapping!E$2:E$24,0,0)</f>
        <v>2020</v>
      </c>
    </row>
    <row r="941" spans="1:7" x14ac:dyDescent="0.45">
      <c r="A941" s="17">
        <f>'[1]02. Matrix'!A950</f>
        <v>940</v>
      </c>
      <c r="B941" s="18">
        <f>'[1]02. Matrix'!B950</f>
        <v>7</v>
      </c>
      <c r="C941" s="18" t="str">
        <f>'[1]02. Matrix'!C950</f>
        <v>BIS/PERHIRE PURCHASE</v>
      </c>
      <c r="D941" s="18">
        <f>'[1]02. Matrix'!D950</f>
        <v>2</v>
      </c>
      <c r="E941" s="19">
        <f>'[1]02. Matrix'!E950</f>
        <v>1.2139374292566616E-2</v>
      </c>
      <c r="F941" s="18" t="str">
        <f>_xlfn.XLOOKUP('01. Main'!$B941,[1]Mapping!$D:$D,[1]Mapping!$A:$A,0,0)</f>
        <v>Poush 77</v>
      </c>
      <c r="G941" s="20">
        <f>_xlfn.XLOOKUP('01. Main'!$B941,[1]Mapping!D$2:D$24,[1]Mapping!E$2:E$24,0,0)</f>
        <v>2020</v>
      </c>
    </row>
    <row r="942" spans="1:7" x14ac:dyDescent="0.45">
      <c r="A942" s="13">
        <f>'[1]02. Matrix'!A951</f>
        <v>941</v>
      </c>
      <c r="B942" s="14">
        <f>'[1]02. Matrix'!B951</f>
        <v>7</v>
      </c>
      <c r="C942" s="14" t="str">
        <f>'[1]02. Matrix'!C951</f>
        <v xml:space="preserve">INT CAP TERM LOAN </v>
      </c>
      <c r="D942" s="14">
        <f>'[1]02. Matrix'!D951</f>
        <v>2</v>
      </c>
      <c r="E942" s="15">
        <f>'[1]02. Matrix'!E951</f>
        <v>0</v>
      </c>
      <c r="F942" s="14" t="str">
        <f>_xlfn.XLOOKUP('01. Main'!$B942,[1]Mapping!$D:$D,[1]Mapping!$A:$A,0,0)</f>
        <v>Poush 77</v>
      </c>
      <c r="G942" s="16">
        <f>_xlfn.XLOOKUP('01. Main'!$B942,[1]Mapping!D$2:D$24,[1]Mapping!E$2:E$24,0,0)</f>
        <v>2020</v>
      </c>
    </row>
    <row r="943" spans="1:7" x14ac:dyDescent="0.45">
      <c r="A943" s="17">
        <f>'[1]02. Matrix'!A952</f>
        <v>942</v>
      </c>
      <c r="B943" s="18">
        <f>'[1]02. Matrix'!B952</f>
        <v>7</v>
      </c>
      <c r="C943" s="18" t="str">
        <f>'[1]02. Matrix'!C952</f>
        <v>PERSONAL LOAN</v>
      </c>
      <c r="D943" s="18">
        <f>'[1]02. Matrix'!D952</f>
        <v>2</v>
      </c>
      <c r="E943" s="19">
        <f>'[1]02. Matrix'!E952</f>
        <v>4.127915642344019E-2</v>
      </c>
      <c r="F943" s="18" t="str">
        <f>_xlfn.XLOOKUP('01. Main'!$B943,[1]Mapping!$D:$D,[1]Mapping!$A:$A,0,0)</f>
        <v>Poush 77</v>
      </c>
      <c r="G943" s="20">
        <f>_xlfn.XLOOKUP('01. Main'!$B943,[1]Mapping!D$2:D$24,[1]Mapping!E$2:E$24,0,0)</f>
        <v>2020</v>
      </c>
    </row>
    <row r="944" spans="1:7" x14ac:dyDescent="0.45">
      <c r="A944" s="13">
        <f>'[1]02. Matrix'!A953</f>
        <v>943</v>
      </c>
      <c r="B944" s="14">
        <f>'[1]02. Matrix'!B953</f>
        <v>7</v>
      </c>
      <c r="C944" s="14" t="str">
        <f>'[1]02. Matrix'!C953</f>
        <v>MORTGAGE LOAN</v>
      </c>
      <c r="D944" s="14">
        <f>'[1]02. Matrix'!D953</f>
        <v>2</v>
      </c>
      <c r="E944" s="15">
        <f>'[1]02. Matrix'!E953</f>
        <v>0</v>
      </c>
      <c r="F944" s="14" t="str">
        <f>_xlfn.XLOOKUP('01. Main'!$B944,[1]Mapping!$D:$D,[1]Mapping!$A:$A,0,0)</f>
        <v>Poush 77</v>
      </c>
      <c r="G944" s="16">
        <f>_xlfn.XLOOKUP('01. Main'!$B944,[1]Mapping!D$2:D$24,[1]Mapping!E$2:E$24,0,0)</f>
        <v>2020</v>
      </c>
    </row>
    <row r="945" spans="1:7" x14ac:dyDescent="0.45">
      <c r="A945" s="17">
        <f>'[1]02. Matrix'!A954</f>
        <v>944</v>
      </c>
      <c r="B945" s="18">
        <f>'[1]02. Matrix'!B954</f>
        <v>7</v>
      </c>
      <c r="C945" s="18" t="str">
        <f>'[1]02. Matrix'!C954</f>
        <v>LOAN AGAINST FDR</v>
      </c>
      <c r="D945" s="18">
        <f>'[1]02. Matrix'!D954</f>
        <v>2</v>
      </c>
      <c r="E945" s="19">
        <f>'[1]02. Matrix'!E954</f>
        <v>0</v>
      </c>
      <c r="F945" s="18" t="str">
        <f>_xlfn.XLOOKUP('01. Main'!$B945,[1]Mapping!$D:$D,[1]Mapping!$A:$A,0,0)</f>
        <v>Poush 77</v>
      </c>
      <c r="G945" s="20">
        <f>_xlfn.XLOOKUP('01. Main'!$B945,[1]Mapping!D$2:D$24,[1]Mapping!E$2:E$24,0,0)</f>
        <v>2020</v>
      </c>
    </row>
    <row r="946" spans="1:7" x14ac:dyDescent="0.45">
      <c r="A946" s="13">
        <f>'[1]02. Matrix'!A955</f>
        <v>945</v>
      </c>
      <c r="B946" s="14">
        <f>'[1]02. Matrix'!B955</f>
        <v>7</v>
      </c>
      <c r="C946" s="14" t="str">
        <f>'[1]02. Matrix'!C955</f>
        <v>RECEIVABLE LOAN</v>
      </c>
      <c r="D946" s="14">
        <f>'[1]02. Matrix'!D955</f>
        <v>2</v>
      </c>
      <c r="E946" s="15">
        <f>'[1]02. Matrix'!E955</f>
        <v>0</v>
      </c>
      <c r="F946" s="14" t="str">
        <f>_xlfn.XLOOKUP('01. Main'!$B946,[1]Mapping!$D:$D,[1]Mapping!$A:$A,0,0)</f>
        <v>Poush 77</v>
      </c>
      <c r="G946" s="16">
        <f>_xlfn.XLOOKUP('01. Main'!$B946,[1]Mapping!D$2:D$24,[1]Mapping!E$2:E$24,0,0)</f>
        <v>2020</v>
      </c>
    </row>
    <row r="947" spans="1:7" x14ac:dyDescent="0.45">
      <c r="A947" s="17">
        <f>'[1]02. Matrix'!A956</f>
        <v>946</v>
      </c>
      <c r="B947" s="18">
        <f>'[1]02. Matrix'!B956</f>
        <v>7</v>
      </c>
      <c r="C947" s="18" t="str">
        <f>'[1]02. Matrix'!C956</f>
        <v>STAFF LOAN</v>
      </c>
      <c r="D947" s="18">
        <f>'[1]02. Matrix'!D956</f>
        <v>2</v>
      </c>
      <c r="E947" s="19">
        <f>'[1]02. Matrix'!E956</f>
        <v>0</v>
      </c>
      <c r="F947" s="18" t="str">
        <f>_xlfn.XLOOKUP('01. Main'!$B947,[1]Mapping!$D:$D,[1]Mapping!$A:$A,0,0)</f>
        <v>Poush 77</v>
      </c>
      <c r="G947" s="20">
        <f>_xlfn.XLOOKUP('01. Main'!$B947,[1]Mapping!D$2:D$24,[1]Mapping!E$2:E$24,0,0)</f>
        <v>2020</v>
      </c>
    </row>
    <row r="948" spans="1:7" x14ac:dyDescent="0.45">
      <c r="A948" s="13">
        <f>'[1]02. Matrix'!A957</f>
        <v>947</v>
      </c>
      <c r="B948" s="14">
        <f>'[1]02. Matrix'!B957</f>
        <v>7</v>
      </c>
      <c r="C948" s="14" t="str">
        <f>'[1]02. Matrix'!C957</f>
        <v>AGRICULTURAL LOAN</v>
      </c>
      <c r="D948" s="14">
        <f>'[1]02. Matrix'!D957</f>
        <v>2</v>
      </c>
      <c r="E948" s="15">
        <f>'[1]02. Matrix'!E957</f>
        <v>0</v>
      </c>
      <c r="F948" s="14" t="str">
        <f>_xlfn.XLOOKUP('01. Main'!$B948,[1]Mapping!$D:$D,[1]Mapping!$A:$A,0,0)</f>
        <v>Poush 77</v>
      </c>
      <c r="G948" s="16">
        <f>_xlfn.XLOOKUP('01. Main'!$B948,[1]Mapping!D$2:D$24,[1]Mapping!E$2:E$24,0,0)</f>
        <v>2020</v>
      </c>
    </row>
    <row r="949" spans="1:7" x14ac:dyDescent="0.45">
      <c r="A949" s="17">
        <f>'[1]02. Matrix'!A958</f>
        <v>948</v>
      </c>
      <c r="B949" s="18">
        <f>'[1]02. Matrix'!B958</f>
        <v>7</v>
      </c>
      <c r="C949" s="18" t="str">
        <f>'[1]02. Matrix'!C958</f>
        <v>EARTHQUAKE RELIEF LO</v>
      </c>
      <c r="D949" s="18">
        <f>'[1]02. Matrix'!D958</f>
        <v>2</v>
      </c>
      <c r="E949" s="19">
        <f>'[1]02. Matrix'!E958</f>
        <v>0</v>
      </c>
      <c r="F949" s="18" t="str">
        <f>_xlfn.XLOOKUP('01. Main'!$B949,[1]Mapping!$D:$D,[1]Mapping!$A:$A,0,0)</f>
        <v>Poush 77</v>
      </c>
      <c r="G949" s="20">
        <f>_xlfn.XLOOKUP('01. Main'!$B949,[1]Mapping!D$2:D$24,[1]Mapping!E$2:E$24,0,0)</f>
        <v>2020</v>
      </c>
    </row>
    <row r="950" spans="1:7" x14ac:dyDescent="0.45">
      <c r="A950" s="13">
        <f>'[1]02. Matrix'!A959</f>
        <v>949</v>
      </c>
      <c r="B950" s="14">
        <f>'[1]02. Matrix'!B959</f>
        <v>7</v>
      </c>
      <c r="C950" s="14" t="str">
        <f>'[1]02. Matrix'!C959</f>
        <v>TOURISM SECTOR LOAN</v>
      </c>
      <c r="D950" s="14">
        <f>'[1]02. Matrix'!D959</f>
        <v>2</v>
      </c>
      <c r="E950" s="15">
        <f>'[1]02. Matrix'!E959</f>
        <v>0</v>
      </c>
      <c r="F950" s="14" t="str">
        <f>_xlfn.XLOOKUP('01. Main'!$B950,[1]Mapping!$D:$D,[1]Mapping!$A:$A,0,0)</f>
        <v>Poush 77</v>
      </c>
      <c r="G950" s="16">
        <f>_xlfn.XLOOKUP('01. Main'!$B950,[1]Mapping!D$2:D$24,[1]Mapping!E$2:E$24,0,0)</f>
        <v>2020</v>
      </c>
    </row>
    <row r="951" spans="1:7" x14ac:dyDescent="0.45">
      <c r="A951" s="17">
        <f>'[1]02. Matrix'!A960</f>
        <v>950</v>
      </c>
      <c r="B951" s="18">
        <f>'[1]02. Matrix'!B960</f>
        <v>7</v>
      </c>
      <c r="C951" s="18" t="str">
        <f>'[1]02. Matrix'!C960</f>
        <v>SME LOAN</v>
      </c>
      <c r="D951" s="18">
        <f>'[1]02. Matrix'!D960</f>
        <v>2</v>
      </c>
      <c r="E951" s="19">
        <f>'[1]02. Matrix'!E960</f>
        <v>0</v>
      </c>
      <c r="F951" s="18" t="str">
        <f>_xlfn.XLOOKUP('01. Main'!$B951,[1]Mapping!$D:$D,[1]Mapping!$A:$A,0,0)</f>
        <v>Poush 77</v>
      </c>
      <c r="G951" s="20">
        <f>_xlfn.XLOOKUP('01. Main'!$B951,[1]Mapping!D$2:D$24,[1]Mapping!E$2:E$24,0,0)</f>
        <v>2020</v>
      </c>
    </row>
    <row r="952" spans="1:7" x14ac:dyDescent="0.45">
      <c r="A952" s="13">
        <f>'[1]02. Matrix'!A961</f>
        <v>951</v>
      </c>
      <c r="B952" s="14">
        <f>'[1]02. Matrix'!B961</f>
        <v>7</v>
      </c>
      <c r="C952" s="14" t="str">
        <f>'[1]02. Matrix'!C961</f>
        <v>EDUCATIONAL LOAN EMI</v>
      </c>
      <c r="D952" s="14">
        <f>'[1]02. Matrix'!D961</f>
        <v>2</v>
      </c>
      <c r="E952" s="15">
        <f>'[1]02. Matrix'!E961</f>
        <v>0</v>
      </c>
      <c r="F952" s="14" t="str">
        <f>_xlfn.XLOOKUP('01. Main'!$B952,[1]Mapping!$D:$D,[1]Mapping!$A:$A,0,0)</f>
        <v>Poush 77</v>
      </c>
      <c r="G952" s="16">
        <f>_xlfn.XLOOKUP('01. Main'!$B952,[1]Mapping!D$2:D$24,[1]Mapping!E$2:E$24,0,0)</f>
        <v>2020</v>
      </c>
    </row>
    <row r="953" spans="1:7" x14ac:dyDescent="0.45">
      <c r="A953" s="17">
        <f>'[1]02. Matrix'!A962</f>
        <v>952</v>
      </c>
      <c r="B953" s="18">
        <f>'[1]02. Matrix'!B962</f>
        <v>7</v>
      </c>
      <c r="C953" s="18" t="str">
        <f>'[1]02. Matrix'!C962</f>
        <v>OVERDRAFT PROFESSION</v>
      </c>
      <c r="D953" s="18">
        <f>'[1]02. Matrix'!D962</f>
        <v>2</v>
      </c>
      <c r="E953" s="19">
        <f>'[1]02. Matrix'!E962</f>
        <v>0</v>
      </c>
      <c r="F953" s="18" t="str">
        <f>_xlfn.XLOOKUP('01. Main'!$B953,[1]Mapping!$D:$D,[1]Mapping!$A:$A,0,0)</f>
        <v>Poush 77</v>
      </c>
      <c r="G953" s="20">
        <f>_xlfn.XLOOKUP('01. Main'!$B953,[1]Mapping!D$2:D$24,[1]Mapping!E$2:E$24,0,0)</f>
        <v>2020</v>
      </c>
    </row>
    <row r="954" spans="1:7" x14ac:dyDescent="0.45">
      <c r="A954" s="13">
        <f>'[1]02. Matrix'!A963</f>
        <v>953</v>
      </c>
      <c r="B954" s="14">
        <f>'[1]02. Matrix'!B963</f>
        <v>6</v>
      </c>
      <c r="C954" s="14" t="str">
        <f>'[1]02. Matrix'!C963</f>
        <v>OD PERSONAL LOAN</v>
      </c>
      <c r="D954" s="14">
        <f>'[1]02. Matrix'!D963</f>
        <v>1</v>
      </c>
      <c r="E954" s="15">
        <f>'[1]02. Matrix'!E963</f>
        <v>0</v>
      </c>
      <c r="F954" s="14" t="str">
        <f>_xlfn.XLOOKUP('01. Main'!$B954,[1]Mapping!$D:$D,[1]Mapping!$A:$A,0,0)</f>
        <v>Asoj 77</v>
      </c>
      <c r="G954" s="16">
        <f>_xlfn.XLOOKUP('01. Main'!$B954,[1]Mapping!D$2:D$24,[1]Mapping!E$2:E$24,0,0)</f>
        <v>2020</v>
      </c>
    </row>
    <row r="955" spans="1:7" x14ac:dyDescent="0.45">
      <c r="A955" s="17">
        <f>'[1]02. Matrix'!A964</f>
        <v>954</v>
      </c>
      <c r="B955" s="18">
        <f>'[1]02. Matrix'!B964</f>
        <v>6</v>
      </c>
      <c r="C955" s="18" t="str">
        <f>'[1]02. Matrix'!C964</f>
        <v>OD BUSINESS LOAN</v>
      </c>
      <c r="D955" s="18">
        <f>'[1]02. Matrix'!D964</f>
        <v>1</v>
      </c>
      <c r="E955" s="19">
        <f>'[1]02. Matrix'!E964</f>
        <v>0</v>
      </c>
      <c r="F955" s="18" t="str">
        <f>_xlfn.XLOOKUP('01. Main'!$B955,[1]Mapping!$D:$D,[1]Mapping!$A:$A,0,0)</f>
        <v>Asoj 77</v>
      </c>
      <c r="G955" s="20">
        <f>_xlfn.XLOOKUP('01. Main'!$B955,[1]Mapping!D$2:D$24,[1]Mapping!E$2:E$24,0,0)</f>
        <v>2020</v>
      </c>
    </row>
    <row r="956" spans="1:7" x14ac:dyDescent="0.45">
      <c r="A956" s="13">
        <f>'[1]02. Matrix'!A965</f>
        <v>955</v>
      </c>
      <c r="B956" s="14">
        <f>'[1]02. Matrix'!B965</f>
        <v>6</v>
      </c>
      <c r="C956" s="14" t="str">
        <f>'[1]02. Matrix'!C965</f>
        <v>OD STAFF LOAN</v>
      </c>
      <c r="D956" s="14">
        <f>'[1]02. Matrix'!D965</f>
        <v>1</v>
      </c>
      <c r="E956" s="15">
        <f>'[1]02. Matrix'!E965</f>
        <v>0</v>
      </c>
      <c r="F956" s="14" t="str">
        <f>_xlfn.XLOOKUP('01. Main'!$B956,[1]Mapping!$D:$D,[1]Mapping!$A:$A,0,0)</f>
        <v>Asoj 77</v>
      </c>
      <c r="G956" s="16">
        <f>_xlfn.XLOOKUP('01. Main'!$B956,[1]Mapping!D$2:D$24,[1]Mapping!E$2:E$24,0,0)</f>
        <v>2020</v>
      </c>
    </row>
    <row r="957" spans="1:7" x14ac:dyDescent="0.45">
      <c r="A957" s="17">
        <f>'[1]02. Matrix'!A966</f>
        <v>956</v>
      </c>
      <c r="B957" s="18">
        <f>'[1]02. Matrix'!B966</f>
        <v>6</v>
      </c>
      <c r="C957" s="18" t="str">
        <f>'[1]02. Matrix'!C966</f>
        <v>TERM LOAN</v>
      </c>
      <c r="D957" s="18">
        <f>'[1]02. Matrix'!D966</f>
        <v>1</v>
      </c>
      <c r="E957" s="19">
        <f>'[1]02. Matrix'!E966</f>
        <v>0.47747342172791574</v>
      </c>
      <c r="F957" s="18" t="str">
        <f>_xlfn.XLOOKUP('01. Main'!$B957,[1]Mapping!$D:$D,[1]Mapping!$A:$A,0,0)</f>
        <v>Asoj 77</v>
      </c>
      <c r="G957" s="20">
        <f>_xlfn.XLOOKUP('01. Main'!$B957,[1]Mapping!D$2:D$24,[1]Mapping!E$2:E$24,0,0)</f>
        <v>2020</v>
      </c>
    </row>
    <row r="958" spans="1:7" x14ac:dyDescent="0.45">
      <c r="A958" s="13">
        <f>'[1]02. Matrix'!A967</f>
        <v>957</v>
      </c>
      <c r="B958" s="14">
        <f>'[1]02. Matrix'!B967</f>
        <v>6</v>
      </c>
      <c r="C958" s="14" t="str">
        <f>'[1]02. Matrix'!C967</f>
        <v>WC TRADING/IND LOAN</v>
      </c>
      <c r="D958" s="14">
        <f>'[1]02. Matrix'!D967</f>
        <v>1</v>
      </c>
      <c r="E958" s="15">
        <f>'[1]02. Matrix'!E967</f>
        <v>0.17208005999213655</v>
      </c>
      <c r="F958" s="14" t="str">
        <f>_xlfn.XLOOKUP('01. Main'!$B958,[1]Mapping!$D:$D,[1]Mapping!$A:$A,0,0)</f>
        <v>Asoj 77</v>
      </c>
      <c r="G958" s="16">
        <f>_xlfn.XLOOKUP('01. Main'!$B958,[1]Mapping!D$2:D$24,[1]Mapping!E$2:E$24,0,0)</f>
        <v>2020</v>
      </c>
    </row>
    <row r="959" spans="1:7" x14ac:dyDescent="0.45">
      <c r="A959" s="17">
        <f>'[1]02. Matrix'!A968</f>
        <v>958</v>
      </c>
      <c r="B959" s="18">
        <f>'[1]02. Matrix'!B968</f>
        <v>6</v>
      </c>
      <c r="C959" s="18" t="str">
        <f>'[1]02. Matrix'!C968</f>
        <v>HOUSING LOAN</v>
      </c>
      <c r="D959" s="18">
        <f>'[1]02. Matrix'!D968</f>
        <v>1</v>
      </c>
      <c r="E959" s="19">
        <f>'[1]02. Matrix'!E968</f>
        <v>0.30097255610051188</v>
      </c>
      <c r="F959" s="18" t="str">
        <f>_xlfn.XLOOKUP('01. Main'!$B959,[1]Mapping!$D:$D,[1]Mapping!$A:$A,0,0)</f>
        <v>Asoj 77</v>
      </c>
      <c r="G959" s="20">
        <f>_xlfn.XLOOKUP('01. Main'!$B959,[1]Mapping!D$2:D$24,[1]Mapping!E$2:E$24,0,0)</f>
        <v>2020</v>
      </c>
    </row>
    <row r="960" spans="1:7" x14ac:dyDescent="0.45">
      <c r="A960" s="13">
        <f>'[1]02. Matrix'!A969</f>
        <v>959</v>
      </c>
      <c r="B960" s="14">
        <f>'[1]02. Matrix'!B969</f>
        <v>6</v>
      </c>
      <c r="C960" s="14" t="str">
        <f>'[1]02. Matrix'!C969</f>
        <v>RESI REAL EST LOAN</v>
      </c>
      <c r="D960" s="14">
        <f>'[1]02. Matrix'!D969</f>
        <v>1</v>
      </c>
      <c r="E960" s="15">
        <f>'[1]02. Matrix'!E969</f>
        <v>9.3960825787847188E-2</v>
      </c>
      <c r="F960" s="14" t="str">
        <f>_xlfn.XLOOKUP('01. Main'!$B960,[1]Mapping!$D:$D,[1]Mapping!$A:$A,0,0)</f>
        <v>Asoj 77</v>
      </c>
      <c r="G960" s="16">
        <f>_xlfn.XLOOKUP('01. Main'!$B960,[1]Mapping!D$2:D$24,[1]Mapping!E$2:E$24,0,0)</f>
        <v>2020</v>
      </c>
    </row>
    <row r="961" spans="1:7" x14ac:dyDescent="0.45">
      <c r="A961" s="17">
        <f>'[1]02. Matrix'!A970</f>
        <v>960</v>
      </c>
      <c r="B961" s="18">
        <f>'[1]02. Matrix'!B970</f>
        <v>6</v>
      </c>
      <c r="C961" s="18" t="str">
        <f>'[1]02. Matrix'!C970</f>
        <v>MARGIN NATURE LOAN</v>
      </c>
      <c r="D961" s="18">
        <f>'[1]02. Matrix'!D970</f>
        <v>1</v>
      </c>
      <c r="E961" s="19">
        <f>'[1]02. Matrix'!E970</f>
        <v>0</v>
      </c>
      <c r="F961" s="18" t="str">
        <f>_xlfn.XLOOKUP('01. Main'!$B961,[1]Mapping!$D:$D,[1]Mapping!$A:$A,0,0)</f>
        <v>Asoj 77</v>
      </c>
      <c r="G961" s="20">
        <f>_xlfn.XLOOKUP('01. Main'!$B961,[1]Mapping!D$2:D$24,[1]Mapping!E$2:E$24,0,0)</f>
        <v>2020</v>
      </c>
    </row>
    <row r="962" spans="1:7" x14ac:dyDescent="0.45">
      <c r="A962" s="13">
        <f>'[1]02. Matrix'!A971</f>
        <v>961</v>
      </c>
      <c r="B962" s="14">
        <f>'[1]02. Matrix'!B971</f>
        <v>6</v>
      </c>
      <c r="C962" s="14" t="str">
        <f>'[1]02. Matrix'!C971</f>
        <v>HIRE PURCHASE LOAN</v>
      </c>
      <c r="D962" s="14">
        <f>'[1]02. Matrix'!D971</f>
        <v>1</v>
      </c>
      <c r="E962" s="15">
        <f>'[1]02. Matrix'!E971</f>
        <v>0.53906736965852797</v>
      </c>
      <c r="F962" s="14" t="str">
        <f>_xlfn.XLOOKUP('01. Main'!$B962,[1]Mapping!$D:$D,[1]Mapping!$A:$A,0,0)</f>
        <v>Asoj 77</v>
      </c>
      <c r="G962" s="16">
        <f>_xlfn.XLOOKUP('01. Main'!$B962,[1]Mapping!D$2:D$24,[1]Mapping!E$2:E$24,0,0)</f>
        <v>2020</v>
      </c>
    </row>
    <row r="963" spans="1:7" x14ac:dyDescent="0.45">
      <c r="A963" s="17">
        <f>'[1]02. Matrix'!A972</f>
        <v>962</v>
      </c>
      <c r="B963" s="18">
        <f>'[1]02. Matrix'!B972</f>
        <v>6</v>
      </c>
      <c r="C963" s="18" t="str">
        <f>'[1]02. Matrix'!C972</f>
        <v>DEPRIVED SECTOR LOAN</v>
      </c>
      <c r="D963" s="18">
        <f>'[1]02. Matrix'!D972</f>
        <v>1</v>
      </c>
      <c r="E963" s="19">
        <f>'[1]02. Matrix'!E972</f>
        <v>7.9864611118053236E-2</v>
      </c>
      <c r="F963" s="18" t="str">
        <f>_xlfn.XLOOKUP('01. Main'!$B963,[1]Mapping!$D:$D,[1]Mapping!$A:$A,0,0)</f>
        <v>Asoj 77</v>
      </c>
      <c r="G963" s="20">
        <f>_xlfn.XLOOKUP('01. Main'!$B963,[1]Mapping!D$2:D$24,[1]Mapping!E$2:E$24,0,0)</f>
        <v>2020</v>
      </c>
    </row>
    <row r="964" spans="1:7" x14ac:dyDescent="0.45">
      <c r="A964" s="13">
        <f>'[1]02. Matrix'!A973</f>
        <v>963</v>
      </c>
      <c r="B964" s="14">
        <f>'[1]02. Matrix'!B973</f>
        <v>6</v>
      </c>
      <c r="C964" s="14" t="str">
        <f>'[1]02. Matrix'!C973</f>
        <v>EDUCATIONAL LOAN</v>
      </c>
      <c r="D964" s="14">
        <f>'[1]02. Matrix'!D973</f>
        <v>1</v>
      </c>
      <c r="E964" s="15">
        <f>'[1]02. Matrix'!E973</f>
        <v>0.35643841883853261</v>
      </c>
      <c r="F964" s="14" t="str">
        <f>_xlfn.XLOOKUP('01. Main'!$B964,[1]Mapping!$D:$D,[1]Mapping!$A:$A,0,0)</f>
        <v>Asoj 77</v>
      </c>
      <c r="G964" s="16">
        <f>_xlfn.XLOOKUP('01. Main'!$B964,[1]Mapping!D$2:D$24,[1]Mapping!E$2:E$24,0,0)</f>
        <v>2020</v>
      </c>
    </row>
    <row r="965" spans="1:7" x14ac:dyDescent="0.45">
      <c r="A965" s="17">
        <f>'[1]02. Matrix'!A974</f>
        <v>964</v>
      </c>
      <c r="B965" s="18">
        <f>'[1]02. Matrix'!B974</f>
        <v>6</v>
      </c>
      <c r="C965" s="18" t="str">
        <f>'[1]02. Matrix'!C974</f>
        <v>AGRICULTURE LOAN</v>
      </c>
      <c r="D965" s="18">
        <f>'[1]02. Matrix'!D974</f>
        <v>1</v>
      </c>
      <c r="E965" s="19">
        <f>'[1]02. Matrix'!E974</f>
        <v>0.31385498244535753</v>
      </c>
      <c r="F965" s="18" t="str">
        <f>_xlfn.XLOOKUP('01. Main'!$B965,[1]Mapping!$D:$D,[1]Mapping!$A:$A,0,0)</f>
        <v>Asoj 77</v>
      </c>
      <c r="G965" s="20">
        <f>_xlfn.XLOOKUP('01. Main'!$B965,[1]Mapping!D$2:D$24,[1]Mapping!E$2:E$24,0,0)</f>
        <v>2020</v>
      </c>
    </row>
    <row r="966" spans="1:7" x14ac:dyDescent="0.45">
      <c r="A966" s="13">
        <f>'[1]02. Matrix'!A975</f>
        <v>965</v>
      </c>
      <c r="B966" s="14">
        <f>'[1]02. Matrix'!B975</f>
        <v>6</v>
      </c>
      <c r="C966" s="14" t="str">
        <f>'[1]02. Matrix'!C975</f>
        <v>RESI PER.HOME-EMI</v>
      </c>
      <c r="D966" s="14">
        <f>'[1]02. Matrix'!D975</f>
        <v>1</v>
      </c>
      <c r="E966" s="15">
        <f>'[1]02. Matrix'!E975</f>
        <v>0.40205788687656341</v>
      </c>
      <c r="F966" s="14" t="str">
        <f>_xlfn.XLOOKUP('01. Main'!$B966,[1]Mapping!$D:$D,[1]Mapping!$A:$A,0,0)</f>
        <v>Asoj 77</v>
      </c>
      <c r="G966" s="16">
        <f>_xlfn.XLOOKUP('01. Main'!$B966,[1]Mapping!D$2:D$24,[1]Mapping!E$2:E$24,0,0)</f>
        <v>2020</v>
      </c>
    </row>
    <row r="967" spans="1:7" x14ac:dyDescent="0.45">
      <c r="A967" s="17">
        <f>'[1]02. Matrix'!A976</f>
        <v>966</v>
      </c>
      <c r="B967" s="18">
        <f>'[1]02. Matrix'!B976</f>
        <v>6</v>
      </c>
      <c r="C967" s="18" t="str">
        <f>'[1]02. Matrix'!C976</f>
        <v>TERM LOAN - BUSINESS</v>
      </c>
      <c r="D967" s="18">
        <f>'[1]02. Matrix'!D976</f>
        <v>1</v>
      </c>
      <c r="E967" s="19">
        <f>'[1]02. Matrix'!E976</f>
        <v>0</v>
      </c>
      <c r="F967" s="18" t="str">
        <f>_xlfn.XLOOKUP('01. Main'!$B967,[1]Mapping!$D:$D,[1]Mapping!$A:$A,0,0)</f>
        <v>Asoj 77</v>
      </c>
      <c r="G967" s="20">
        <f>_xlfn.XLOOKUP('01. Main'!$B967,[1]Mapping!D$2:D$24,[1]Mapping!E$2:E$24,0,0)</f>
        <v>2020</v>
      </c>
    </row>
    <row r="968" spans="1:7" x14ac:dyDescent="0.45">
      <c r="A968" s="13">
        <f>'[1]02. Matrix'!A977</f>
        <v>967</v>
      </c>
      <c r="B968" s="14">
        <f>'[1]02. Matrix'!B977</f>
        <v>6</v>
      </c>
      <c r="C968" s="14" t="str">
        <f>'[1]02. Matrix'!C977</f>
        <v>CONS FIN BUSN TRM LO</v>
      </c>
      <c r="D968" s="14">
        <f>'[1]02. Matrix'!D977</f>
        <v>1</v>
      </c>
      <c r="E968" s="15">
        <f>'[1]02. Matrix'!E977</f>
        <v>0</v>
      </c>
      <c r="F968" s="14" t="str">
        <f>_xlfn.XLOOKUP('01. Main'!$B968,[1]Mapping!$D:$D,[1]Mapping!$A:$A,0,0)</f>
        <v>Asoj 77</v>
      </c>
      <c r="G968" s="16">
        <f>_xlfn.XLOOKUP('01. Main'!$B968,[1]Mapping!D$2:D$24,[1]Mapping!E$2:E$24,0,0)</f>
        <v>2020</v>
      </c>
    </row>
    <row r="969" spans="1:7" x14ac:dyDescent="0.45">
      <c r="A969" s="17">
        <f>'[1]02. Matrix'!A978</f>
        <v>968</v>
      </c>
      <c r="B969" s="18">
        <f>'[1]02. Matrix'!B978</f>
        <v>6</v>
      </c>
      <c r="C969" s="18" t="str">
        <f>'[1]02. Matrix'!C978</f>
        <v>BIS/PERHIRE PURCHASE</v>
      </c>
      <c r="D969" s="18">
        <f>'[1]02. Matrix'!D978</f>
        <v>1</v>
      </c>
      <c r="E969" s="19">
        <f>'[1]02. Matrix'!E978</f>
        <v>0.51300765817915139</v>
      </c>
      <c r="F969" s="18" t="str">
        <f>_xlfn.XLOOKUP('01. Main'!$B969,[1]Mapping!$D:$D,[1]Mapping!$A:$A,0,0)</f>
        <v>Asoj 77</v>
      </c>
      <c r="G969" s="20">
        <f>_xlfn.XLOOKUP('01. Main'!$B969,[1]Mapping!D$2:D$24,[1]Mapping!E$2:E$24,0,0)</f>
        <v>2020</v>
      </c>
    </row>
    <row r="970" spans="1:7" x14ac:dyDescent="0.45">
      <c r="A970" s="13">
        <f>'[1]02. Matrix'!A979</f>
        <v>969</v>
      </c>
      <c r="B970" s="14">
        <f>'[1]02. Matrix'!B979</f>
        <v>6</v>
      </c>
      <c r="C970" s="14" t="str">
        <f>'[1]02. Matrix'!C979</f>
        <v xml:space="preserve">INT CAP TERM LOAN </v>
      </c>
      <c r="D970" s="14">
        <f>'[1]02. Matrix'!D979</f>
        <v>1</v>
      </c>
      <c r="E970" s="15">
        <f>'[1]02. Matrix'!E979</f>
        <v>0</v>
      </c>
      <c r="F970" s="14" t="str">
        <f>_xlfn.XLOOKUP('01. Main'!$B970,[1]Mapping!$D:$D,[1]Mapping!$A:$A,0,0)</f>
        <v>Asoj 77</v>
      </c>
      <c r="G970" s="16">
        <f>_xlfn.XLOOKUP('01. Main'!$B970,[1]Mapping!D$2:D$24,[1]Mapping!E$2:E$24,0,0)</f>
        <v>2020</v>
      </c>
    </row>
    <row r="971" spans="1:7" x14ac:dyDescent="0.45">
      <c r="A971" s="17">
        <f>'[1]02. Matrix'!A980</f>
        <v>970</v>
      </c>
      <c r="B971" s="18">
        <f>'[1]02. Matrix'!B980</f>
        <v>6</v>
      </c>
      <c r="C971" s="18" t="str">
        <f>'[1]02. Matrix'!C980</f>
        <v>PERSONAL LOAN</v>
      </c>
      <c r="D971" s="18">
        <f>'[1]02. Matrix'!D980</f>
        <v>1</v>
      </c>
      <c r="E971" s="19">
        <f>'[1]02. Matrix'!E980</f>
        <v>9.2149033286611309E-2</v>
      </c>
      <c r="F971" s="18" t="str">
        <f>_xlfn.XLOOKUP('01. Main'!$B971,[1]Mapping!$D:$D,[1]Mapping!$A:$A,0,0)</f>
        <v>Asoj 77</v>
      </c>
      <c r="G971" s="20">
        <f>_xlfn.XLOOKUP('01. Main'!$B971,[1]Mapping!D$2:D$24,[1]Mapping!E$2:E$24,0,0)</f>
        <v>2020</v>
      </c>
    </row>
    <row r="972" spans="1:7" x14ac:dyDescent="0.45">
      <c r="A972" s="13">
        <f>'[1]02. Matrix'!A981</f>
        <v>971</v>
      </c>
      <c r="B972" s="14">
        <f>'[1]02. Matrix'!B981</f>
        <v>6</v>
      </c>
      <c r="C972" s="14" t="str">
        <f>'[1]02. Matrix'!C981</f>
        <v>MORTGAGE LOAN</v>
      </c>
      <c r="D972" s="14">
        <f>'[1]02. Matrix'!D981</f>
        <v>1</v>
      </c>
      <c r="E972" s="15">
        <f>'[1]02. Matrix'!E981</f>
        <v>0</v>
      </c>
      <c r="F972" s="14" t="str">
        <f>_xlfn.XLOOKUP('01. Main'!$B972,[1]Mapping!$D:$D,[1]Mapping!$A:$A,0,0)</f>
        <v>Asoj 77</v>
      </c>
      <c r="G972" s="16">
        <f>_xlfn.XLOOKUP('01. Main'!$B972,[1]Mapping!D$2:D$24,[1]Mapping!E$2:E$24,0,0)</f>
        <v>2020</v>
      </c>
    </row>
    <row r="973" spans="1:7" x14ac:dyDescent="0.45">
      <c r="A973" s="17">
        <f>'[1]02. Matrix'!A982</f>
        <v>972</v>
      </c>
      <c r="B973" s="18">
        <f>'[1]02. Matrix'!B982</f>
        <v>6</v>
      </c>
      <c r="C973" s="18" t="str">
        <f>'[1]02. Matrix'!C982</f>
        <v>LOAN AGAINST FDR</v>
      </c>
      <c r="D973" s="18">
        <f>'[1]02. Matrix'!D982</f>
        <v>1</v>
      </c>
      <c r="E973" s="19">
        <f>'[1]02. Matrix'!E982</f>
        <v>0</v>
      </c>
      <c r="F973" s="18" t="str">
        <f>_xlfn.XLOOKUP('01. Main'!$B973,[1]Mapping!$D:$D,[1]Mapping!$A:$A,0,0)</f>
        <v>Asoj 77</v>
      </c>
      <c r="G973" s="20">
        <f>_xlfn.XLOOKUP('01. Main'!$B973,[1]Mapping!D$2:D$24,[1]Mapping!E$2:E$24,0,0)</f>
        <v>2020</v>
      </c>
    </row>
    <row r="974" spans="1:7" x14ac:dyDescent="0.45">
      <c r="A974" s="13">
        <f>'[1]02. Matrix'!A983</f>
        <v>973</v>
      </c>
      <c r="B974" s="14">
        <f>'[1]02. Matrix'!B983</f>
        <v>6</v>
      </c>
      <c r="C974" s="14" t="str">
        <f>'[1]02. Matrix'!C983</f>
        <v>RECEIVABLE LOAN</v>
      </c>
      <c r="D974" s="14">
        <f>'[1]02. Matrix'!D983</f>
        <v>1</v>
      </c>
      <c r="E974" s="15">
        <f>'[1]02. Matrix'!E983</f>
        <v>0</v>
      </c>
      <c r="F974" s="14" t="str">
        <f>_xlfn.XLOOKUP('01. Main'!$B974,[1]Mapping!$D:$D,[1]Mapping!$A:$A,0,0)</f>
        <v>Asoj 77</v>
      </c>
      <c r="G974" s="16">
        <f>_xlfn.XLOOKUP('01. Main'!$B974,[1]Mapping!D$2:D$24,[1]Mapping!E$2:E$24,0,0)</f>
        <v>2020</v>
      </c>
    </row>
    <row r="975" spans="1:7" x14ac:dyDescent="0.45">
      <c r="A975" s="17">
        <f>'[1]02. Matrix'!A984</f>
        <v>974</v>
      </c>
      <c r="B975" s="18">
        <f>'[1]02. Matrix'!B984</f>
        <v>6</v>
      </c>
      <c r="C975" s="18" t="str">
        <f>'[1]02. Matrix'!C984</f>
        <v>STAFF LOAN</v>
      </c>
      <c r="D975" s="18">
        <f>'[1]02. Matrix'!D984</f>
        <v>1</v>
      </c>
      <c r="E975" s="19">
        <f>'[1]02. Matrix'!E984</f>
        <v>0.13956100418262721</v>
      </c>
      <c r="F975" s="18" t="str">
        <f>_xlfn.XLOOKUP('01. Main'!$B975,[1]Mapping!$D:$D,[1]Mapping!$A:$A,0,0)</f>
        <v>Asoj 77</v>
      </c>
      <c r="G975" s="20">
        <f>_xlfn.XLOOKUP('01. Main'!$B975,[1]Mapping!D$2:D$24,[1]Mapping!E$2:E$24,0,0)</f>
        <v>2020</v>
      </c>
    </row>
    <row r="976" spans="1:7" x14ac:dyDescent="0.45">
      <c r="A976" s="13">
        <f>'[1]02. Matrix'!A985</f>
        <v>975</v>
      </c>
      <c r="B976" s="14">
        <f>'[1]02. Matrix'!B985</f>
        <v>6</v>
      </c>
      <c r="C976" s="14" t="str">
        <f>'[1]02. Matrix'!C985</f>
        <v>AGRICULTURAL LOAN</v>
      </c>
      <c r="D976" s="14">
        <f>'[1]02. Matrix'!D985</f>
        <v>1</v>
      </c>
      <c r="E976" s="15">
        <f>'[1]02. Matrix'!E985</f>
        <v>0</v>
      </c>
      <c r="F976" s="14" t="str">
        <f>_xlfn.XLOOKUP('01. Main'!$B976,[1]Mapping!$D:$D,[1]Mapping!$A:$A,0,0)</f>
        <v>Asoj 77</v>
      </c>
      <c r="G976" s="16">
        <f>_xlfn.XLOOKUP('01. Main'!$B976,[1]Mapping!D$2:D$24,[1]Mapping!E$2:E$24,0,0)</f>
        <v>2020</v>
      </c>
    </row>
    <row r="977" spans="1:7" x14ac:dyDescent="0.45">
      <c r="A977" s="17">
        <f>'[1]02. Matrix'!A986</f>
        <v>976</v>
      </c>
      <c r="B977" s="18">
        <f>'[1]02. Matrix'!B986</f>
        <v>6</v>
      </c>
      <c r="C977" s="18" t="str">
        <f>'[1]02. Matrix'!C986</f>
        <v>EARTHQUAKE RELIEF LO</v>
      </c>
      <c r="D977" s="18">
        <f>'[1]02. Matrix'!D986</f>
        <v>1</v>
      </c>
      <c r="E977" s="19">
        <f>'[1]02. Matrix'!E986</f>
        <v>0</v>
      </c>
      <c r="F977" s="18" t="str">
        <f>_xlfn.XLOOKUP('01. Main'!$B977,[1]Mapping!$D:$D,[1]Mapping!$A:$A,0,0)</f>
        <v>Asoj 77</v>
      </c>
      <c r="G977" s="20">
        <f>_xlfn.XLOOKUP('01. Main'!$B977,[1]Mapping!D$2:D$24,[1]Mapping!E$2:E$24,0,0)</f>
        <v>2020</v>
      </c>
    </row>
    <row r="978" spans="1:7" x14ac:dyDescent="0.45">
      <c r="A978" s="13">
        <f>'[1]02. Matrix'!A987</f>
        <v>977</v>
      </c>
      <c r="B978" s="14">
        <f>'[1]02. Matrix'!B987</f>
        <v>6</v>
      </c>
      <c r="C978" s="14" t="str">
        <f>'[1]02. Matrix'!C987</f>
        <v>TOURISM SECTOR LOAN</v>
      </c>
      <c r="D978" s="14">
        <f>'[1]02. Matrix'!D987</f>
        <v>1</v>
      </c>
      <c r="E978" s="15">
        <f>'[1]02. Matrix'!E987</f>
        <v>0</v>
      </c>
      <c r="F978" s="14" t="str">
        <f>_xlfn.XLOOKUP('01. Main'!$B978,[1]Mapping!$D:$D,[1]Mapping!$A:$A,0,0)</f>
        <v>Asoj 77</v>
      </c>
      <c r="G978" s="16">
        <f>_xlfn.XLOOKUP('01. Main'!$B978,[1]Mapping!D$2:D$24,[1]Mapping!E$2:E$24,0,0)</f>
        <v>2020</v>
      </c>
    </row>
    <row r="979" spans="1:7" x14ac:dyDescent="0.45">
      <c r="A979" s="17">
        <f>'[1]02. Matrix'!A988</f>
        <v>978</v>
      </c>
      <c r="B979" s="18">
        <f>'[1]02. Matrix'!B988</f>
        <v>6</v>
      </c>
      <c r="C979" s="18" t="str">
        <f>'[1]02. Matrix'!C988</f>
        <v>SME LOAN</v>
      </c>
      <c r="D979" s="18">
        <f>'[1]02. Matrix'!D988</f>
        <v>1</v>
      </c>
      <c r="E979" s="19">
        <f>'[1]02. Matrix'!E988</f>
        <v>0.47517878121136203</v>
      </c>
      <c r="F979" s="18" t="str">
        <f>_xlfn.XLOOKUP('01. Main'!$B979,[1]Mapping!$D:$D,[1]Mapping!$A:$A,0,0)</f>
        <v>Asoj 77</v>
      </c>
      <c r="G979" s="20">
        <f>_xlfn.XLOOKUP('01. Main'!$B979,[1]Mapping!D$2:D$24,[1]Mapping!E$2:E$24,0,0)</f>
        <v>2020</v>
      </c>
    </row>
    <row r="980" spans="1:7" x14ac:dyDescent="0.45">
      <c r="A980" s="13">
        <f>'[1]02. Matrix'!A989</f>
        <v>979</v>
      </c>
      <c r="B980" s="14">
        <f>'[1]02. Matrix'!B989</f>
        <v>6</v>
      </c>
      <c r="C980" s="14" t="str">
        <f>'[1]02. Matrix'!C989</f>
        <v>EDUCATIONAL LOAN EMI</v>
      </c>
      <c r="D980" s="14">
        <f>'[1]02. Matrix'!D989</f>
        <v>1</v>
      </c>
      <c r="E980" s="15">
        <f>'[1]02. Matrix'!E989</f>
        <v>0</v>
      </c>
      <c r="F980" s="14" t="str">
        <f>_xlfn.XLOOKUP('01. Main'!$B980,[1]Mapping!$D:$D,[1]Mapping!$A:$A,0,0)</f>
        <v>Asoj 77</v>
      </c>
      <c r="G980" s="16">
        <f>_xlfn.XLOOKUP('01. Main'!$B980,[1]Mapping!D$2:D$24,[1]Mapping!E$2:E$24,0,0)</f>
        <v>2020</v>
      </c>
    </row>
    <row r="981" spans="1:7" x14ac:dyDescent="0.45">
      <c r="A981" s="17">
        <f>'[1]02. Matrix'!A990</f>
        <v>980</v>
      </c>
      <c r="B981" s="18">
        <f>'[1]02. Matrix'!B990</f>
        <v>6</v>
      </c>
      <c r="C981" s="18" t="str">
        <f>'[1]02. Matrix'!C990</f>
        <v>OVERDRAFT PROFESSION</v>
      </c>
      <c r="D981" s="18">
        <f>'[1]02. Matrix'!D990</f>
        <v>1</v>
      </c>
      <c r="E981" s="19">
        <f>'[1]02. Matrix'!E990</f>
        <v>0</v>
      </c>
      <c r="F981" s="18" t="str">
        <f>_xlfn.XLOOKUP('01. Main'!$B981,[1]Mapping!$D:$D,[1]Mapping!$A:$A,0,0)</f>
        <v>Asoj 77</v>
      </c>
      <c r="G981" s="20">
        <f>_xlfn.XLOOKUP('01. Main'!$B981,[1]Mapping!D$2:D$24,[1]Mapping!E$2:E$24,0,0)</f>
        <v>2020</v>
      </c>
    </row>
    <row r="982" spans="1:7" x14ac:dyDescent="0.45">
      <c r="A982" s="13">
        <f>'[1]02. Matrix'!A991</f>
        <v>981</v>
      </c>
      <c r="B982" s="14">
        <f>'[1]02. Matrix'!B991</f>
        <v>6</v>
      </c>
      <c r="C982" s="14" t="str">
        <f>'[1]02. Matrix'!C991</f>
        <v>OD PERSONAL LOAN</v>
      </c>
      <c r="D982" s="14">
        <f>'[1]02. Matrix'!D991</f>
        <v>2</v>
      </c>
      <c r="E982" s="15">
        <f>'[1]02. Matrix'!E991</f>
        <v>0</v>
      </c>
      <c r="F982" s="14" t="str">
        <f>_xlfn.XLOOKUP('01. Main'!$B982,[1]Mapping!$D:$D,[1]Mapping!$A:$A,0,0)</f>
        <v>Asoj 77</v>
      </c>
      <c r="G982" s="16">
        <f>_xlfn.XLOOKUP('01. Main'!$B982,[1]Mapping!D$2:D$24,[1]Mapping!E$2:E$24,0,0)</f>
        <v>2020</v>
      </c>
    </row>
    <row r="983" spans="1:7" x14ac:dyDescent="0.45">
      <c r="A983" s="17">
        <f>'[1]02. Matrix'!A992</f>
        <v>982</v>
      </c>
      <c r="B983" s="18">
        <f>'[1]02. Matrix'!B992</f>
        <v>6</v>
      </c>
      <c r="C983" s="18" t="str">
        <f>'[1]02. Matrix'!C992</f>
        <v>OD BUSINESS LOAN</v>
      </c>
      <c r="D983" s="18">
        <f>'[1]02. Matrix'!D992</f>
        <v>2</v>
      </c>
      <c r="E983" s="19">
        <f>'[1]02. Matrix'!E992</f>
        <v>0</v>
      </c>
      <c r="F983" s="18" t="str">
        <f>_xlfn.XLOOKUP('01. Main'!$B983,[1]Mapping!$D:$D,[1]Mapping!$A:$A,0,0)</f>
        <v>Asoj 77</v>
      </c>
      <c r="G983" s="20">
        <f>_xlfn.XLOOKUP('01. Main'!$B983,[1]Mapping!D$2:D$24,[1]Mapping!E$2:E$24,0,0)</f>
        <v>2020</v>
      </c>
    </row>
    <row r="984" spans="1:7" x14ac:dyDescent="0.45">
      <c r="A984" s="13">
        <f>'[1]02. Matrix'!A993</f>
        <v>983</v>
      </c>
      <c r="B984" s="14">
        <f>'[1]02. Matrix'!B993</f>
        <v>6</v>
      </c>
      <c r="C984" s="14" t="str">
        <f>'[1]02. Matrix'!C993</f>
        <v>OD STAFF LOAN</v>
      </c>
      <c r="D984" s="14">
        <f>'[1]02. Matrix'!D993</f>
        <v>2</v>
      </c>
      <c r="E984" s="15">
        <f>'[1]02. Matrix'!E993</f>
        <v>0</v>
      </c>
      <c r="F984" s="14" t="str">
        <f>_xlfn.XLOOKUP('01. Main'!$B984,[1]Mapping!$D:$D,[1]Mapping!$A:$A,0,0)</f>
        <v>Asoj 77</v>
      </c>
      <c r="G984" s="16">
        <f>_xlfn.XLOOKUP('01. Main'!$B984,[1]Mapping!D$2:D$24,[1]Mapping!E$2:E$24,0,0)</f>
        <v>2020</v>
      </c>
    </row>
    <row r="985" spans="1:7" x14ac:dyDescent="0.45">
      <c r="A985" s="17">
        <f>'[1]02. Matrix'!A994</f>
        <v>984</v>
      </c>
      <c r="B985" s="18">
        <f>'[1]02. Matrix'!B994</f>
        <v>6</v>
      </c>
      <c r="C985" s="18" t="str">
        <f>'[1]02. Matrix'!C994</f>
        <v>TERM LOAN</v>
      </c>
      <c r="D985" s="18">
        <f>'[1]02. Matrix'!D994</f>
        <v>2</v>
      </c>
      <c r="E985" s="19">
        <f>'[1]02. Matrix'!E994</f>
        <v>0.61241443808767304</v>
      </c>
      <c r="F985" s="18" t="str">
        <f>_xlfn.XLOOKUP('01. Main'!$B985,[1]Mapping!$D:$D,[1]Mapping!$A:$A,0,0)</f>
        <v>Asoj 77</v>
      </c>
      <c r="G985" s="20">
        <f>_xlfn.XLOOKUP('01. Main'!$B985,[1]Mapping!D$2:D$24,[1]Mapping!E$2:E$24,0,0)</f>
        <v>2020</v>
      </c>
    </row>
    <row r="986" spans="1:7" x14ac:dyDescent="0.45">
      <c r="A986" s="13">
        <f>'[1]02. Matrix'!A995</f>
        <v>985</v>
      </c>
      <c r="B986" s="14">
        <f>'[1]02. Matrix'!B995</f>
        <v>6</v>
      </c>
      <c r="C986" s="14" t="str">
        <f>'[1]02. Matrix'!C995</f>
        <v>WC TRADING/IND LOAN</v>
      </c>
      <c r="D986" s="14">
        <f>'[1]02. Matrix'!D995</f>
        <v>2</v>
      </c>
      <c r="E986" s="15">
        <f>'[1]02. Matrix'!E995</f>
        <v>0.17411310468669322</v>
      </c>
      <c r="F986" s="14" t="str">
        <f>_xlfn.XLOOKUP('01. Main'!$B986,[1]Mapping!$D:$D,[1]Mapping!$A:$A,0,0)</f>
        <v>Asoj 77</v>
      </c>
      <c r="G986" s="16">
        <f>_xlfn.XLOOKUP('01. Main'!$B986,[1]Mapping!D$2:D$24,[1]Mapping!E$2:E$24,0,0)</f>
        <v>2020</v>
      </c>
    </row>
    <row r="987" spans="1:7" x14ac:dyDescent="0.45">
      <c r="A987" s="17">
        <f>'[1]02. Matrix'!A996</f>
        <v>986</v>
      </c>
      <c r="B987" s="18">
        <f>'[1]02. Matrix'!B996</f>
        <v>6</v>
      </c>
      <c r="C987" s="18" t="str">
        <f>'[1]02. Matrix'!C996</f>
        <v>HOUSING LOAN</v>
      </c>
      <c r="D987" s="18">
        <f>'[1]02. Matrix'!D996</f>
        <v>2</v>
      </c>
      <c r="E987" s="19">
        <f>'[1]02. Matrix'!E996</f>
        <v>0.44753293981273778</v>
      </c>
      <c r="F987" s="18" t="str">
        <f>_xlfn.XLOOKUP('01. Main'!$B987,[1]Mapping!$D:$D,[1]Mapping!$A:$A,0,0)</f>
        <v>Asoj 77</v>
      </c>
      <c r="G987" s="20">
        <f>_xlfn.XLOOKUP('01. Main'!$B987,[1]Mapping!D$2:D$24,[1]Mapping!E$2:E$24,0,0)</f>
        <v>2020</v>
      </c>
    </row>
    <row r="988" spans="1:7" x14ac:dyDescent="0.45">
      <c r="A988" s="13">
        <f>'[1]02. Matrix'!A997</f>
        <v>987</v>
      </c>
      <c r="B988" s="14">
        <f>'[1]02. Matrix'!B997</f>
        <v>6</v>
      </c>
      <c r="C988" s="14" t="str">
        <f>'[1]02. Matrix'!C997</f>
        <v>RESI REAL EST LOAN</v>
      </c>
      <c r="D988" s="14">
        <f>'[1]02. Matrix'!D997</f>
        <v>2</v>
      </c>
      <c r="E988" s="15">
        <f>'[1]02. Matrix'!E997</f>
        <v>0.9546233703507927</v>
      </c>
      <c r="F988" s="14" t="str">
        <f>_xlfn.XLOOKUP('01. Main'!$B988,[1]Mapping!$D:$D,[1]Mapping!$A:$A,0,0)</f>
        <v>Asoj 77</v>
      </c>
      <c r="G988" s="16">
        <f>_xlfn.XLOOKUP('01. Main'!$B988,[1]Mapping!D$2:D$24,[1]Mapping!E$2:E$24,0,0)</f>
        <v>2020</v>
      </c>
    </row>
    <row r="989" spans="1:7" x14ac:dyDescent="0.45">
      <c r="A989" s="17">
        <f>'[1]02. Matrix'!A998</f>
        <v>988</v>
      </c>
      <c r="B989" s="18">
        <f>'[1]02. Matrix'!B998</f>
        <v>6</v>
      </c>
      <c r="C989" s="18" t="str">
        <f>'[1]02. Matrix'!C998</f>
        <v>MARGIN NATURE LOAN</v>
      </c>
      <c r="D989" s="18">
        <f>'[1]02. Matrix'!D998</f>
        <v>2</v>
      </c>
      <c r="E989" s="19">
        <f>'[1]02. Matrix'!E998</f>
        <v>0</v>
      </c>
      <c r="F989" s="18" t="str">
        <f>_xlfn.XLOOKUP('01. Main'!$B989,[1]Mapping!$D:$D,[1]Mapping!$A:$A,0,0)</f>
        <v>Asoj 77</v>
      </c>
      <c r="G989" s="20">
        <f>_xlfn.XLOOKUP('01. Main'!$B989,[1]Mapping!D$2:D$24,[1]Mapping!E$2:E$24,0,0)</f>
        <v>2020</v>
      </c>
    </row>
    <row r="990" spans="1:7" x14ac:dyDescent="0.45">
      <c r="A990" s="13">
        <f>'[1]02. Matrix'!A999</f>
        <v>989</v>
      </c>
      <c r="B990" s="14">
        <f>'[1]02. Matrix'!B999</f>
        <v>6</v>
      </c>
      <c r="C990" s="14" t="str">
        <f>'[1]02. Matrix'!C999</f>
        <v>HIRE PURCHASE LOAN</v>
      </c>
      <c r="D990" s="14">
        <f>'[1]02. Matrix'!D999</f>
        <v>2</v>
      </c>
      <c r="E990" s="15">
        <f>'[1]02. Matrix'!E999</f>
        <v>0.6775365647689926</v>
      </c>
      <c r="F990" s="14" t="str">
        <f>_xlfn.XLOOKUP('01. Main'!$B990,[1]Mapping!$D:$D,[1]Mapping!$A:$A,0,0)</f>
        <v>Asoj 77</v>
      </c>
      <c r="G990" s="16">
        <f>_xlfn.XLOOKUP('01. Main'!$B990,[1]Mapping!D$2:D$24,[1]Mapping!E$2:E$24,0,0)</f>
        <v>2020</v>
      </c>
    </row>
    <row r="991" spans="1:7" x14ac:dyDescent="0.45">
      <c r="A991" s="17">
        <f>'[1]02. Matrix'!A1000</f>
        <v>990</v>
      </c>
      <c r="B991" s="18">
        <f>'[1]02. Matrix'!B1000</f>
        <v>6</v>
      </c>
      <c r="C991" s="18" t="str">
        <f>'[1]02. Matrix'!C1000</f>
        <v>DEPRIVED SECTOR LOAN</v>
      </c>
      <c r="D991" s="18">
        <f>'[1]02. Matrix'!D1000</f>
        <v>2</v>
      </c>
      <c r="E991" s="19">
        <f>'[1]02. Matrix'!E1000</f>
        <v>0.19840270684925537</v>
      </c>
      <c r="F991" s="18" t="str">
        <f>_xlfn.XLOOKUP('01. Main'!$B991,[1]Mapping!$D:$D,[1]Mapping!$A:$A,0,0)</f>
        <v>Asoj 77</v>
      </c>
      <c r="G991" s="20">
        <f>_xlfn.XLOOKUP('01. Main'!$B991,[1]Mapping!D$2:D$24,[1]Mapping!E$2:E$24,0,0)</f>
        <v>2020</v>
      </c>
    </row>
    <row r="992" spans="1:7" x14ac:dyDescent="0.45">
      <c r="A992" s="13">
        <f>'[1]02. Matrix'!A1001</f>
        <v>991</v>
      </c>
      <c r="B992" s="14">
        <f>'[1]02. Matrix'!B1001</f>
        <v>6</v>
      </c>
      <c r="C992" s="14" t="str">
        <f>'[1]02. Matrix'!C1001</f>
        <v>EDUCATIONAL LOAN</v>
      </c>
      <c r="D992" s="14">
        <f>'[1]02. Matrix'!D1001</f>
        <v>2</v>
      </c>
      <c r="E992" s="15">
        <f>'[1]02. Matrix'!E1001</f>
        <v>0.28309462116216844</v>
      </c>
      <c r="F992" s="14" t="str">
        <f>_xlfn.XLOOKUP('01. Main'!$B992,[1]Mapping!$D:$D,[1]Mapping!$A:$A,0,0)</f>
        <v>Asoj 77</v>
      </c>
      <c r="G992" s="16">
        <f>_xlfn.XLOOKUP('01. Main'!$B992,[1]Mapping!D$2:D$24,[1]Mapping!E$2:E$24,0,0)</f>
        <v>2020</v>
      </c>
    </row>
    <row r="993" spans="1:7" x14ac:dyDescent="0.45">
      <c r="A993" s="17">
        <f>'[1]02. Matrix'!A1002</f>
        <v>992</v>
      </c>
      <c r="B993" s="18">
        <f>'[1]02. Matrix'!B1002</f>
        <v>6</v>
      </c>
      <c r="C993" s="18" t="str">
        <f>'[1]02. Matrix'!C1002</f>
        <v>AGRICULTURE LOAN</v>
      </c>
      <c r="D993" s="18">
        <f>'[1]02. Matrix'!D1002</f>
        <v>2</v>
      </c>
      <c r="E993" s="19">
        <f>'[1]02. Matrix'!E1002</f>
        <v>0.35041295782373894</v>
      </c>
      <c r="F993" s="18" t="str">
        <f>_xlfn.XLOOKUP('01. Main'!$B993,[1]Mapping!$D:$D,[1]Mapping!$A:$A,0,0)</f>
        <v>Asoj 77</v>
      </c>
      <c r="G993" s="20">
        <f>_xlfn.XLOOKUP('01. Main'!$B993,[1]Mapping!D$2:D$24,[1]Mapping!E$2:E$24,0,0)</f>
        <v>2020</v>
      </c>
    </row>
    <row r="994" spans="1:7" x14ac:dyDescent="0.45">
      <c r="A994" s="13">
        <f>'[1]02. Matrix'!A1003</f>
        <v>993</v>
      </c>
      <c r="B994" s="14">
        <f>'[1]02. Matrix'!B1003</f>
        <v>6</v>
      </c>
      <c r="C994" s="14" t="str">
        <f>'[1]02. Matrix'!C1003</f>
        <v>RESI PER.HOME-EMI</v>
      </c>
      <c r="D994" s="14">
        <f>'[1]02. Matrix'!D1003</f>
        <v>2</v>
      </c>
      <c r="E994" s="15">
        <f>'[1]02. Matrix'!E1003</f>
        <v>0.5134423855122735</v>
      </c>
      <c r="F994" s="14" t="str">
        <f>_xlfn.XLOOKUP('01. Main'!$B994,[1]Mapping!$D:$D,[1]Mapping!$A:$A,0,0)</f>
        <v>Asoj 77</v>
      </c>
      <c r="G994" s="16">
        <f>_xlfn.XLOOKUP('01. Main'!$B994,[1]Mapping!D$2:D$24,[1]Mapping!E$2:E$24,0,0)</f>
        <v>2020</v>
      </c>
    </row>
    <row r="995" spans="1:7" x14ac:dyDescent="0.45">
      <c r="A995" s="17">
        <f>'[1]02. Matrix'!A1004</f>
        <v>994</v>
      </c>
      <c r="B995" s="18">
        <f>'[1]02. Matrix'!B1004</f>
        <v>6</v>
      </c>
      <c r="C995" s="18" t="str">
        <f>'[1]02. Matrix'!C1004</f>
        <v>TERM LOAN - BUSINESS</v>
      </c>
      <c r="D995" s="18">
        <f>'[1]02. Matrix'!D1004</f>
        <v>2</v>
      </c>
      <c r="E995" s="19">
        <f>'[1]02. Matrix'!E1004</f>
        <v>0</v>
      </c>
      <c r="F995" s="18" t="str">
        <f>_xlfn.XLOOKUP('01. Main'!$B995,[1]Mapping!$D:$D,[1]Mapping!$A:$A,0,0)</f>
        <v>Asoj 77</v>
      </c>
      <c r="G995" s="20">
        <f>_xlfn.XLOOKUP('01. Main'!$B995,[1]Mapping!D$2:D$24,[1]Mapping!E$2:E$24,0,0)</f>
        <v>2020</v>
      </c>
    </row>
    <row r="996" spans="1:7" x14ac:dyDescent="0.45">
      <c r="A996" s="13">
        <f>'[1]02. Matrix'!A1005</f>
        <v>995</v>
      </c>
      <c r="B996" s="14">
        <f>'[1]02. Matrix'!B1005</f>
        <v>6</v>
      </c>
      <c r="C996" s="14" t="str">
        <f>'[1]02. Matrix'!C1005</f>
        <v>CONS FIN BUSN TRM LO</v>
      </c>
      <c r="D996" s="14">
        <f>'[1]02. Matrix'!D1005</f>
        <v>2</v>
      </c>
      <c r="E996" s="15">
        <f>'[1]02. Matrix'!E1005</f>
        <v>0</v>
      </c>
      <c r="F996" s="14" t="str">
        <f>_xlfn.XLOOKUP('01. Main'!$B996,[1]Mapping!$D:$D,[1]Mapping!$A:$A,0,0)</f>
        <v>Asoj 77</v>
      </c>
      <c r="G996" s="16">
        <f>_xlfn.XLOOKUP('01. Main'!$B996,[1]Mapping!D$2:D$24,[1]Mapping!E$2:E$24,0,0)</f>
        <v>2020</v>
      </c>
    </row>
    <row r="997" spans="1:7" x14ac:dyDescent="0.45">
      <c r="A997" s="17">
        <f>'[1]02. Matrix'!A1006</f>
        <v>996</v>
      </c>
      <c r="B997" s="18">
        <f>'[1]02. Matrix'!B1006</f>
        <v>6</v>
      </c>
      <c r="C997" s="18" t="str">
        <f>'[1]02. Matrix'!C1006</f>
        <v>BIS/PERHIRE PURCHASE</v>
      </c>
      <c r="D997" s="18">
        <f>'[1]02. Matrix'!D1006</f>
        <v>2</v>
      </c>
      <c r="E997" s="19">
        <f>'[1]02. Matrix'!E1006</f>
        <v>0.69428955273390691</v>
      </c>
      <c r="F997" s="18" t="str">
        <f>_xlfn.XLOOKUP('01. Main'!$B997,[1]Mapping!$D:$D,[1]Mapping!$A:$A,0,0)</f>
        <v>Asoj 77</v>
      </c>
      <c r="G997" s="20">
        <f>_xlfn.XLOOKUP('01. Main'!$B997,[1]Mapping!D$2:D$24,[1]Mapping!E$2:E$24,0,0)</f>
        <v>2020</v>
      </c>
    </row>
    <row r="998" spans="1:7" x14ac:dyDescent="0.45">
      <c r="A998" s="13">
        <f>'[1]02. Matrix'!A1007</f>
        <v>997</v>
      </c>
      <c r="B998" s="14">
        <f>'[1]02. Matrix'!B1007</f>
        <v>6</v>
      </c>
      <c r="C998" s="14" t="str">
        <f>'[1]02. Matrix'!C1007</f>
        <v xml:space="preserve">INT CAP TERM LOAN </v>
      </c>
      <c r="D998" s="14">
        <f>'[1]02. Matrix'!D1007</f>
        <v>2</v>
      </c>
      <c r="E998" s="15">
        <f>'[1]02. Matrix'!E1007</f>
        <v>0</v>
      </c>
      <c r="F998" s="14" t="str">
        <f>_xlfn.XLOOKUP('01. Main'!$B998,[1]Mapping!$D:$D,[1]Mapping!$A:$A,0,0)</f>
        <v>Asoj 77</v>
      </c>
      <c r="G998" s="16">
        <f>_xlfn.XLOOKUP('01. Main'!$B998,[1]Mapping!D$2:D$24,[1]Mapping!E$2:E$24,0,0)</f>
        <v>2020</v>
      </c>
    </row>
    <row r="999" spans="1:7" x14ac:dyDescent="0.45">
      <c r="A999" s="17">
        <f>'[1]02. Matrix'!A1008</f>
        <v>998</v>
      </c>
      <c r="B999" s="18">
        <f>'[1]02. Matrix'!B1008</f>
        <v>6</v>
      </c>
      <c r="C999" s="18" t="str">
        <f>'[1]02. Matrix'!C1008</f>
        <v>PERSONAL LOAN</v>
      </c>
      <c r="D999" s="18">
        <f>'[1]02. Matrix'!D1008</f>
        <v>2</v>
      </c>
      <c r="E999" s="19">
        <f>'[1]02. Matrix'!E1008</f>
        <v>9.9942377754467682E-2</v>
      </c>
      <c r="F999" s="18" t="str">
        <f>_xlfn.XLOOKUP('01. Main'!$B999,[1]Mapping!$D:$D,[1]Mapping!$A:$A,0,0)</f>
        <v>Asoj 77</v>
      </c>
      <c r="G999" s="20">
        <f>_xlfn.XLOOKUP('01. Main'!$B999,[1]Mapping!D$2:D$24,[1]Mapping!E$2:E$24,0,0)</f>
        <v>2020</v>
      </c>
    </row>
    <row r="1000" spans="1:7" x14ac:dyDescent="0.45">
      <c r="A1000" s="13">
        <f>'[1]02. Matrix'!A1009</f>
        <v>999</v>
      </c>
      <c r="B1000" s="14">
        <f>'[1]02. Matrix'!B1009</f>
        <v>6</v>
      </c>
      <c r="C1000" s="14" t="str">
        <f>'[1]02. Matrix'!C1009</f>
        <v>MORTGAGE LOAN</v>
      </c>
      <c r="D1000" s="14">
        <f>'[1]02. Matrix'!D1009</f>
        <v>2</v>
      </c>
      <c r="E1000" s="15">
        <f>'[1]02. Matrix'!E1009</f>
        <v>0</v>
      </c>
      <c r="F1000" s="14" t="str">
        <f>_xlfn.XLOOKUP('01. Main'!$B1000,[1]Mapping!$D:$D,[1]Mapping!$A:$A,0,0)</f>
        <v>Asoj 77</v>
      </c>
      <c r="G1000" s="16">
        <f>_xlfn.XLOOKUP('01. Main'!$B1000,[1]Mapping!D$2:D$24,[1]Mapping!E$2:E$24,0,0)</f>
        <v>2020</v>
      </c>
    </row>
    <row r="1001" spans="1:7" x14ac:dyDescent="0.45">
      <c r="A1001" s="17">
        <f>'[1]02. Matrix'!A1010</f>
        <v>1000</v>
      </c>
      <c r="B1001" s="18">
        <f>'[1]02. Matrix'!B1010</f>
        <v>6</v>
      </c>
      <c r="C1001" s="18" t="str">
        <f>'[1]02. Matrix'!C1010</f>
        <v>LOAN AGAINST FDR</v>
      </c>
      <c r="D1001" s="18">
        <f>'[1]02. Matrix'!D1010</f>
        <v>2</v>
      </c>
      <c r="E1001" s="19">
        <f>'[1]02. Matrix'!E1010</f>
        <v>0</v>
      </c>
      <c r="F1001" s="18" t="str">
        <f>_xlfn.XLOOKUP('01. Main'!$B1001,[1]Mapping!$D:$D,[1]Mapping!$A:$A,0,0)</f>
        <v>Asoj 77</v>
      </c>
      <c r="G1001" s="20">
        <f>_xlfn.XLOOKUP('01. Main'!$B1001,[1]Mapping!D$2:D$24,[1]Mapping!E$2:E$24,0,0)</f>
        <v>2020</v>
      </c>
    </row>
    <row r="1002" spans="1:7" x14ac:dyDescent="0.45">
      <c r="A1002" s="13">
        <f>'[1]02. Matrix'!A1011</f>
        <v>1001</v>
      </c>
      <c r="B1002" s="14">
        <f>'[1]02. Matrix'!B1011</f>
        <v>6</v>
      </c>
      <c r="C1002" s="14" t="str">
        <f>'[1]02. Matrix'!C1011</f>
        <v>RECEIVABLE LOAN</v>
      </c>
      <c r="D1002" s="14">
        <f>'[1]02. Matrix'!D1011</f>
        <v>2</v>
      </c>
      <c r="E1002" s="15">
        <f>'[1]02. Matrix'!E1011</f>
        <v>0</v>
      </c>
      <c r="F1002" s="14" t="str">
        <f>_xlfn.XLOOKUP('01. Main'!$B1002,[1]Mapping!$D:$D,[1]Mapping!$A:$A,0,0)</f>
        <v>Asoj 77</v>
      </c>
      <c r="G1002" s="16">
        <f>_xlfn.XLOOKUP('01. Main'!$B1002,[1]Mapping!D$2:D$24,[1]Mapping!E$2:E$24,0,0)</f>
        <v>2020</v>
      </c>
    </row>
    <row r="1003" spans="1:7" x14ac:dyDescent="0.45">
      <c r="A1003" s="17">
        <f>'[1]02. Matrix'!A1012</f>
        <v>1002</v>
      </c>
      <c r="B1003" s="18">
        <f>'[1]02. Matrix'!B1012</f>
        <v>6</v>
      </c>
      <c r="C1003" s="18" t="str">
        <f>'[1]02. Matrix'!C1012</f>
        <v>STAFF LOAN</v>
      </c>
      <c r="D1003" s="18">
        <f>'[1]02. Matrix'!D1012</f>
        <v>2</v>
      </c>
      <c r="E1003" s="19">
        <f>'[1]02. Matrix'!E1012</f>
        <v>1</v>
      </c>
      <c r="F1003" s="18" t="str">
        <f>_xlfn.XLOOKUP('01. Main'!$B1003,[1]Mapping!$D:$D,[1]Mapping!$A:$A,0,0)</f>
        <v>Asoj 77</v>
      </c>
      <c r="G1003" s="20">
        <f>_xlfn.XLOOKUP('01. Main'!$B1003,[1]Mapping!D$2:D$24,[1]Mapping!E$2:E$24,0,0)</f>
        <v>2020</v>
      </c>
    </row>
    <row r="1004" spans="1:7" x14ac:dyDescent="0.45">
      <c r="A1004" s="13">
        <f>'[1]02. Matrix'!A1013</f>
        <v>1003</v>
      </c>
      <c r="B1004" s="14">
        <f>'[1]02. Matrix'!B1013</f>
        <v>6</v>
      </c>
      <c r="C1004" s="14" t="str">
        <f>'[1]02. Matrix'!C1013</f>
        <v>AGRICULTURAL LOAN</v>
      </c>
      <c r="D1004" s="14">
        <f>'[1]02. Matrix'!D1013</f>
        <v>2</v>
      </c>
      <c r="E1004" s="15">
        <f>'[1]02. Matrix'!E1013</f>
        <v>0</v>
      </c>
      <c r="F1004" s="14" t="str">
        <f>_xlfn.XLOOKUP('01. Main'!$B1004,[1]Mapping!$D:$D,[1]Mapping!$A:$A,0,0)</f>
        <v>Asoj 77</v>
      </c>
      <c r="G1004" s="16">
        <f>_xlfn.XLOOKUP('01. Main'!$B1004,[1]Mapping!D$2:D$24,[1]Mapping!E$2:E$24,0,0)</f>
        <v>2020</v>
      </c>
    </row>
    <row r="1005" spans="1:7" x14ac:dyDescent="0.45">
      <c r="A1005" s="17">
        <f>'[1]02. Matrix'!A1014</f>
        <v>1004</v>
      </c>
      <c r="B1005" s="18">
        <f>'[1]02. Matrix'!B1014</f>
        <v>6</v>
      </c>
      <c r="C1005" s="18" t="str">
        <f>'[1]02. Matrix'!C1014</f>
        <v>EARTHQUAKE RELIEF LO</v>
      </c>
      <c r="D1005" s="18">
        <f>'[1]02. Matrix'!D1014</f>
        <v>2</v>
      </c>
      <c r="E1005" s="19">
        <f>'[1]02. Matrix'!E1014</f>
        <v>0</v>
      </c>
      <c r="F1005" s="18" t="str">
        <f>_xlfn.XLOOKUP('01. Main'!$B1005,[1]Mapping!$D:$D,[1]Mapping!$A:$A,0,0)</f>
        <v>Asoj 77</v>
      </c>
      <c r="G1005" s="20">
        <f>_xlfn.XLOOKUP('01. Main'!$B1005,[1]Mapping!D$2:D$24,[1]Mapping!E$2:E$24,0,0)</f>
        <v>2020</v>
      </c>
    </row>
    <row r="1006" spans="1:7" x14ac:dyDescent="0.45">
      <c r="A1006" s="13">
        <f>'[1]02. Matrix'!A1015</f>
        <v>1005</v>
      </c>
      <c r="B1006" s="14">
        <f>'[1]02. Matrix'!B1015</f>
        <v>6</v>
      </c>
      <c r="C1006" s="14" t="str">
        <f>'[1]02. Matrix'!C1015</f>
        <v>TOURISM SECTOR LOAN</v>
      </c>
      <c r="D1006" s="14">
        <f>'[1]02. Matrix'!D1015</f>
        <v>2</v>
      </c>
      <c r="E1006" s="15">
        <f>'[1]02. Matrix'!E1015</f>
        <v>0</v>
      </c>
      <c r="F1006" s="14" t="str">
        <f>_xlfn.XLOOKUP('01. Main'!$B1006,[1]Mapping!$D:$D,[1]Mapping!$A:$A,0,0)</f>
        <v>Asoj 77</v>
      </c>
      <c r="G1006" s="16">
        <f>_xlfn.XLOOKUP('01. Main'!$B1006,[1]Mapping!D$2:D$24,[1]Mapping!E$2:E$24,0,0)</f>
        <v>2020</v>
      </c>
    </row>
    <row r="1007" spans="1:7" x14ac:dyDescent="0.45">
      <c r="A1007" s="17">
        <f>'[1]02. Matrix'!A1016</f>
        <v>1006</v>
      </c>
      <c r="B1007" s="18">
        <f>'[1]02. Matrix'!B1016</f>
        <v>6</v>
      </c>
      <c r="C1007" s="18" t="str">
        <f>'[1]02. Matrix'!C1016</f>
        <v>SME LOAN</v>
      </c>
      <c r="D1007" s="18">
        <f>'[1]02. Matrix'!D1016</f>
        <v>2</v>
      </c>
      <c r="E1007" s="19">
        <f>'[1]02. Matrix'!E1016</f>
        <v>0</v>
      </c>
      <c r="F1007" s="18" t="str">
        <f>_xlfn.XLOOKUP('01. Main'!$B1007,[1]Mapping!$D:$D,[1]Mapping!$A:$A,0,0)</f>
        <v>Asoj 77</v>
      </c>
      <c r="G1007" s="20">
        <f>_xlfn.XLOOKUP('01. Main'!$B1007,[1]Mapping!D$2:D$24,[1]Mapping!E$2:E$24,0,0)</f>
        <v>2020</v>
      </c>
    </row>
    <row r="1008" spans="1:7" x14ac:dyDescent="0.45">
      <c r="A1008" s="13">
        <f>'[1]02. Matrix'!A1017</f>
        <v>1007</v>
      </c>
      <c r="B1008" s="14">
        <f>'[1]02. Matrix'!B1017</f>
        <v>6</v>
      </c>
      <c r="C1008" s="14" t="str">
        <f>'[1]02. Matrix'!C1017</f>
        <v>EDUCATIONAL LOAN EMI</v>
      </c>
      <c r="D1008" s="14">
        <f>'[1]02. Matrix'!D1017</f>
        <v>2</v>
      </c>
      <c r="E1008" s="15">
        <f>'[1]02. Matrix'!E1017</f>
        <v>0</v>
      </c>
      <c r="F1008" s="14" t="str">
        <f>_xlfn.XLOOKUP('01. Main'!$B1008,[1]Mapping!$D:$D,[1]Mapping!$A:$A,0,0)</f>
        <v>Asoj 77</v>
      </c>
      <c r="G1008" s="16">
        <f>_xlfn.XLOOKUP('01. Main'!$B1008,[1]Mapping!D$2:D$24,[1]Mapping!E$2:E$24,0,0)</f>
        <v>2020</v>
      </c>
    </row>
    <row r="1009" spans="1:7" x14ac:dyDescent="0.45">
      <c r="A1009" s="17">
        <f>'[1]02. Matrix'!A1018</f>
        <v>1008</v>
      </c>
      <c r="B1009" s="18">
        <f>'[1]02. Matrix'!B1018</f>
        <v>6</v>
      </c>
      <c r="C1009" s="18" t="str">
        <f>'[1]02. Matrix'!C1018</f>
        <v>OVERDRAFT PROFESSION</v>
      </c>
      <c r="D1009" s="18">
        <f>'[1]02. Matrix'!D1018</f>
        <v>2</v>
      </c>
      <c r="E1009" s="19">
        <f>'[1]02. Matrix'!E1018</f>
        <v>0</v>
      </c>
      <c r="F1009" s="18" t="str">
        <f>_xlfn.XLOOKUP('01. Main'!$B1009,[1]Mapping!$D:$D,[1]Mapping!$A:$A,0,0)</f>
        <v>Asoj 77</v>
      </c>
      <c r="G1009" s="20">
        <f>_xlfn.XLOOKUP('01. Main'!$B1009,[1]Mapping!D$2:D$24,[1]Mapping!E$2:E$24,0,0)</f>
        <v>2020</v>
      </c>
    </row>
    <row r="1010" spans="1:7" x14ac:dyDescent="0.45">
      <c r="A1010" s="13">
        <f>'[1]02. Matrix'!A1019</f>
        <v>1009</v>
      </c>
      <c r="B1010" s="14">
        <f>'[1]02. Matrix'!B1019</f>
        <v>5</v>
      </c>
      <c r="C1010" s="14" t="str">
        <f>'[1]02. Matrix'!C1019</f>
        <v>OD PERSONAL LOAN</v>
      </c>
      <c r="D1010" s="14">
        <f>'[1]02. Matrix'!D1019</f>
        <v>1</v>
      </c>
      <c r="E1010" s="15">
        <f>'[1]02. Matrix'!E1019</f>
        <v>0</v>
      </c>
      <c r="F1010" s="14" t="str">
        <f>_xlfn.XLOOKUP('01. Main'!$B1010,[1]Mapping!$D:$D,[1]Mapping!$A:$A,0,0)</f>
        <v>Asadh 77</v>
      </c>
      <c r="G1010" s="16">
        <f>_xlfn.XLOOKUP('01. Main'!$B1010,[1]Mapping!D$2:D$24,[1]Mapping!E$2:E$24,0,0)</f>
        <v>2020</v>
      </c>
    </row>
    <row r="1011" spans="1:7" x14ac:dyDescent="0.45">
      <c r="A1011" s="17">
        <f>'[1]02. Matrix'!A1020</f>
        <v>1010</v>
      </c>
      <c r="B1011" s="18">
        <f>'[1]02. Matrix'!B1020</f>
        <v>5</v>
      </c>
      <c r="C1011" s="18" t="str">
        <f>'[1]02. Matrix'!C1020</f>
        <v>OD BUSINESS LOAN</v>
      </c>
      <c r="D1011" s="18">
        <f>'[1]02. Matrix'!D1020</f>
        <v>1</v>
      </c>
      <c r="E1011" s="19">
        <f>'[1]02. Matrix'!E1020</f>
        <v>0</v>
      </c>
      <c r="F1011" s="18" t="str">
        <f>_xlfn.XLOOKUP('01. Main'!$B1011,[1]Mapping!$D:$D,[1]Mapping!$A:$A,0,0)</f>
        <v>Asadh 77</v>
      </c>
      <c r="G1011" s="20">
        <f>_xlfn.XLOOKUP('01. Main'!$B1011,[1]Mapping!D$2:D$24,[1]Mapping!E$2:E$24,0,0)</f>
        <v>2020</v>
      </c>
    </row>
    <row r="1012" spans="1:7" x14ac:dyDescent="0.45">
      <c r="A1012" s="13">
        <f>'[1]02. Matrix'!A1021</f>
        <v>1011</v>
      </c>
      <c r="B1012" s="14">
        <f>'[1]02. Matrix'!B1021</f>
        <v>5</v>
      </c>
      <c r="C1012" s="14" t="str">
        <f>'[1]02. Matrix'!C1021</f>
        <v>OD STAFF LOAN</v>
      </c>
      <c r="D1012" s="14">
        <f>'[1]02. Matrix'!D1021</f>
        <v>1</v>
      </c>
      <c r="E1012" s="15">
        <f>'[1]02. Matrix'!E1021</f>
        <v>0</v>
      </c>
      <c r="F1012" s="14" t="str">
        <f>_xlfn.XLOOKUP('01. Main'!$B1012,[1]Mapping!$D:$D,[1]Mapping!$A:$A,0,0)</f>
        <v>Asadh 77</v>
      </c>
      <c r="G1012" s="16">
        <f>_xlfn.XLOOKUP('01. Main'!$B1012,[1]Mapping!D$2:D$24,[1]Mapping!E$2:E$24,0,0)</f>
        <v>2020</v>
      </c>
    </row>
    <row r="1013" spans="1:7" x14ac:dyDescent="0.45">
      <c r="A1013" s="17">
        <f>'[1]02. Matrix'!A1022</f>
        <v>1012</v>
      </c>
      <c r="B1013" s="18">
        <f>'[1]02. Matrix'!B1022</f>
        <v>5</v>
      </c>
      <c r="C1013" s="18" t="str">
        <f>'[1]02. Matrix'!C1022</f>
        <v>TERM LOAN</v>
      </c>
      <c r="D1013" s="18">
        <f>'[1]02. Matrix'!D1022</f>
        <v>1</v>
      </c>
      <c r="E1013" s="19">
        <f>'[1]02. Matrix'!E1022</f>
        <v>0.46042657598537517</v>
      </c>
      <c r="F1013" s="18" t="str">
        <f>_xlfn.XLOOKUP('01. Main'!$B1013,[1]Mapping!$D:$D,[1]Mapping!$A:$A,0,0)</f>
        <v>Asadh 77</v>
      </c>
      <c r="G1013" s="20">
        <f>_xlfn.XLOOKUP('01. Main'!$B1013,[1]Mapping!D$2:D$24,[1]Mapping!E$2:E$24,0,0)</f>
        <v>2020</v>
      </c>
    </row>
    <row r="1014" spans="1:7" x14ac:dyDescent="0.45">
      <c r="A1014" s="13">
        <f>'[1]02. Matrix'!A1023</f>
        <v>1013</v>
      </c>
      <c r="B1014" s="14">
        <f>'[1]02. Matrix'!B1023</f>
        <v>5</v>
      </c>
      <c r="C1014" s="14" t="str">
        <f>'[1]02. Matrix'!C1023</f>
        <v>WC TRADING/IND LOAN</v>
      </c>
      <c r="D1014" s="14">
        <f>'[1]02. Matrix'!D1023</f>
        <v>1</v>
      </c>
      <c r="E1014" s="15">
        <f>'[1]02. Matrix'!E1023</f>
        <v>0.44929399077183779</v>
      </c>
      <c r="F1014" s="14" t="str">
        <f>_xlfn.XLOOKUP('01. Main'!$B1014,[1]Mapping!$D:$D,[1]Mapping!$A:$A,0,0)</f>
        <v>Asadh 77</v>
      </c>
      <c r="G1014" s="16">
        <f>_xlfn.XLOOKUP('01. Main'!$B1014,[1]Mapping!D$2:D$24,[1]Mapping!E$2:E$24,0,0)</f>
        <v>2020</v>
      </c>
    </row>
    <row r="1015" spans="1:7" x14ac:dyDescent="0.45">
      <c r="A1015" s="17">
        <f>'[1]02. Matrix'!A1024</f>
        <v>1014</v>
      </c>
      <c r="B1015" s="18">
        <f>'[1]02. Matrix'!B1024</f>
        <v>5</v>
      </c>
      <c r="C1015" s="18" t="str">
        <f>'[1]02. Matrix'!C1024</f>
        <v>HOUSING LOAN</v>
      </c>
      <c r="D1015" s="18">
        <f>'[1]02. Matrix'!D1024</f>
        <v>1</v>
      </c>
      <c r="E1015" s="19">
        <f>'[1]02. Matrix'!E1024</f>
        <v>0.25914332515118255</v>
      </c>
      <c r="F1015" s="18" t="str">
        <f>_xlfn.XLOOKUP('01. Main'!$B1015,[1]Mapping!$D:$D,[1]Mapping!$A:$A,0,0)</f>
        <v>Asadh 77</v>
      </c>
      <c r="G1015" s="20">
        <f>_xlfn.XLOOKUP('01. Main'!$B1015,[1]Mapping!D$2:D$24,[1]Mapping!E$2:E$24,0,0)</f>
        <v>2020</v>
      </c>
    </row>
    <row r="1016" spans="1:7" x14ac:dyDescent="0.45">
      <c r="A1016" s="13">
        <f>'[1]02. Matrix'!A1025</f>
        <v>1015</v>
      </c>
      <c r="B1016" s="14">
        <f>'[1]02. Matrix'!B1025</f>
        <v>5</v>
      </c>
      <c r="C1016" s="14" t="str">
        <f>'[1]02. Matrix'!C1025</f>
        <v>RESI REAL EST LOAN</v>
      </c>
      <c r="D1016" s="14">
        <f>'[1]02. Matrix'!D1025</f>
        <v>1</v>
      </c>
      <c r="E1016" s="15">
        <f>'[1]02. Matrix'!E1025</f>
        <v>0.30747873689544669</v>
      </c>
      <c r="F1016" s="14" t="str">
        <f>_xlfn.XLOOKUP('01. Main'!$B1016,[1]Mapping!$D:$D,[1]Mapping!$A:$A,0,0)</f>
        <v>Asadh 77</v>
      </c>
      <c r="G1016" s="16">
        <f>_xlfn.XLOOKUP('01. Main'!$B1016,[1]Mapping!D$2:D$24,[1]Mapping!E$2:E$24,0,0)</f>
        <v>2020</v>
      </c>
    </row>
    <row r="1017" spans="1:7" x14ac:dyDescent="0.45">
      <c r="A1017" s="17">
        <f>'[1]02. Matrix'!A1026</f>
        <v>1016</v>
      </c>
      <c r="B1017" s="18">
        <f>'[1]02. Matrix'!B1026</f>
        <v>5</v>
      </c>
      <c r="C1017" s="18" t="str">
        <f>'[1]02. Matrix'!C1026</f>
        <v>MARGIN NATURE LOAN</v>
      </c>
      <c r="D1017" s="18">
        <f>'[1]02. Matrix'!D1026</f>
        <v>1</v>
      </c>
      <c r="E1017" s="19">
        <f>'[1]02. Matrix'!E1026</f>
        <v>4.4128171854332973E-2</v>
      </c>
      <c r="F1017" s="18" t="str">
        <f>_xlfn.XLOOKUP('01. Main'!$B1017,[1]Mapping!$D:$D,[1]Mapping!$A:$A,0,0)</f>
        <v>Asadh 77</v>
      </c>
      <c r="G1017" s="20">
        <f>_xlfn.XLOOKUP('01. Main'!$B1017,[1]Mapping!D$2:D$24,[1]Mapping!E$2:E$24,0,0)</f>
        <v>2020</v>
      </c>
    </row>
    <row r="1018" spans="1:7" x14ac:dyDescent="0.45">
      <c r="A1018" s="13">
        <f>'[1]02. Matrix'!A1027</f>
        <v>1017</v>
      </c>
      <c r="B1018" s="14">
        <f>'[1]02. Matrix'!B1027</f>
        <v>5</v>
      </c>
      <c r="C1018" s="14" t="str">
        <f>'[1]02. Matrix'!C1027</f>
        <v>HIRE PURCHASE LOAN</v>
      </c>
      <c r="D1018" s="14">
        <f>'[1]02. Matrix'!D1027</f>
        <v>1</v>
      </c>
      <c r="E1018" s="15">
        <f>'[1]02. Matrix'!E1027</f>
        <v>0.74210682990560983</v>
      </c>
      <c r="F1018" s="14" t="str">
        <f>_xlfn.XLOOKUP('01. Main'!$B1018,[1]Mapping!$D:$D,[1]Mapping!$A:$A,0,0)</f>
        <v>Asadh 77</v>
      </c>
      <c r="G1018" s="16">
        <f>_xlfn.XLOOKUP('01. Main'!$B1018,[1]Mapping!D$2:D$24,[1]Mapping!E$2:E$24,0,0)</f>
        <v>2020</v>
      </c>
    </row>
    <row r="1019" spans="1:7" x14ac:dyDescent="0.45">
      <c r="A1019" s="17">
        <f>'[1]02. Matrix'!A1028</f>
        <v>1018</v>
      </c>
      <c r="B1019" s="18">
        <f>'[1]02. Matrix'!B1028</f>
        <v>5</v>
      </c>
      <c r="C1019" s="18" t="str">
        <f>'[1]02. Matrix'!C1028</f>
        <v>DEPRIVED SECTOR LOAN</v>
      </c>
      <c r="D1019" s="18">
        <f>'[1]02. Matrix'!D1028</f>
        <v>1</v>
      </c>
      <c r="E1019" s="19">
        <f>'[1]02. Matrix'!E1028</f>
        <v>0.46580578594627686</v>
      </c>
      <c r="F1019" s="18" t="str">
        <f>_xlfn.XLOOKUP('01. Main'!$B1019,[1]Mapping!$D:$D,[1]Mapping!$A:$A,0,0)</f>
        <v>Asadh 77</v>
      </c>
      <c r="G1019" s="20">
        <f>_xlfn.XLOOKUP('01. Main'!$B1019,[1]Mapping!D$2:D$24,[1]Mapping!E$2:E$24,0,0)</f>
        <v>2020</v>
      </c>
    </row>
    <row r="1020" spans="1:7" x14ac:dyDescent="0.45">
      <c r="A1020" s="13">
        <f>'[1]02. Matrix'!A1029</f>
        <v>1019</v>
      </c>
      <c r="B1020" s="14">
        <f>'[1]02. Matrix'!B1029</f>
        <v>5</v>
      </c>
      <c r="C1020" s="14" t="str">
        <f>'[1]02. Matrix'!C1029</f>
        <v>EDUCATIONAL LOAN</v>
      </c>
      <c r="D1020" s="14">
        <f>'[1]02. Matrix'!D1029</f>
        <v>1</v>
      </c>
      <c r="E1020" s="15">
        <f>'[1]02. Matrix'!E1029</f>
        <v>0.37672094174634746</v>
      </c>
      <c r="F1020" s="14" t="str">
        <f>_xlfn.XLOOKUP('01. Main'!$B1020,[1]Mapping!$D:$D,[1]Mapping!$A:$A,0,0)</f>
        <v>Asadh 77</v>
      </c>
      <c r="G1020" s="16">
        <f>_xlfn.XLOOKUP('01. Main'!$B1020,[1]Mapping!D$2:D$24,[1]Mapping!E$2:E$24,0,0)</f>
        <v>2020</v>
      </c>
    </row>
    <row r="1021" spans="1:7" x14ac:dyDescent="0.45">
      <c r="A1021" s="17">
        <f>'[1]02. Matrix'!A1030</f>
        <v>1020</v>
      </c>
      <c r="B1021" s="18">
        <f>'[1]02. Matrix'!B1030</f>
        <v>5</v>
      </c>
      <c r="C1021" s="18" t="str">
        <f>'[1]02. Matrix'!C1030</f>
        <v>AGRICULTURE LOAN</v>
      </c>
      <c r="D1021" s="18">
        <f>'[1]02. Matrix'!D1030</f>
        <v>1</v>
      </c>
      <c r="E1021" s="19">
        <f>'[1]02. Matrix'!E1030</f>
        <v>0.16787355979355364</v>
      </c>
      <c r="F1021" s="18" t="str">
        <f>_xlfn.XLOOKUP('01. Main'!$B1021,[1]Mapping!$D:$D,[1]Mapping!$A:$A,0,0)</f>
        <v>Asadh 77</v>
      </c>
      <c r="G1021" s="20">
        <f>_xlfn.XLOOKUP('01. Main'!$B1021,[1]Mapping!D$2:D$24,[1]Mapping!E$2:E$24,0,0)</f>
        <v>2020</v>
      </c>
    </row>
    <row r="1022" spans="1:7" x14ac:dyDescent="0.45">
      <c r="A1022" s="13">
        <f>'[1]02. Matrix'!A1031</f>
        <v>1021</v>
      </c>
      <c r="B1022" s="14">
        <f>'[1]02. Matrix'!B1031</f>
        <v>5</v>
      </c>
      <c r="C1022" s="14" t="str">
        <f>'[1]02. Matrix'!C1031</f>
        <v>RESI PER.HOME-EMI</v>
      </c>
      <c r="D1022" s="14">
        <f>'[1]02. Matrix'!D1031</f>
        <v>1</v>
      </c>
      <c r="E1022" s="15">
        <f>'[1]02. Matrix'!E1031</f>
        <v>0.74774235751712759</v>
      </c>
      <c r="F1022" s="14" t="str">
        <f>_xlfn.XLOOKUP('01. Main'!$B1022,[1]Mapping!$D:$D,[1]Mapping!$A:$A,0,0)</f>
        <v>Asadh 77</v>
      </c>
      <c r="G1022" s="16">
        <f>_xlfn.XLOOKUP('01. Main'!$B1022,[1]Mapping!D$2:D$24,[1]Mapping!E$2:E$24,0,0)</f>
        <v>2020</v>
      </c>
    </row>
    <row r="1023" spans="1:7" x14ac:dyDescent="0.45">
      <c r="A1023" s="17">
        <f>'[1]02. Matrix'!A1032</f>
        <v>1022</v>
      </c>
      <c r="B1023" s="18">
        <f>'[1]02. Matrix'!B1032</f>
        <v>5</v>
      </c>
      <c r="C1023" s="18" t="str">
        <f>'[1]02. Matrix'!C1032</f>
        <v>TERM LOAN - BUSINESS</v>
      </c>
      <c r="D1023" s="18">
        <f>'[1]02. Matrix'!D1032</f>
        <v>1</v>
      </c>
      <c r="E1023" s="19">
        <f>'[1]02. Matrix'!E1032</f>
        <v>0</v>
      </c>
      <c r="F1023" s="18" t="str">
        <f>_xlfn.XLOOKUP('01. Main'!$B1023,[1]Mapping!$D:$D,[1]Mapping!$A:$A,0,0)</f>
        <v>Asadh 77</v>
      </c>
      <c r="G1023" s="20">
        <f>_xlfn.XLOOKUP('01. Main'!$B1023,[1]Mapping!D$2:D$24,[1]Mapping!E$2:E$24,0,0)</f>
        <v>2020</v>
      </c>
    </row>
    <row r="1024" spans="1:7" x14ac:dyDescent="0.45">
      <c r="A1024" s="13">
        <f>'[1]02. Matrix'!A1033</f>
        <v>1023</v>
      </c>
      <c r="B1024" s="14">
        <f>'[1]02. Matrix'!B1033</f>
        <v>5</v>
      </c>
      <c r="C1024" s="14" t="str">
        <f>'[1]02. Matrix'!C1033</f>
        <v>CONS FIN BUSN TRM LO</v>
      </c>
      <c r="D1024" s="14">
        <f>'[1]02. Matrix'!D1033</f>
        <v>1</v>
      </c>
      <c r="E1024" s="15">
        <f>'[1]02. Matrix'!E1033</f>
        <v>0</v>
      </c>
      <c r="F1024" s="14" t="str">
        <f>_xlfn.XLOOKUP('01. Main'!$B1024,[1]Mapping!$D:$D,[1]Mapping!$A:$A,0,0)</f>
        <v>Asadh 77</v>
      </c>
      <c r="G1024" s="16">
        <f>_xlfn.XLOOKUP('01. Main'!$B1024,[1]Mapping!D$2:D$24,[1]Mapping!E$2:E$24,0,0)</f>
        <v>2020</v>
      </c>
    </row>
    <row r="1025" spans="1:7" x14ac:dyDescent="0.45">
      <c r="A1025" s="17">
        <f>'[1]02. Matrix'!A1034</f>
        <v>1024</v>
      </c>
      <c r="B1025" s="18">
        <f>'[1]02. Matrix'!B1034</f>
        <v>5</v>
      </c>
      <c r="C1025" s="18" t="str">
        <f>'[1]02. Matrix'!C1034</f>
        <v>BIS/PERHIRE PURCHASE</v>
      </c>
      <c r="D1025" s="18">
        <f>'[1]02. Matrix'!D1034</f>
        <v>1</v>
      </c>
      <c r="E1025" s="19">
        <f>'[1]02. Matrix'!E1034</f>
        <v>0.69818973814600305</v>
      </c>
      <c r="F1025" s="18" t="str">
        <f>_xlfn.XLOOKUP('01. Main'!$B1025,[1]Mapping!$D:$D,[1]Mapping!$A:$A,0,0)</f>
        <v>Asadh 77</v>
      </c>
      <c r="G1025" s="20">
        <f>_xlfn.XLOOKUP('01. Main'!$B1025,[1]Mapping!D$2:D$24,[1]Mapping!E$2:E$24,0,0)</f>
        <v>2020</v>
      </c>
    </row>
    <row r="1026" spans="1:7" x14ac:dyDescent="0.45">
      <c r="A1026" s="13">
        <f>'[1]02. Matrix'!A1035</f>
        <v>1025</v>
      </c>
      <c r="B1026" s="14">
        <f>'[1]02. Matrix'!B1035</f>
        <v>5</v>
      </c>
      <c r="C1026" s="14" t="str">
        <f>'[1]02. Matrix'!C1035</f>
        <v xml:space="preserve">INT CAP TERM LOAN </v>
      </c>
      <c r="D1026" s="14">
        <f>'[1]02. Matrix'!D1035</f>
        <v>1</v>
      </c>
      <c r="E1026" s="15">
        <f>'[1]02. Matrix'!E1035</f>
        <v>0</v>
      </c>
      <c r="F1026" s="14" t="str">
        <f>_xlfn.XLOOKUP('01. Main'!$B1026,[1]Mapping!$D:$D,[1]Mapping!$A:$A,0,0)</f>
        <v>Asadh 77</v>
      </c>
      <c r="G1026" s="16">
        <f>_xlfn.XLOOKUP('01. Main'!$B1026,[1]Mapping!D$2:D$24,[1]Mapping!E$2:E$24,0,0)</f>
        <v>2020</v>
      </c>
    </row>
    <row r="1027" spans="1:7" x14ac:dyDescent="0.45">
      <c r="A1027" s="17">
        <f>'[1]02. Matrix'!A1036</f>
        <v>1026</v>
      </c>
      <c r="B1027" s="18">
        <f>'[1]02. Matrix'!B1036</f>
        <v>5</v>
      </c>
      <c r="C1027" s="18" t="str">
        <f>'[1]02. Matrix'!C1036</f>
        <v>PERSONAL LOAN</v>
      </c>
      <c r="D1027" s="18">
        <f>'[1]02. Matrix'!D1036</f>
        <v>1</v>
      </c>
      <c r="E1027" s="19">
        <f>'[1]02. Matrix'!E1036</f>
        <v>0.27527400444817662</v>
      </c>
      <c r="F1027" s="18" t="str">
        <f>_xlfn.XLOOKUP('01. Main'!$B1027,[1]Mapping!$D:$D,[1]Mapping!$A:$A,0,0)</f>
        <v>Asadh 77</v>
      </c>
      <c r="G1027" s="20">
        <f>_xlfn.XLOOKUP('01. Main'!$B1027,[1]Mapping!D$2:D$24,[1]Mapping!E$2:E$24,0,0)</f>
        <v>2020</v>
      </c>
    </row>
    <row r="1028" spans="1:7" x14ac:dyDescent="0.45">
      <c r="A1028" s="13">
        <f>'[1]02. Matrix'!A1037</f>
        <v>1027</v>
      </c>
      <c r="B1028" s="14">
        <f>'[1]02. Matrix'!B1037</f>
        <v>5</v>
      </c>
      <c r="C1028" s="14" t="str">
        <f>'[1]02. Matrix'!C1037</f>
        <v>MORTGAGE LOAN</v>
      </c>
      <c r="D1028" s="14">
        <f>'[1]02. Matrix'!D1037</f>
        <v>1</v>
      </c>
      <c r="E1028" s="15">
        <f>'[1]02. Matrix'!E1037</f>
        <v>0</v>
      </c>
      <c r="F1028" s="14" t="str">
        <f>_xlfn.XLOOKUP('01. Main'!$B1028,[1]Mapping!$D:$D,[1]Mapping!$A:$A,0,0)</f>
        <v>Asadh 77</v>
      </c>
      <c r="G1028" s="16">
        <f>_xlfn.XLOOKUP('01. Main'!$B1028,[1]Mapping!D$2:D$24,[1]Mapping!E$2:E$24,0,0)</f>
        <v>2020</v>
      </c>
    </row>
    <row r="1029" spans="1:7" x14ac:dyDescent="0.45">
      <c r="A1029" s="17">
        <f>'[1]02. Matrix'!A1038</f>
        <v>1028</v>
      </c>
      <c r="B1029" s="18">
        <f>'[1]02. Matrix'!B1038</f>
        <v>5</v>
      </c>
      <c r="C1029" s="18" t="str">
        <f>'[1]02. Matrix'!C1038</f>
        <v>LOAN AGAINST FDR</v>
      </c>
      <c r="D1029" s="18">
        <f>'[1]02. Matrix'!D1038</f>
        <v>1</v>
      </c>
      <c r="E1029" s="19">
        <f>'[1]02. Matrix'!E1038</f>
        <v>0</v>
      </c>
      <c r="F1029" s="18" t="str">
        <f>_xlfn.XLOOKUP('01. Main'!$B1029,[1]Mapping!$D:$D,[1]Mapping!$A:$A,0,0)</f>
        <v>Asadh 77</v>
      </c>
      <c r="G1029" s="20">
        <f>_xlfn.XLOOKUP('01. Main'!$B1029,[1]Mapping!D$2:D$24,[1]Mapping!E$2:E$24,0,0)</f>
        <v>2020</v>
      </c>
    </row>
    <row r="1030" spans="1:7" x14ac:dyDescent="0.45">
      <c r="A1030" s="13">
        <f>'[1]02. Matrix'!A1039</f>
        <v>1029</v>
      </c>
      <c r="B1030" s="14">
        <f>'[1]02. Matrix'!B1039</f>
        <v>5</v>
      </c>
      <c r="C1030" s="14" t="str">
        <f>'[1]02. Matrix'!C1039</f>
        <v>RECEIVABLE LOAN</v>
      </c>
      <c r="D1030" s="14">
        <f>'[1]02. Matrix'!D1039</f>
        <v>1</v>
      </c>
      <c r="E1030" s="15">
        <f>'[1]02. Matrix'!E1039</f>
        <v>0</v>
      </c>
      <c r="F1030" s="14" t="str">
        <f>_xlfn.XLOOKUP('01. Main'!$B1030,[1]Mapping!$D:$D,[1]Mapping!$A:$A,0,0)</f>
        <v>Asadh 77</v>
      </c>
      <c r="G1030" s="16">
        <f>_xlfn.XLOOKUP('01. Main'!$B1030,[1]Mapping!D$2:D$24,[1]Mapping!E$2:E$24,0,0)</f>
        <v>2020</v>
      </c>
    </row>
    <row r="1031" spans="1:7" x14ac:dyDescent="0.45">
      <c r="A1031" s="17">
        <f>'[1]02. Matrix'!A1040</f>
        <v>1030</v>
      </c>
      <c r="B1031" s="18">
        <f>'[1]02. Matrix'!B1040</f>
        <v>5</v>
      </c>
      <c r="C1031" s="18" t="str">
        <f>'[1]02. Matrix'!C1040</f>
        <v>STAFF LOAN</v>
      </c>
      <c r="D1031" s="18">
        <f>'[1]02. Matrix'!D1040</f>
        <v>1</v>
      </c>
      <c r="E1031" s="19">
        <f>'[1]02. Matrix'!E1040</f>
        <v>0</v>
      </c>
      <c r="F1031" s="18" t="str">
        <f>_xlfn.XLOOKUP('01. Main'!$B1031,[1]Mapping!$D:$D,[1]Mapping!$A:$A,0,0)</f>
        <v>Asadh 77</v>
      </c>
      <c r="G1031" s="20">
        <f>_xlfn.XLOOKUP('01. Main'!$B1031,[1]Mapping!D$2:D$24,[1]Mapping!E$2:E$24,0,0)</f>
        <v>2020</v>
      </c>
    </row>
    <row r="1032" spans="1:7" x14ac:dyDescent="0.45">
      <c r="A1032" s="13">
        <f>'[1]02. Matrix'!A1041</f>
        <v>1031</v>
      </c>
      <c r="B1032" s="14">
        <f>'[1]02. Matrix'!B1041</f>
        <v>5</v>
      </c>
      <c r="C1032" s="14" t="str">
        <f>'[1]02. Matrix'!C1041</f>
        <v>AGRICULTURAL LOAN</v>
      </c>
      <c r="D1032" s="14">
        <f>'[1]02. Matrix'!D1041</f>
        <v>1</v>
      </c>
      <c r="E1032" s="15">
        <f>'[1]02. Matrix'!E1041</f>
        <v>0</v>
      </c>
      <c r="F1032" s="14" t="str">
        <f>_xlfn.XLOOKUP('01. Main'!$B1032,[1]Mapping!$D:$D,[1]Mapping!$A:$A,0,0)</f>
        <v>Asadh 77</v>
      </c>
      <c r="G1032" s="16">
        <f>_xlfn.XLOOKUP('01. Main'!$B1032,[1]Mapping!D$2:D$24,[1]Mapping!E$2:E$24,0,0)</f>
        <v>2020</v>
      </c>
    </row>
    <row r="1033" spans="1:7" x14ac:dyDescent="0.45">
      <c r="A1033" s="17">
        <f>'[1]02. Matrix'!A1042</f>
        <v>1032</v>
      </c>
      <c r="B1033" s="18">
        <f>'[1]02. Matrix'!B1042</f>
        <v>5</v>
      </c>
      <c r="C1033" s="18" t="str">
        <f>'[1]02. Matrix'!C1042</f>
        <v>EARTHQUAKE RELIEF LO</v>
      </c>
      <c r="D1033" s="18">
        <f>'[1]02. Matrix'!D1042</f>
        <v>1</v>
      </c>
      <c r="E1033" s="19">
        <f>'[1]02. Matrix'!E1042</f>
        <v>0</v>
      </c>
      <c r="F1033" s="18" t="str">
        <f>_xlfn.XLOOKUP('01. Main'!$B1033,[1]Mapping!$D:$D,[1]Mapping!$A:$A,0,0)</f>
        <v>Asadh 77</v>
      </c>
      <c r="G1033" s="20">
        <f>_xlfn.XLOOKUP('01. Main'!$B1033,[1]Mapping!D$2:D$24,[1]Mapping!E$2:E$24,0,0)</f>
        <v>2020</v>
      </c>
    </row>
    <row r="1034" spans="1:7" x14ac:dyDescent="0.45">
      <c r="A1034" s="13">
        <f>'[1]02. Matrix'!A1043</f>
        <v>1033</v>
      </c>
      <c r="B1034" s="14">
        <f>'[1]02. Matrix'!B1043</f>
        <v>5</v>
      </c>
      <c r="C1034" s="14" t="str">
        <f>'[1]02. Matrix'!C1043</f>
        <v>TOURISM SECTOR LOAN</v>
      </c>
      <c r="D1034" s="14">
        <f>'[1]02. Matrix'!D1043</f>
        <v>1</v>
      </c>
      <c r="E1034" s="15">
        <f>'[1]02. Matrix'!E1043</f>
        <v>0</v>
      </c>
      <c r="F1034" s="14" t="str">
        <f>_xlfn.XLOOKUP('01. Main'!$B1034,[1]Mapping!$D:$D,[1]Mapping!$A:$A,0,0)</f>
        <v>Asadh 77</v>
      </c>
      <c r="G1034" s="16">
        <f>_xlfn.XLOOKUP('01. Main'!$B1034,[1]Mapping!D$2:D$24,[1]Mapping!E$2:E$24,0,0)</f>
        <v>2020</v>
      </c>
    </row>
    <row r="1035" spans="1:7" x14ac:dyDescent="0.45">
      <c r="A1035" s="17">
        <f>'[1]02. Matrix'!A1044</f>
        <v>1034</v>
      </c>
      <c r="B1035" s="18">
        <f>'[1]02. Matrix'!B1044</f>
        <v>5</v>
      </c>
      <c r="C1035" s="18" t="str">
        <f>'[1]02. Matrix'!C1044</f>
        <v>SME LOAN</v>
      </c>
      <c r="D1035" s="18">
        <f>'[1]02. Matrix'!D1044</f>
        <v>1</v>
      </c>
      <c r="E1035" s="19">
        <f>'[1]02. Matrix'!E1044</f>
        <v>5.4007905219480686E-2</v>
      </c>
      <c r="F1035" s="18" t="str">
        <f>_xlfn.XLOOKUP('01. Main'!$B1035,[1]Mapping!$D:$D,[1]Mapping!$A:$A,0,0)</f>
        <v>Asadh 77</v>
      </c>
      <c r="G1035" s="20">
        <f>_xlfn.XLOOKUP('01. Main'!$B1035,[1]Mapping!D$2:D$24,[1]Mapping!E$2:E$24,0,0)</f>
        <v>2020</v>
      </c>
    </row>
    <row r="1036" spans="1:7" x14ac:dyDescent="0.45">
      <c r="A1036" s="13">
        <f>'[1]02. Matrix'!A1045</f>
        <v>1035</v>
      </c>
      <c r="B1036" s="14">
        <f>'[1]02. Matrix'!B1045</f>
        <v>5</v>
      </c>
      <c r="C1036" s="14" t="str">
        <f>'[1]02. Matrix'!C1045</f>
        <v>EDUCATIONAL LOAN EMI</v>
      </c>
      <c r="D1036" s="14">
        <f>'[1]02. Matrix'!D1045</f>
        <v>1</v>
      </c>
      <c r="E1036" s="15">
        <f>'[1]02. Matrix'!E1045</f>
        <v>0</v>
      </c>
      <c r="F1036" s="14" t="str">
        <f>_xlfn.XLOOKUP('01. Main'!$B1036,[1]Mapping!$D:$D,[1]Mapping!$A:$A,0,0)</f>
        <v>Asadh 77</v>
      </c>
      <c r="G1036" s="16">
        <f>_xlfn.XLOOKUP('01. Main'!$B1036,[1]Mapping!D$2:D$24,[1]Mapping!E$2:E$24,0,0)</f>
        <v>2020</v>
      </c>
    </row>
    <row r="1037" spans="1:7" x14ac:dyDescent="0.45">
      <c r="A1037" s="17">
        <f>'[1]02. Matrix'!A1046</f>
        <v>1036</v>
      </c>
      <c r="B1037" s="18">
        <f>'[1]02. Matrix'!B1046</f>
        <v>5</v>
      </c>
      <c r="C1037" s="18" t="str">
        <f>'[1]02. Matrix'!C1046</f>
        <v>OVERDRAFT PROFESSION</v>
      </c>
      <c r="D1037" s="18">
        <f>'[1]02. Matrix'!D1046</f>
        <v>1</v>
      </c>
      <c r="E1037" s="19">
        <f>'[1]02. Matrix'!E1046</f>
        <v>0</v>
      </c>
      <c r="F1037" s="18" t="str">
        <f>_xlfn.XLOOKUP('01. Main'!$B1037,[1]Mapping!$D:$D,[1]Mapping!$A:$A,0,0)</f>
        <v>Asadh 77</v>
      </c>
      <c r="G1037" s="20">
        <f>_xlfn.XLOOKUP('01. Main'!$B1037,[1]Mapping!D$2:D$24,[1]Mapping!E$2:E$24,0,0)</f>
        <v>2020</v>
      </c>
    </row>
    <row r="1038" spans="1:7" x14ac:dyDescent="0.45">
      <c r="A1038" s="13">
        <f>'[1]02. Matrix'!A1047</f>
        <v>1037</v>
      </c>
      <c r="B1038" s="14">
        <f>'[1]02. Matrix'!B1047</f>
        <v>5</v>
      </c>
      <c r="C1038" s="14" t="str">
        <f>'[1]02. Matrix'!C1047</f>
        <v>OD PERSONAL LOAN</v>
      </c>
      <c r="D1038" s="14">
        <f>'[1]02. Matrix'!D1047</f>
        <v>2</v>
      </c>
      <c r="E1038" s="15">
        <f>'[1]02. Matrix'!E1047</f>
        <v>0</v>
      </c>
      <c r="F1038" s="14" t="str">
        <f>_xlfn.XLOOKUP('01. Main'!$B1038,[1]Mapping!$D:$D,[1]Mapping!$A:$A,0,0)</f>
        <v>Asadh 77</v>
      </c>
      <c r="G1038" s="16">
        <f>_xlfn.XLOOKUP('01. Main'!$B1038,[1]Mapping!D$2:D$24,[1]Mapping!E$2:E$24,0,0)</f>
        <v>2020</v>
      </c>
    </row>
    <row r="1039" spans="1:7" x14ac:dyDescent="0.45">
      <c r="A1039" s="17">
        <f>'[1]02. Matrix'!A1048</f>
        <v>1038</v>
      </c>
      <c r="B1039" s="18">
        <f>'[1]02. Matrix'!B1048</f>
        <v>5</v>
      </c>
      <c r="C1039" s="18" t="str">
        <f>'[1]02. Matrix'!C1048</f>
        <v>OD BUSINESS LOAN</v>
      </c>
      <c r="D1039" s="18">
        <f>'[1]02. Matrix'!D1048</f>
        <v>2</v>
      </c>
      <c r="E1039" s="19">
        <f>'[1]02. Matrix'!E1048</f>
        <v>0</v>
      </c>
      <c r="F1039" s="18" t="str">
        <f>_xlfn.XLOOKUP('01. Main'!$B1039,[1]Mapping!$D:$D,[1]Mapping!$A:$A,0,0)</f>
        <v>Asadh 77</v>
      </c>
      <c r="G1039" s="20">
        <f>_xlfn.XLOOKUP('01. Main'!$B1039,[1]Mapping!D$2:D$24,[1]Mapping!E$2:E$24,0,0)</f>
        <v>2020</v>
      </c>
    </row>
    <row r="1040" spans="1:7" x14ac:dyDescent="0.45">
      <c r="A1040" s="13">
        <f>'[1]02. Matrix'!A1049</f>
        <v>1039</v>
      </c>
      <c r="B1040" s="14">
        <f>'[1]02. Matrix'!B1049</f>
        <v>5</v>
      </c>
      <c r="C1040" s="14" t="str">
        <f>'[1]02. Matrix'!C1049</f>
        <v>OD STAFF LOAN</v>
      </c>
      <c r="D1040" s="14">
        <f>'[1]02. Matrix'!D1049</f>
        <v>2</v>
      </c>
      <c r="E1040" s="15">
        <f>'[1]02. Matrix'!E1049</f>
        <v>0</v>
      </c>
      <c r="F1040" s="14" t="str">
        <f>_xlfn.XLOOKUP('01. Main'!$B1040,[1]Mapping!$D:$D,[1]Mapping!$A:$A,0,0)</f>
        <v>Asadh 77</v>
      </c>
      <c r="G1040" s="16">
        <f>_xlfn.XLOOKUP('01. Main'!$B1040,[1]Mapping!D$2:D$24,[1]Mapping!E$2:E$24,0,0)</f>
        <v>2020</v>
      </c>
    </row>
    <row r="1041" spans="1:7" x14ac:dyDescent="0.45">
      <c r="A1041" s="17">
        <f>'[1]02. Matrix'!A1050</f>
        <v>1040</v>
      </c>
      <c r="B1041" s="18">
        <f>'[1]02. Matrix'!B1050</f>
        <v>5</v>
      </c>
      <c r="C1041" s="18" t="str">
        <f>'[1]02. Matrix'!C1050</f>
        <v>TERM LOAN</v>
      </c>
      <c r="D1041" s="18">
        <f>'[1]02. Matrix'!D1050</f>
        <v>2</v>
      </c>
      <c r="E1041" s="19">
        <f>'[1]02. Matrix'!E1050</f>
        <v>0.47893814693681924</v>
      </c>
      <c r="F1041" s="18" t="str">
        <f>_xlfn.XLOOKUP('01. Main'!$B1041,[1]Mapping!$D:$D,[1]Mapping!$A:$A,0,0)</f>
        <v>Asadh 77</v>
      </c>
      <c r="G1041" s="20">
        <f>_xlfn.XLOOKUP('01. Main'!$B1041,[1]Mapping!D$2:D$24,[1]Mapping!E$2:E$24,0,0)</f>
        <v>2020</v>
      </c>
    </row>
    <row r="1042" spans="1:7" x14ac:dyDescent="0.45">
      <c r="A1042" s="13">
        <f>'[1]02. Matrix'!A1051</f>
        <v>1041</v>
      </c>
      <c r="B1042" s="14">
        <f>'[1]02. Matrix'!B1051</f>
        <v>5</v>
      </c>
      <c r="C1042" s="14" t="str">
        <f>'[1]02. Matrix'!C1051</f>
        <v>WC TRADING/IND LOAN</v>
      </c>
      <c r="D1042" s="14">
        <f>'[1]02. Matrix'!D1051</f>
        <v>2</v>
      </c>
      <c r="E1042" s="15">
        <f>'[1]02. Matrix'!E1051</f>
        <v>0.46067588046304087</v>
      </c>
      <c r="F1042" s="14" t="str">
        <f>_xlfn.XLOOKUP('01. Main'!$B1042,[1]Mapping!$D:$D,[1]Mapping!$A:$A,0,0)</f>
        <v>Asadh 77</v>
      </c>
      <c r="G1042" s="16">
        <f>_xlfn.XLOOKUP('01. Main'!$B1042,[1]Mapping!D$2:D$24,[1]Mapping!E$2:E$24,0,0)</f>
        <v>2020</v>
      </c>
    </row>
    <row r="1043" spans="1:7" x14ac:dyDescent="0.45">
      <c r="A1043" s="17">
        <f>'[1]02. Matrix'!A1052</f>
        <v>1042</v>
      </c>
      <c r="B1043" s="18">
        <f>'[1]02. Matrix'!B1052</f>
        <v>5</v>
      </c>
      <c r="C1043" s="18" t="str">
        <f>'[1]02. Matrix'!C1052</f>
        <v>HOUSING LOAN</v>
      </c>
      <c r="D1043" s="18">
        <f>'[1]02. Matrix'!D1052</f>
        <v>2</v>
      </c>
      <c r="E1043" s="19">
        <f>'[1]02. Matrix'!E1052</f>
        <v>0.31468822985883954</v>
      </c>
      <c r="F1043" s="18" t="str">
        <f>_xlfn.XLOOKUP('01. Main'!$B1043,[1]Mapping!$D:$D,[1]Mapping!$A:$A,0,0)</f>
        <v>Asadh 77</v>
      </c>
      <c r="G1043" s="20">
        <f>_xlfn.XLOOKUP('01. Main'!$B1043,[1]Mapping!D$2:D$24,[1]Mapping!E$2:E$24,0,0)</f>
        <v>2020</v>
      </c>
    </row>
    <row r="1044" spans="1:7" x14ac:dyDescent="0.45">
      <c r="A1044" s="13">
        <f>'[1]02. Matrix'!A1053</f>
        <v>1043</v>
      </c>
      <c r="B1044" s="14">
        <f>'[1]02. Matrix'!B1053</f>
        <v>5</v>
      </c>
      <c r="C1044" s="14" t="str">
        <f>'[1]02. Matrix'!C1053</f>
        <v>RESI REAL EST LOAN</v>
      </c>
      <c r="D1044" s="14">
        <f>'[1]02. Matrix'!D1053</f>
        <v>2</v>
      </c>
      <c r="E1044" s="15">
        <f>'[1]02. Matrix'!E1053</f>
        <v>0.69309970791024988</v>
      </c>
      <c r="F1044" s="14" t="str">
        <f>_xlfn.XLOOKUP('01. Main'!$B1044,[1]Mapping!$D:$D,[1]Mapping!$A:$A,0,0)</f>
        <v>Asadh 77</v>
      </c>
      <c r="G1044" s="16">
        <f>_xlfn.XLOOKUP('01. Main'!$B1044,[1]Mapping!D$2:D$24,[1]Mapping!E$2:E$24,0,0)</f>
        <v>2020</v>
      </c>
    </row>
    <row r="1045" spans="1:7" x14ac:dyDescent="0.45">
      <c r="A1045" s="17">
        <f>'[1]02. Matrix'!A1054</f>
        <v>1044</v>
      </c>
      <c r="B1045" s="18">
        <f>'[1]02. Matrix'!B1054</f>
        <v>5</v>
      </c>
      <c r="C1045" s="18" t="str">
        <f>'[1]02. Matrix'!C1054</f>
        <v>MARGIN NATURE LOAN</v>
      </c>
      <c r="D1045" s="18">
        <f>'[1]02. Matrix'!D1054</f>
        <v>2</v>
      </c>
      <c r="E1045" s="19">
        <f>'[1]02. Matrix'!E1054</f>
        <v>4.4128190045103002E-2</v>
      </c>
      <c r="F1045" s="18" t="str">
        <f>_xlfn.XLOOKUP('01. Main'!$B1045,[1]Mapping!$D:$D,[1]Mapping!$A:$A,0,0)</f>
        <v>Asadh 77</v>
      </c>
      <c r="G1045" s="20">
        <f>_xlfn.XLOOKUP('01. Main'!$B1045,[1]Mapping!D$2:D$24,[1]Mapping!E$2:E$24,0,0)</f>
        <v>2020</v>
      </c>
    </row>
    <row r="1046" spans="1:7" x14ac:dyDescent="0.45">
      <c r="A1046" s="13">
        <f>'[1]02. Matrix'!A1055</f>
        <v>1045</v>
      </c>
      <c r="B1046" s="14">
        <f>'[1]02. Matrix'!B1055</f>
        <v>5</v>
      </c>
      <c r="C1046" s="14" t="str">
        <f>'[1]02. Matrix'!C1055</f>
        <v>HIRE PURCHASE LOAN</v>
      </c>
      <c r="D1046" s="14">
        <f>'[1]02. Matrix'!D1055</f>
        <v>2</v>
      </c>
      <c r="E1046" s="15">
        <f>'[1]02. Matrix'!E1055</f>
        <v>0.79456917893010459</v>
      </c>
      <c r="F1046" s="14" t="str">
        <f>_xlfn.XLOOKUP('01. Main'!$B1046,[1]Mapping!$D:$D,[1]Mapping!$A:$A,0,0)</f>
        <v>Asadh 77</v>
      </c>
      <c r="G1046" s="16">
        <f>_xlfn.XLOOKUP('01. Main'!$B1046,[1]Mapping!D$2:D$24,[1]Mapping!E$2:E$24,0,0)</f>
        <v>2020</v>
      </c>
    </row>
    <row r="1047" spans="1:7" x14ac:dyDescent="0.45">
      <c r="A1047" s="17">
        <f>'[1]02. Matrix'!A1056</f>
        <v>1046</v>
      </c>
      <c r="B1047" s="18">
        <f>'[1]02. Matrix'!B1056</f>
        <v>5</v>
      </c>
      <c r="C1047" s="18" t="str">
        <f>'[1]02. Matrix'!C1056</f>
        <v>DEPRIVED SECTOR LOAN</v>
      </c>
      <c r="D1047" s="18">
        <f>'[1]02. Matrix'!D1056</f>
        <v>2</v>
      </c>
      <c r="E1047" s="19">
        <f>'[1]02. Matrix'!E1056</f>
        <v>0.5467572650733773</v>
      </c>
      <c r="F1047" s="18" t="str">
        <f>_xlfn.XLOOKUP('01. Main'!$B1047,[1]Mapping!$D:$D,[1]Mapping!$A:$A,0,0)</f>
        <v>Asadh 77</v>
      </c>
      <c r="G1047" s="20">
        <f>_xlfn.XLOOKUP('01. Main'!$B1047,[1]Mapping!D$2:D$24,[1]Mapping!E$2:E$24,0,0)</f>
        <v>2020</v>
      </c>
    </row>
    <row r="1048" spans="1:7" x14ac:dyDescent="0.45">
      <c r="A1048" s="13">
        <f>'[1]02. Matrix'!A1057</f>
        <v>1047</v>
      </c>
      <c r="B1048" s="14">
        <f>'[1]02. Matrix'!B1057</f>
        <v>5</v>
      </c>
      <c r="C1048" s="14" t="str">
        <f>'[1]02. Matrix'!C1057</f>
        <v>EDUCATIONAL LOAN</v>
      </c>
      <c r="D1048" s="14">
        <f>'[1]02. Matrix'!D1057</f>
        <v>2</v>
      </c>
      <c r="E1048" s="15">
        <f>'[1]02. Matrix'!E1057</f>
        <v>0.29996530304978042</v>
      </c>
      <c r="F1048" s="14" t="str">
        <f>_xlfn.XLOOKUP('01. Main'!$B1048,[1]Mapping!$D:$D,[1]Mapping!$A:$A,0,0)</f>
        <v>Asadh 77</v>
      </c>
      <c r="G1048" s="16">
        <f>_xlfn.XLOOKUP('01. Main'!$B1048,[1]Mapping!D$2:D$24,[1]Mapping!E$2:E$24,0,0)</f>
        <v>2020</v>
      </c>
    </row>
    <row r="1049" spans="1:7" x14ac:dyDescent="0.45">
      <c r="A1049" s="17">
        <f>'[1]02. Matrix'!A1058</f>
        <v>1048</v>
      </c>
      <c r="B1049" s="18">
        <f>'[1]02. Matrix'!B1058</f>
        <v>5</v>
      </c>
      <c r="C1049" s="18" t="str">
        <f>'[1]02. Matrix'!C1058</f>
        <v>AGRICULTURE LOAN</v>
      </c>
      <c r="D1049" s="18">
        <f>'[1]02. Matrix'!D1058</f>
        <v>2</v>
      </c>
      <c r="E1049" s="19">
        <f>'[1]02. Matrix'!E1058</f>
        <v>0.1682461039190192</v>
      </c>
      <c r="F1049" s="18" t="str">
        <f>_xlfn.XLOOKUP('01. Main'!$B1049,[1]Mapping!$D:$D,[1]Mapping!$A:$A,0,0)</f>
        <v>Asadh 77</v>
      </c>
      <c r="G1049" s="20">
        <f>_xlfn.XLOOKUP('01. Main'!$B1049,[1]Mapping!D$2:D$24,[1]Mapping!E$2:E$24,0,0)</f>
        <v>2020</v>
      </c>
    </row>
    <row r="1050" spans="1:7" x14ac:dyDescent="0.45">
      <c r="A1050" s="13">
        <f>'[1]02. Matrix'!A1059</f>
        <v>1049</v>
      </c>
      <c r="B1050" s="14">
        <f>'[1]02. Matrix'!B1059</f>
        <v>5</v>
      </c>
      <c r="C1050" s="14" t="str">
        <f>'[1]02. Matrix'!C1059</f>
        <v>RESI PER.HOME-EMI</v>
      </c>
      <c r="D1050" s="14">
        <f>'[1]02. Matrix'!D1059</f>
        <v>2</v>
      </c>
      <c r="E1050" s="15">
        <f>'[1]02. Matrix'!E1059</f>
        <v>0.81680143851488496</v>
      </c>
      <c r="F1050" s="14" t="str">
        <f>_xlfn.XLOOKUP('01. Main'!$B1050,[1]Mapping!$D:$D,[1]Mapping!$A:$A,0,0)</f>
        <v>Asadh 77</v>
      </c>
      <c r="G1050" s="16">
        <f>_xlfn.XLOOKUP('01. Main'!$B1050,[1]Mapping!D$2:D$24,[1]Mapping!E$2:E$24,0,0)</f>
        <v>2020</v>
      </c>
    </row>
    <row r="1051" spans="1:7" x14ac:dyDescent="0.45">
      <c r="A1051" s="17">
        <f>'[1]02. Matrix'!A1060</f>
        <v>1050</v>
      </c>
      <c r="B1051" s="18">
        <f>'[1]02. Matrix'!B1060</f>
        <v>5</v>
      </c>
      <c r="C1051" s="18" t="str">
        <f>'[1]02. Matrix'!C1060</f>
        <v>TERM LOAN - BUSINESS</v>
      </c>
      <c r="D1051" s="18">
        <f>'[1]02. Matrix'!D1060</f>
        <v>2</v>
      </c>
      <c r="E1051" s="19">
        <f>'[1]02. Matrix'!E1060</f>
        <v>0</v>
      </c>
      <c r="F1051" s="18" t="str">
        <f>_xlfn.XLOOKUP('01. Main'!$B1051,[1]Mapping!$D:$D,[1]Mapping!$A:$A,0,0)</f>
        <v>Asadh 77</v>
      </c>
      <c r="G1051" s="20">
        <f>_xlfn.XLOOKUP('01. Main'!$B1051,[1]Mapping!D$2:D$24,[1]Mapping!E$2:E$24,0,0)</f>
        <v>2020</v>
      </c>
    </row>
    <row r="1052" spans="1:7" x14ac:dyDescent="0.45">
      <c r="A1052" s="13">
        <f>'[1]02. Matrix'!A1061</f>
        <v>1051</v>
      </c>
      <c r="B1052" s="14">
        <f>'[1]02. Matrix'!B1061</f>
        <v>5</v>
      </c>
      <c r="C1052" s="14" t="str">
        <f>'[1]02. Matrix'!C1061</f>
        <v>CONS FIN BUSN TRM LO</v>
      </c>
      <c r="D1052" s="14">
        <f>'[1]02. Matrix'!D1061</f>
        <v>2</v>
      </c>
      <c r="E1052" s="15">
        <f>'[1]02. Matrix'!E1061</f>
        <v>0</v>
      </c>
      <c r="F1052" s="14" t="str">
        <f>_xlfn.XLOOKUP('01. Main'!$B1052,[1]Mapping!$D:$D,[1]Mapping!$A:$A,0,0)</f>
        <v>Asadh 77</v>
      </c>
      <c r="G1052" s="16">
        <f>_xlfn.XLOOKUP('01. Main'!$B1052,[1]Mapping!D$2:D$24,[1]Mapping!E$2:E$24,0,0)</f>
        <v>2020</v>
      </c>
    </row>
    <row r="1053" spans="1:7" x14ac:dyDescent="0.45">
      <c r="A1053" s="17">
        <f>'[1]02. Matrix'!A1062</f>
        <v>1052</v>
      </c>
      <c r="B1053" s="18">
        <f>'[1]02. Matrix'!B1062</f>
        <v>5</v>
      </c>
      <c r="C1053" s="18" t="str">
        <f>'[1]02. Matrix'!C1062</f>
        <v>BIS/PERHIRE PURCHASE</v>
      </c>
      <c r="D1053" s="18">
        <f>'[1]02. Matrix'!D1062</f>
        <v>2</v>
      </c>
      <c r="E1053" s="19">
        <f>'[1]02. Matrix'!E1062</f>
        <v>0.70551294806944265</v>
      </c>
      <c r="F1053" s="18" t="str">
        <f>_xlfn.XLOOKUP('01. Main'!$B1053,[1]Mapping!$D:$D,[1]Mapping!$A:$A,0,0)</f>
        <v>Asadh 77</v>
      </c>
      <c r="G1053" s="20">
        <f>_xlfn.XLOOKUP('01. Main'!$B1053,[1]Mapping!D$2:D$24,[1]Mapping!E$2:E$24,0,0)</f>
        <v>2020</v>
      </c>
    </row>
    <row r="1054" spans="1:7" x14ac:dyDescent="0.45">
      <c r="A1054" s="13">
        <f>'[1]02. Matrix'!A1063</f>
        <v>1053</v>
      </c>
      <c r="B1054" s="14">
        <f>'[1]02. Matrix'!B1063</f>
        <v>5</v>
      </c>
      <c r="C1054" s="14" t="str">
        <f>'[1]02. Matrix'!C1063</f>
        <v xml:space="preserve">INT CAP TERM LOAN </v>
      </c>
      <c r="D1054" s="14">
        <f>'[1]02. Matrix'!D1063</f>
        <v>2</v>
      </c>
      <c r="E1054" s="15">
        <f>'[1]02. Matrix'!E1063</f>
        <v>0</v>
      </c>
      <c r="F1054" s="14" t="str">
        <f>_xlfn.XLOOKUP('01. Main'!$B1054,[1]Mapping!$D:$D,[1]Mapping!$A:$A,0,0)</f>
        <v>Asadh 77</v>
      </c>
      <c r="G1054" s="16">
        <f>_xlfn.XLOOKUP('01. Main'!$B1054,[1]Mapping!D$2:D$24,[1]Mapping!E$2:E$24,0,0)</f>
        <v>2020</v>
      </c>
    </row>
    <row r="1055" spans="1:7" x14ac:dyDescent="0.45">
      <c r="A1055" s="17">
        <f>'[1]02. Matrix'!A1064</f>
        <v>1054</v>
      </c>
      <c r="B1055" s="18">
        <f>'[1]02. Matrix'!B1064</f>
        <v>5</v>
      </c>
      <c r="C1055" s="18" t="str">
        <f>'[1]02. Matrix'!C1064</f>
        <v>PERSONAL LOAN</v>
      </c>
      <c r="D1055" s="18">
        <f>'[1]02. Matrix'!D1064</f>
        <v>2</v>
      </c>
      <c r="E1055" s="19">
        <f>'[1]02. Matrix'!E1064</f>
        <v>0.28263808756959768</v>
      </c>
      <c r="F1055" s="18" t="str">
        <f>_xlfn.XLOOKUP('01. Main'!$B1055,[1]Mapping!$D:$D,[1]Mapping!$A:$A,0,0)</f>
        <v>Asadh 77</v>
      </c>
      <c r="G1055" s="20">
        <f>_xlfn.XLOOKUP('01. Main'!$B1055,[1]Mapping!D$2:D$24,[1]Mapping!E$2:E$24,0,0)</f>
        <v>2020</v>
      </c>
    </row>
    <row r="1056" spans="1:7" x14ac:dyDescent="0.45">
      <c r="A1056" s="13">
        <f>'[1]02. Matrix'!A1065</f>
        <v>1055</v>
      </c>
      <c r="B1056" s="14">
        <f>'[1]02. Matrix'!B1065</f>
        <v>5</v>
      </c>
      <c r="C1056" s="14" t="str">
        <f>'[1]02. Matrix'!C1065</f>
        <v>MORTGAGE LOAN</v>
      </c>
      <c r="D1056" s="14">
        <f>'[1]02. Matrix'!D1065</f>
        <v>2</v>
      </c>
      <c r="E1056" s="15">
        <f>'[1]02. Matrix'!E1065</f>
        <v>0</v>
      </c>
      <c r="F1056" s="14" t="str">
        <f>_xlfn.XLOOKUP('01. Main'!$B1056,[1]Mapping!$D:$D,[1]Mapping!$A:$A,0,0)</f>
        <v>Asadh 77</v>
      </c>
      <c r="G1056" s="16">
        <f>_xlfn.XLOOKUP('01. Main'!$B1056,[1]Mapping!D$2:D$24,[1]Mapping!E$2:E$24,0,0)</f>
        <v>2020</v>
      </c>
    </row>
    <row r="1057" spans="1:7" x14ac:dyDescent="0.45">
      <c r="A1057" s="17">
        <f>'[1]02. Matrix'!A1066</f>
        <v>1056</v>
      </c>
      <c r="B1057" s="18">
        <f>'[1]02. Matrix'!B1066</f>
        <v>5</v>
      </c>
      <c r="C1057" s="18" t="str">
        <f>'[1]02. Matrix'!C1066</f>
        <v>LOAN AGAINST FDR</v>
      </c>
      <c r="D1057" s="18">
        <f>'[1]02. Matrix'!D1066</f>
        <v>2</v>
      </c>
      <c r="E1057" s="19">
        <f>'[1]02. Matrix'!E1066</f>
        <v>0</v>
      </c>
      <c r="F1057" s="18" t="str">
        <f>_xlfn.XLOOKUP('01. Main'!$B1057,[1]Mapping!$D:$D,[1]Mapping!$A:$A,0,0)</f>
        <v>Asadh 77</v>
      </c>
      <c r="G1057" s="20">
        <f>_xlfn.XLOOKUP('01. Main'!$B1057,[1]Mapping!D$2:D$24,[1]Mapping!E$2:E$24,0,0)</f>
        <v>2020</v>
      </c>
    </row>
    <row r="1058" spans="1:7" x14ac:dyDescent="0.45">
      <c r="A1058" s="13">
        <f>'[1]02. Matrix'!A1067</f>
        <v>1057</v>
      </c>
      <c r="B1058" s="14">
        <f>'[1]02. Matrix'!B1067</f>
        <v>5</v>
      </c>
      <c r="C1058" s="14" t="str">
        <f>'[1]02. Matrix'!C1067</f>
        <v>RECEIVABLE LOAN</v>
      </c>
      <c r="D1058" s="14">
        <f>'[1]02. Matrix'!D1067</f>
        <v>2</v>
      </c>
      <c r="E1058" s="15">
        <f>'[1]02. Matrix'!E1067</f>
        <v>0</v>
      </c>
      <c r="F1058" s="14" t="str">
        <f>_xlfn.XLOOKUP('01. Main'!$B1058,[1]Mapping!$D:$D,[1]Mapping!$A:$A,0,0)</f>
        <v>Asadh 77</v>
      </c>
      <c r="G1058" s="16">
        <f>_xlfn.XLOOKUP('01. Main'!$B1058,[1]Mapping!D$2:D$24,[1]Mapping!E$2:E$24,0,0)</f>
        <v>2020</v>
      </c>
    </row>
    <row r="1059" spans="1:7" x14ac:dyDescent="0.45">
      <c r="A1059" s="17">
        <f>'[1]02. Matrix'!A1068</f>
        <v>1058</v>
      </c>
      <c r="B1059" s="18">
        <f>'[1]02. Matrix'!B1068</f>
        <v>5</v>
      </c>
      <c r="C1059" s="18" t="str">
        <f>'[1]02. Matrix'!C1068</f>
        <v>STAFF LOAN</v>
      </c>
      <c r="D1059" s="18">
        <f>'[1]02. Matrix'!D1068</f>
        <v>2</v>
      </c>
      <c r="E1059" s="19">
        <f>'[1]02. Matrix'!E1068</f>
        <v>8.8949688389255155E-2</v>
      </c>
      <c r="F1059" s="18" t="str">
        <f>_xlfn.XLOOKUP('01. Main'!$B1059,[1]Mapping!$D:$D,[1]Mapping!$A:$A,0,0)</f>
        <v>Asadh 77</v>
      </c>
      <c r="G1059" s="20">
        <f>_xlfn.XLOOKUP('01. Main'!$B1059,[1]Mapping!D$2:D$24,[1]Mapping!E$2:E$24,0,0)</f>
        <v>2020</v>
      </c>
    </row>
    <row r="1060" spans="1:7" x14ac:dyDescent="0.45">
      <c r="A1060" s="13">
        <f>'[1]02. Matrix'!A1069</f>
        <v>1059</v>
      </c>
      <c r="B1060" s="14">
        <f>'[1]02. Matrix'!B1069</f>
        <v>5</v>
      </c>
      <c r="C1060" s="14" t="str">
        <f>'[1]02. Matrix'!C1069</f>
        <v>AGRICULTURAL LOAN</v>
      </c>
      <c r="D1060" s="14">
        <f>'[1]02. Matrix'!D1069</f>
        <v>2</v>
      </c>
      <c r="E1060" s="15">
        <f>'[1]02. Matrix'!E1069</f>
        <v>0</v>
      </c>
      <c r="F1060" s="14" t="str">
        <f>_xlfn.XLOOKUP('01. Main'!$B1060,[1]Mapping!$D:$D,[1]Mapping!$A:$A,0,0)</f>
        <v>Asadh 77</v>
      </c>
      <c r="G1060" s="16">
        <f>_xlfn.XLOOKUP('01. Main'!$B1060,[1]Mapping!D$2:D$24,[1]Mapping!E$2:E$24,0,0)</f>
        <v>2020</v>
      </c>
    </row>
    <row r="1061" spans="1:7" x14ac:dyDescent="0.45">
      <c r="A1061" s="17">
        <f>'[1]02. Matrix'!A1070</f>
        <v>1060</v>
      </c>
      <c r="B1061" s="18">
        <f>'[1]02. Matrix'!B1070</f>
        <v>5</v>
      </c>
      <c r="C1061" s="18" t="str">
        <f>'[1]02. Matrix'!C1070</f>
        <v>EARTHQUAKE RELIEF LO</v>
      </c>
      <c r="D1061" s="18">
        <f>'[1]02. Matrix'!D1070</f>
        <v>2</v>
      </c>
      <c r="E1061" s="19">
        <f>'[1]02. Matrix'!E1070</f>
        <v>0</v>
      </c>
      <c r="F1061" s="18" t="str">
        <f>_xlfn.XLOOKUP('01. Main'!$B1061,[1]Mapping!$D:$D,[1]Mapping!$A:$A,0,0)</f>
        <v>Asadh 77</v>
      </c>
      <c r="G1061" s="20">
        <f>_xlfn.XLOOKUP('01. Main'!$B1061,[1]Mapping!D$2:D$24,[1]Mapping!E$2:E$24,0,0)</f>
        <v>2020</v>
      </c>
    </row>
    <row r="1062" spans="1:7" x14ac:dyDescent="0.45">
      <c r="A1062" s="13">
        <f>'[1]02. Matrix'!A1071</f>
        <v>1061</v>
      </c>
      <c r="B1062" s="14">
        <f>'[1]02. Matrix'!B1071</f>
        <v>5</v>
      </c>
      <c r="C1062" s="14" t="str">
        <f>'[1]02. Matrix'!C1071</f>
        <v>TOURISM SECTOR LOAN</v>
      </c>
      <c r="D1062" s="14">
        <f>'[1]02. Matrix'!D1071</f>
        <v>2</v>
      </c>
      <c r="E1062" s="15">
        <f>'[1]02. Matrix'!E1071</f>
        <v>0</v>
      </c>
      <c r="F1062" s="14" t="str">
        <f>_xlfn.XLOOKUP('01. Main'!$B1062,[1]Mapping!$D:$D,[1]Mapping!$A:$A,0,0)</f>
        <v>Asadh 77</v>
      </c>
      <c r="G1062" s="16">
        <f>_xlfn.XLOOKUP('01. Main'!$B1062,[1]Mapping!D$2:D$24,[1]Mapping!E$2:E$24,0,0)</f>
        <v>2020</v>
      </c>
    </row>
    <row r="1063" spans="1:7" x14ac:dyDescent="0.45">
      <c r="A1063" s="17">
        <f>'[1]02. Matrix'!A1072</f>
        <v>1062</v>
      </c>
      <c r="B1063" s="18">
        <f>'[1]02. Matrix'!B1072</f>
        <v>5</v>
      </c>
      <c r="C1063" s="18" t="str">
        <f>'[1]02. Matrix'!C1072</f>
        <v>SME LOAN</v>
      </c>
      <c r="D1063" s="18">
        <f>'[1]02. Matrix'!D1072</f>
        <v>2</v>
      </c>
      <c r="E1063" s="19">
        <f>'[1]02. Matrix'!E1072</f>
        <v>0</v>
      </c>
      <c r="F1063" s="18" t="str">
        <f>_xlfn.XLOOKUP('01. Main'!$B1063,[1]Mapping!$D:$D,[1]Mapping!$A:$A,0,0)</f>
        <v>Asadh 77</v>
      </c>
      <c r="G1063" s="20">
        <f>_xlfn.XLOOKUP('01. Main'!$B1063,[1]Mapping!D$2:D$24,[1]Mapping!E$2:E$24,0,0)</f>
        <v>2020</v>
      </c>
    </row>
    <row r="1064" spans="1:7" x14ac:dyDescent="0.45">
      <c r="A1064" s="13">
        <f>'[1]02. Matrix'!A1073</f>
        <v>1063</v>
      </c>
      <c r="B1064" s="14">
        <f>'[1]02. Matrix'!B1073</f>
        <v>5</v>
      </c>
      <c r="C1064" s="14" t="str">
        <f>'[1]02. Matrix'!C1073</f>
        <v>EDUCATIONAL LOAN EMI</v>
      </c>
      <c r="D1064" s="14">
        <f>'[1]02. Matrix'!D1073</f>
        <v>2</v>
      </c>
      <c r="E1064" s="15">
        <f>'[1]02. Matrix'!E1073</f>
        <v>0</v>
      </c>
      <c r="F1064" s="14" t="str">
        <f>_xlfn.XLOOKUP('01. Main'!$B1064,[1]Mapping!$D:$D,[1]Mapping!$A:$A,0,0)</f>
        <v>Asadh 77</v>
      </c>
      <c r="G1064" s="16">
        <f>_xlfn.XLOOKUP('01. Main'!$B1064,[1]Mapping!D$2:D$24,[1]Mapping!E$2:E$24,0,0)</f>
        <v>2020</v>
      </c>
    </row>
    <row r="1065" spans="1:7" x14ac:dyDescent="0.45">
      <c r="A1065" s="17">
        <f>'[1]02. Matrix'!A1074</f>
        <v>1064</v>
      </c>
      <c r="B1065" s="18">
        <f>'[1]02. Matrix'!B1074</f>
        <v>5</v>
      </c>
      <c r="C1065" s="18" t="str">
        <f>'[1]02. Matrix'!C1074</f>
        <v>OVERDRAFT PROFESSION</v>
      </c>
      <c r="D1065" s="18">
        <f>'[1]02. Matrix'!D1074</f>
        <v>2</v>
      </c>
      <c r="E1065" s="19">
        <f>'[1]02. Matrix'!E1074</f>
        <v>0</v>
      </c>
      <c r="F1065" s="18" t="str">
        <f>_xlfn.XLOOKUP('01. Main'!$B1065,[1]Mapping!$D:$D,[1]Mapping!$A:$A,0,0)</f>
        <v>Asadh 77</v>
      </c>
      <c r="G1065" s="20">
        <f>_xlfn.XLOOKUP('01. Main'!$B1065,[1]Mapping!D$2:D$24,[1]Mapping!E$2:E$24,0,0)</f>
        <v>2020</v>
      </c>
    </row>
    <row r="1066" spans="1:7" x14ac:dyDescent="0.45">
      <c r="A1066" s="13">
        <f>'[1]02. Matrix'!A1075</f>
        <v>1065</v>
      </c>
      <c r="B1066" s="14">
        <f>'[1]02. Matrix'!B1075</f>
        <v>4</v>
      </c>
      <c r="C1066" s="14" t="str">
        <f>'[1]02. Matrix'!C1075</f>
        <v>OD PERSONAL LOAN</v>
      </c>
      <c r="D1066" s="14">
        <f>'[1]02. Matrix'!D1075</f>
        <v>1</v>
      </c>
      <c r="E1066" s="15">
        <f>'[1]02. Matrix'!E1075</f>
        <v>0</v>
      </c>
      <c r="F1066" s="14" t="str">
        <f>_xlfn.XLOOKUP('01. Main'!$B1066,[1]Mapping!$D:$D,[1]Mapping!$A:$A,0,0)</f>
        <v>chaitra 76</v>
      </c>
      <c r="G1066" s="16">
        <f>_xlfn.XLOOKUP('01. Main'!$B1066,[1]Mapping!D$2:D$24,[1]Mapping!E$2:E$24,0,0)</f>
        <v>2020</v>
      </c>
    </row>
    <row r="1067" spans="1:7" x14ac:dyDescent="0.45">
      <c r="A1067" s="17">
        <f>'[1]02. Matrix'!A1076</f>
        <v>1066</v>
      </c>
      <c r="B1067" s="18">
        <f>'[1]02. Matrix'!B1076</f>
        <v>4</v>
      </c>
      <c r="C1067" s="18" t="str">
        <f>'[1]02. Matrix'!C1076</f>
        <v>OD BUSINESS LOAN</v>
      </c>
      <c r="D1067" s="18">
        <f>'[1]02. Matrix'!D1076</f>
        <v>1</v>
      </c>
      <c r="E1067" s="19">
        <f>'[1]02. Matrix'!E1076</f>
        <v>0</v>
      </c>
      <c r="F1067" s="18" t="str">
        <f>_xlfn.XLOOKUP('01. Main'!$B1067,[1]Mapping!$D:$D,[1]Mapping!$A:$A,0,0)</f>
        <v>chaitra 76</v>
      </c>
      <c r="G1067" s="20">
        <f>_xlfn.XLOOKUP('01. Main'!$B1067,[1]Mapping!D$2:D$24,[1]Mapping!E$2:E$24,0,0)</f>
        <v>2020</v>
      </c>
    </row>
    <row r="1068" spans="1:7" x14ac:dyDescent="0.45">
      <c r="A1068" s="13">
        <f>'[1]02. Matrix'!A1077</f>
        <v>1067</v>
      </c>
      <c r="B1068" s="14">
        <f>'[1]02. Matrix'!B1077</f>
        <v>4</v>
      </c>
      <c r="C1068" s="14" t="str">
        <f>'[1]02. Matrix'!C1077</f>
        <v>OD STAFF LOAN</v>
      </c>
      <c r="D1068" s="14">
        <f>'[1]02. Matrix'!D1077</f>
        <v>1</v>
      </c>
      <c r="E1068" s="15">
        <f>'[1]02. Matrix'!E1077</f>
        <v>0</v>
      </c>
      <c r="F1068" s="14" t="str">
        <f>_xlfn.XLOOKUP('01. Main'!$B1068,[1]Mapping!$D:$D,[1]Mapping!$A:$A,0,0)</f>
        <v>chaitra 76</v>
      </c>
      <c r="G1068" s="16">
        <f>_xlfn.XLOOKUP('01. Main'!$B1068,[1]Mapping!D$2:D$24,[1]Mapping!E$2:E$24,0,0)</f>
        <v>2020</v>
      </c>
    </row>
    <row r="1069" spans="1:7" x14ac:dyDescent="0.45">
      <c r="A1069" s="17">
        <f>'[1]02. Matrix'!A1078</f>
        <v>1068</v>
      </c>
      <c r="B1069" s="18">
        <f>'[1]02. Matrix'!B1078</f>
        <v>4</v>
      </c>
      <c r="C1069" s="18" t="str">
        <f>'[1]02. Matrix'!C1078</f>
        <v>TERM LOAN</v>
      </c>
      <c r="D1069" s="18">
        <f>'[1]02. Matrix'!D1078</f>
        <v>1</v>
      </c>
      <c r="E1069" s="19">
        <f>'[1]02. Matrix'!E1078</f>
        <v>0.21790128685962482</v>
      </c>
      <c r="F1069" s="18" t="str">
        <f>_xlfn.XLOOKUP('01. Main'!$B1069,[1]Mapping!$D:$D,[1]Mapping!$A:$A,0,0)</f>
        <v>chaitra 76</v>
      </c>
      <c r="G1069" s="20">
        <f>_xlfn.XLOOKUP('01. Main'!$B1069,[1]Mapping!D$2:D$24,[1]Mapping!E$2:E$24,0,0)</f>
        <v>2020</v>
      </c>
    </row>
    <row r="1070" spans="1:7" x14ac:dyDescent="0.45">
      <c r="A1070" s="13">
        <f>'[1]02. Matrix'!A1079</f>
        <v>1069</v>
      </c>
      <c r="B1070" s="14">
        <f>'[1]02. Matrix'!B1079</f>
        <v>4</v>
      </c>
      <c r="C1070" s="14" t="str">
        <f>'[1]02. Matrix'!C1079</f>
        <v>WC TRADING/IND LOAN</v>
      </c>
      <c r="D1070" s="14">
        <f>'[1]02. Matrix'!D1079</f>
        <v>1</v>
      </c>
      <c r="E1070" s="15">
        <f>'[1]02. Matrix'!E1079</f>
        <v>0.38794500585383462</v>
      </c>
      <c r="F1070" s="14" t="str">
        <f>_xlfn.XLOOKUP('01. Main'!$B1070,[1]Mapping!$D:$D,[1]Mapping!$A:$A,0,0)</f>
        <v>chaitra 76</v>
      </c>
      <c r="G1070" s="16">
        <f>_xlfn.XLOOKUP('01. Main'!$B1070,[1]Mapping!D$2:D$24,[1]Mapping!E$2:E$24,0,0)</f>
        <v>2020</v>
      </c>
    </row>
    <row r="1071" spans="1:7" x14ac:dyDescent="0.45">
      <c r="A1071" s="17">
        <f>'[1]02. Matrix'!A1080</f>
        <v>1070</v>
      </c>
      <c r="B1071" s="18">
        <f>'[1]02. Matrix'!B1080</f>
        <v>4</v>
      </c>
      <c r="C1071" s="18" t="str">
        <f>'[1]02. Matrix'!C1080</f>
        <v>HOUSING LOAN</v>
      </c>
      <c r="D1071" s="18">
        <f>'[1]02. Matrix'!D1080</f>
        <v>1</v>
      </c>
      <c r="E1071" s="19">
        <f>'[1]02. Matrix'!E1080</f>
        <v>0.46128572929443745</v>
      </c>
      <c r="F1071" s="18" t="str">
        <f>_xlfn.XLOOKUP('01. Main'!$B1071,[1]Mapping!$D:$D,[1]Mapping!$A:$A,0,0)</f>
        <v>chaitra 76</v>
      </c>
      <c r="G1071" s="20">
        <f>_xlfn.XLOOKUP('01. Main'!$B1071,[1]Mapping!D$2:D$24,[1]Mapping!E$2:E$24,0,0)</f>
        <v>2020</v>
      </c>
    </row>
    <row r="1072" spans="1:7" x14ac:dyDescent="0.45">
      <c r="A1072" s="13">
        <f>'[1]02. Matrix'!A1081</f>
        <v>1071</v>
      </c>
      <c r="B1072" s="14">
        <f>'[1]02. Matrix'!B1081</f>
        <v>4</v>
      </c>
      <c r="C1072" s="14" t="str">
        <f>'[1]02. Matrix'!C1081</f>
        <v>RESI REAL EST LOAN</v>
      </c>
      <c r="D1072" s="14">
        <f>'[1]02. Matrix'!D1081</f>
        <v>1</v>
      </c>
      <c r="E1072" s="15">
        <f>'[1]02. Matrix'!E1081</f>
        <v>0.3363902032355246</v>
      </c>
      <c r="F1072" s="14" t="str">
        <f>_xlfn.XLOOKUP('01. Main'!$B1072,[1]Mapping!$D:$D,[1]Mapping!$A:$A,0,0)</f>
        <v>chaitra 76</v>
      </c>
      <c r="G1072" s="16">
        <f>_xlfn.XLOOKUP('01. Main'!$B1072,[1]Mapping!D$2:D$24,[1]Mapping!E$2:E$24,0,0)</f>
        <v>2020</v>
      </c>
    </row>
    <row r="1073" spans="1:7" x14ac:dyDescent="0.45">
      <c r="A1073" s="17">
        <f>'[1]02. Matrix'!A1082</f>
        <v>1072</v>
      </c>
      <c r="B1073" s="18">
        <f>'[1]02. Matrix'!B1082</f>
        <v>4</v>
      </c>
      <c r="C1073" s="18" t="str">
        <f>'[1]02. Matrix'!C1082</f>
        <v>MARGIN NATURE LOAN</v>
      </c>
      <c r="D1073" s="18">
        <f>'[1]02. Matrix'!D1082</f>
        <v>1</v>
      </c>
      <c r="E1073" s="19">
        <f>'[1]02. Matrix'!E1082</f>
        <v>0.37234397063372315</v>
      </c>
      <c r="F1073" s="18" t="str">
        <f>_xlfn.XLOOKUP('01. Main'!$B1073,[1]Mapping!$D:$D,[1]Mapping!$A:$A,0,0)</f>
        <v>chaitra 76</v>
      </c>
      <c r="G1073" s="20">
        <f>_xlfn.XLOOKUP('01. Main'!$B1073,[1]Mapping!D$2:D$24,[1]Mapping!E$2:E$24,0,0)</f>
        <v>2020</v>
      </c>
    </row>
    <row r="1074" spans="1:7" x14ac:dyDescent="0.45">
      <c r="A1074" s="13">
        <f>'[1]02. Matrix'!A1083</f>
        <v>1073</v>
      </c>
      <c r="B1074" s="14">
        <f>'[1]02. Matrix'!B1083</f>
        <v>4</v>
      </c>
      <c r="C1074" s="14" t="str">
        <f>'[1]02. Matrix'!C1083</f>
        <v>HIRE PURCHASE LOAN</v>
      </c>
      <c r="D1074" s="14">
        <f>'[1]02. Matrix'!D1083</f>
        <v>1</v>
      </c>
      <c r="E1074" s="15">
        <f>'[1]02. Matrix'!E1083</f>
        <v>0.58985793031429301</v>
      </c>
      <c r="F1074" s="14" t="str">
        <f>_xlfn.XLOOKUP('01. Main'!$B1074,[1]Mapping!$D:$D,[1]Mapping!$A:$A,0,0)</f>
        <v>chaitra 76</v>
      </c>
      <c r="G1074" s="16">
        <f>_xlfn.XLOOKUP('01. Main'!$B1074,[1]Mapping!D$2:D$24,[1]Mapping!E$2:E$24,0,0)</f>
        <v>2020</v>
      </c>
    </row>
    <row r="1075" spans="1:7" x14ac:dyDescent="0.45">
      <c r="A1075" s="17">
        <f>'[1]02. Matrix'!A1084</f>
        <v>1074</v>
      </c>
      <c r="B1075" s="18">
        <f>'[1]02. Matrix'!B1084</f>
        <v>4</v>
      </c>
      <c r="C1075" s="18" t="str">
        <f>'[1]02. Matrix'!C1084</f>
        <v>DEPRIVED SECTOR LOAN</v>
      </c>
      <c r="D1075" s="18">
        <f>'[1]02. Matrix'!D1084</f>
        <v>1</v>
      </c>
      <c r="E1075" s="19">
        <f>'[1]02. Matrix'!E1084</f>
        <v>4.9670447091982955E-2</v>
      </c>
      <c r="F1075" s="18" t="str">
        <f>_xlfn.XLOOKUP('01. Main'!$B1075,[1]Mapping!$D:$D,[1]Mapping!$A:$A,0,0)</f>
        <v>chaitra 76</v>
      </c>
      <c r="G1075" s="20">
        <f>_xlfn.XLOOKUP('01. Main'!$B1075,[1]Mapping!D$2:D$24,[1]Mapping!E$2:E$24,0,0)</f>
        <v>2020</v>
      </c>
    </row>
    <row r="1076" spans="1:7" x14ac:dyDescent="0.45">
      <c r="A1076" s="13">
        <f>'[1]02. Matrix'!A1085</f>
        <v>1075</v>
      </c>
      <c r="B1076" s="14">
        <f>'[1]02. Matrix'!B1085</f>
        <v>4</v>
      </c>
      <c r="C1076" s="14" t="str">
        <f>'[1]02. Matrix'!C1085</f>
        <v>EDUCATIONAL LOAN</v>
      </c>
      <c r="D1076" s="14">
        <f>'[1]02. Matrix'!D1085</f>
        <v>1</v>
      </c>
      <c r="E1076" s="15">
        <f>'[1]02. Matrix'!E1085</f>
        <v>0.432343118930198</v>
      </c>
      <c r="F1076" s="14" t="str">
        <f>_xlfn.XLOOKUP('01. Main'!$B1076,[1]Mapping!$D:$D,[1]Mapping!$A:$A,0,0)</f>
        <v>chaitra 76</v>
      </c>
      <c r="G1076" s="16">
        <f>_xlfn.XLOOKUP('01. Main'!$B1076,[1]Mapping!D$2:D$24,[1]Mapping!E$2:E$24,0,0)</f>
        <v>2020</v>
      </c>
    </row>
    <row r="1077" spans="1:7" x14ac:dyDescent="0.45">
      <c r="A1077" s="17">
        <f>'[1]02. Matrix'!A1086</f>
        <v>1076</v>
      </c>
      <c r="B1077" s="18">
        <f>'[1]02. Matrix'!B1086</f>
        <v>4</v>
      </c>
      <c r="C1077" s="18" t="str">
        <f>'[1]02. Matrix'!C1086</f>
        <v>AGRICULTURE LOAN</v>
      </c>
      <c r="D1077" s="18">
        <f>'[1]02. Matrix'!D1086</f>
        <v>1</v>
      </c>
      <c r="E1077" s="19">
        <f>'[1]02. Matrix'!E1086</f>
        <v>0.14103234304003459</v>
      </c>
      <c r="F1077" s="18" t="str">
        <f>_xlfn.XLOOKUP('01. Main'!$B1077,[1]Mapping!$D:$D,[1]Mapping!$A:$A,0,0)</f>
        <v>chaitra 76</v>
      </c>
      <c r="G1077" s="20">
        <f>_xlfn.XLOOKUP('01. Main'!$B1077,[1]Mapping!D$2:D$24,[1]Mapping!E$2:E$24,0,0)</f>
        <v>2020</v>
      </c>
    </row>
    <row r="1078" spans="1:7" x14ac:dyDescent="0.45">
      <c r="A1078" s="13">
        <f>'[1]02. Matrix'!A1087</f>
        <v>1077</v>
      </c>
      <c r="B1078" s="14">
        <f>'[1]02. Matrix'!B1087</f>
        <v>4</v>
      </c>
      <c r="C1078" s="14" t="str">
        <f>'[1]02. Matrix'!C1087</f>
        <v>RESI PER.HOME-EMI</v>
      </c>
      <c r="D1078" s="14">
        <f>'[1]02. Matrix'!D1087</f>
        <v>1</v>
      </c>
      <c r="E1078" s="15">
        <f>'[1]02. Matrix'!E1087</f>
        <v>0.35360644393532237</v>
      </c>
      <c r="F1078" s="14" t="str">
        <f>_xlfn.XLOOKUP('01. Main'!$B1078,[1]Mapping!$D:$D,[1]Mapping!$A:$A,0,0)</f>
        <v>chaitra 76</v>
      </c>
      <c r="G1078" s="16">
        <f>_xlfn.XLOOKUP('01. Main'!$B1078,[1]Mapping!D$2:D$24,[1]Mapping!E$2:E$24,0,0)</f>
        <v>2020</v>
      </c>
    </row>
    <row r="1079" spans="1:7" x14ac:dyDescent="0.45">
      <c r="A1079" s="17">
        <f>'[1]02. Matrix'!A1088</f>
        <v>1078</v>
      </c>
      <c r="B1079" s="18">
        <f>'[1]02. Matrix'!B1088</f>
        <v>4</v>
      </c>
      <c r="C1079" s="18" t="str">
        <f>'[1]02. Matrix'!C1088</f>
        <v>TERM LOAN - BUSINESS</v>
      </c>
      <c r="D1079" s="18">
        <f>'[1]02. Matrix'!D1088</f>
        <v>1</v>
      </c>
      <c r="E1079" s="19">
        <f>'[1]02. Matrix'!E1088</f>
        <v>0</v>
      </c>
      <c r="F1079" s="18" t="str">
        <f>_xlfn.XLOOKUP('01. Main'!$B1079,[1]Mapping!$D:$D,[1]Mapping!$A:$A,0,0)</f>
        <v>chaitra 76</v>
      </c>
      <c r="G1079" s="20">
        <f>_xlfn.XLOOKUP('01. Main'!$B1079,[1]Mapping!D$2:D$24,[1]Mapping!E$2:E$24,0,0)</f>
        <v>2020</v>
      </c>
    </row>
    <row r="1080" spans="1:7" x14ac:dyDescent="0.45">
      <c r="A1080" s="13">
        <f>'[1]02. Matrix'!A1089</f>
        <v>1079</v>
      </c>
      <c r="B1080" s="14">
        <f>'[1]02. Matrix'!B1089</f>
        <v>4</v>
      </c>
      <c r="C1080" s="14" t="str">
        <f>'[1]02. Matrix'!C1089</f>
        <v>CONS FIN BUSN TRM LO</v>
      </c>
      <c r="D1080" s="14">
        <f>'[1]02. Matrix'!D1089</f>
        <v>1</v>
      </c>
      <c r="E1080" s="15">
        <f>'[1]02. Matrix'!E1089</f>
        <v>0</v>
      </c>
      <c r="F1080" s="14" t="str">
        <f>_xlfn.XLOOKUP('01. Main'!$B1080,[1]Mapping!$D:$D,[1]Mapping!$A:$A,0,0)</f>
        <v>chaitra 76</v>
      </c>
      <c r="G1080" s="16">
        <f>_xlfn.XLOOKUP('01. Main'!$B1080,[1]Mapping!D$2:D$24,[1]Mapping!E$2:E$24,0,0)</f>
        <v>2020</v>
      </c>
    </row>
    <row r="1081" spans="1:7" x14ac:dyDescent="0.45">
      <c r="A1081" s="17">
        <f>'[1]02. Matrix'!A1090</f>
        <v>1080</v>
      </c>
      <c r="B1081" s="18">
        <f>'[1]02. Matrix'!B1090</f>
        <v>4</v>
      </c>
      <c r="C1081" s="18" t="str">
        <f>'[1]02. Matrix'!C1090</f>
        <v>BIS/PERHIRE PURCHASE</v>
      </c>
      <c r="D1081" s="18">
        <f>'[1]02. Matrix'!D1090</f>
        <v>1</v>
      </c>
      <c r="E1081" s="19">
        <f>'[1]02. Matrix'!E1090</f>
        <v>0.61329790508062332</v>
      </c>
      <c r="F1081" s="18" t="str">
        <f>_xlfn.XLOOKUP('01. Main'!$B1081,[1]Mapping!$D:$D,[1]Mapping!$A:$A,0,0)</f>
        <v>chaitra 76</v>
      </c>
      <c r="G1081" s="20">
        <f>_xlfn.XLOOKUP('01. Main'!$B1081,[1]Mapping!D$2:D$24,[1]Mapping!E$2:E$24,0,0)</f>
        <v>2020</v>
      </c>
    </row>
    <row r="1082" spans="1:7" x14ac:dyDescent="0.45">
      <c r="A1082" s="13">
        <f>'[1]02. Matrix'!A1091</f>
        <v>1081</v>
      </c>
      <c r="B1082" s="14">
        <f>'[1]02. Matrix'!B1091</f>
        <v>4</v>
      </c>
      <c r="C1082" s="14" t="str">
        <f>'[1]02. Matrix'!C1091</f>
        <v xml:space="preserve">INT CAP TERM LOAN </v>
      </c>
      <c r="D1082" s="14">
        <f>'[1]02. Matrix'!D1091</f>
        <v>1</v>
      </c>
      <c r="E1082" s="15">
        <f>'[1]02. Matrix'!E1091</f>
        <v>0</v>
      </c>
      <c r="F1082" s="14" t="str">
        <f>_xlfn.XLOOKUP('01. Main'!$B1082,[1]Mapping!$D:$D,[1]Mapping!$A:$A,0,0)</f>
        <v>chaitra 76</v>
      </c>
      <c r="G1082" s="16">
        <f>_xlfn.XLOOKUP('01. Main'!$B1082,[1]Mapping!D$2:D$24,[1]Mapping!E$2:E$24,0,0)</f>
        <v>2020</v>
      </c>
    </row>
    <row r="1083" spans="1:7" x14ac:dyDescent="0.45">
      <c r="A1083" s="17">
        <f>'[1]02. Matrix'!A1092</f>
        <v>1082</v>
      </c>
      <c r="B1083" s="18">
        <f>'[1]02. Matrix'!B1092</f>
        <v>4</v>
      </c>
      <c r="C1083" s="18" t="str">
        <f>'[1]02. Matrix'!C1092</f>
        <v>PERSONAL LOAN</v>
      </c>
      <c r="D1083" s="18">
        <f>'[1]02. Matrix'!D1092</f>
        <v>1</v>
      </c>
      <c r="E1083" s="19">
        <f>'[1]02. Matrix'!E1092</f>
        <v>0.21067900062398631</v>
      </c>
      <c r="F1083" s="18" t="str">
        <f>_xlfn.XLOOKUP('01. Main'!$B1083,[1]Mapping!$D:$D,[1]Mapping!$A:$A,0,0)</f>
        <v>chaitra 76</v>
      </c>
      <c r="G1083" s="20">
        <f>_xlfn.XLOOKUP('01. Main'!$B1083,[1]Mapping!D$2:D$24,[1]Mapping!E$2:E$24,0,0)</f>
        <v>2020</v>
      </c>
    </row>
    <row r="1084" spans="1:7" x14ac:dyDescent="0.45">
      <c r="A1084" s="13">
        <f>'[1]02. Matrix'!A1093</f>
        <v>1083</v>
      </c>
      <c r="B1084" s="14">
        <f>'[1]02. Matrix'!B1093</f>
        <v>4</v>
      </c>
      <c r="C1084" s="14" t="str">
        <f>'[1]02. Matrix'!C1093</f>
        <v>MORTGAGE LOAN</v>
      </c>
      <c r="D1084" s="14">
        <f>'[1]02. Matrix'!D1093</f>
        <v>1</v>
      </c>
      <c r="E1084" s="15">
        <f>'[1]02. Matrix'!E1093</f>
        <v>0</v>
      </c>
      <c r="F1084" s="14" t="str">
        <f>_xlfn.XLOOKUP('01. Main'!$B1084,[1]Mapping!$D:$D,[1]Mapping!$A:$A,0,0)</f>
        <v>chaitra 76</v>
      </c>
      <c r="G1084" s="16">
        <f>_xlfn.XLOOKUP('01. Main'!$B1084,[1]Mapping!D$2:D$24,[1]Mapping!E$2:E$24,0,0)</f>
        <v>2020</v>
      </c>
    </row>
    <row r="1085" spans="1:7" x14ac:dyDescent="0.45">
      <c r="A1085" s="17">
        <f>'[1]02. Matrix'!A1094</f>
        <v>1084</v>
      </c>
      <c r="B1085" s="18">
        <f>'[1]02. Matrix'!B1094</f>
        <v>4</v>
      </c>
      <c r="C1085" s="18" t="str">
        <f>'[1]02. Matrix'!C1094</f>
        <v>LOAN AGAINST FDR</v>
      </c>
      <c r="D1085" s="18">
        <f>'[1]02. Matrix'!D1094</f>
        <v>1</v>
      </c>
      <c r="E1085" s="19">
        <f>'[1]02. Matrix'!E1094</f>
        <v>0</v>
      </c>
      <c r="F1085" s="18" t="str">
        <f>_xlfn.XLOOKUP('01. Main'!$B1085,[1]Mapping!$D:$D,[1]Mapping!$A:$A,0,0)</f>
        <v>chaitra 76</v>
      </c>
      <c r="G1085" s="20">
        <f>_xlfn.XLOOKUP('01. Main'!$B1085,[1]Mapping!D$2:D$24,[1]Mapping!E$2:E$24,0,0)</f>
        <v>2020</v>
      </c>
    </row>
    <row r="1086" spans="1:7" x14ac:dyDescent="0.45">
      <c r="A1086" s="13">
        <f>'[1]02. Matrix'!A1095</f>
        <v>1085</v>
      </c>
      <c r="B1086" s="14">
        <f>'[1]02. Matrix'!B1095</f>
        <v>4</v>
      </c>
      <c r="C1086" s="14" t="str">
        <f>'[1]02. Matrix'!C1095</f>
        <v>RECEIVABLE LOAN</v>
      </c>
      <c r="D1086" s="14">
        <f>'[1]02. Matrix'!D1095</f>
        <v>1</v>
      </c>
      <c r="E1086" s="15">
        <f>'[1]02. Matrix'!E1095</f>
        <v>0</v>
      </c>
      <c r="F1086" s="14" t="str">
        <f>_xlfn.XLOOKUP('01. Main'!$B1086,[1]Mapping!$D:$D,[1]Mapping!$A:$A,0,0)</f>
        <v>chaitra 76</v>
      </c>
      <c r="G1086" s="16">
        <f>_xlfn.XLOOKUP('01. Main'!$B1086,[1]Mapping!D$2:D$24,[1]Mapping!E$2:E$24,0,0)</f>
        <v>2020</v>
      </c>
    </row>
    <row r="1087" spans="1:7" x14ac:dyDescent="0.45">
      <c r="A1087" s="17">
        <f>'[1]02. Matrix'!A1096</f>
        <v>1086</v>
      </c>
      <c r="B1087" s="18">
        <f>'[1]02. Matrix'!B1096</f>
        <v>4</v>
      </c>
      <c r="C1087" s="18" t="str">
        <f>'[1]02. Matrix'!C1096</f>
        <v>STAFF LOAN</v>
      </c>
      <c r="D1087" s="18">
        <f>'[1]02. Matrix'!D1096</f>
        <v>1</v>
      </c>
      <c r="E1087" s="19">
        <f>'[1]02. Matrix'!E1096</f>
        <v>5.4192551918166874E-2</v>
      </c>
      <c r="F1087" s="18" t="str">
        <f>_xlfn.XLOOKUP('01. Main'!$B1087,[1]Mapping!$D:$D,[1]Mapping!$A:$A,0,0)</f>
        <v>chaitra 76</v>
      </c>
      <c r="G1087" s="20">
        <f>_xlfn.XLOOKUP('01. Main'!$B1087,[1]Mapping!D$2:D$24,[1]Mapping!E$2:E$24,0,0)</f>
        <v>2020</v>
      </c>
    </row>
    <row r="1088" spans="1:7" x14ac:dyDescent="0.45">
      <c r="A1088" s="13">
        <f>'[1]02. Matrix'!A1097</f>
        <v>1087</v>
      </c>
      <c r="B1088" s="14">
        <f>'[1]02. Matrix'!B1097</f>
        <v>4</v>
      </c>
      <c r="C1088" s="14" t="str">
        <f>'[1]02. Matrix'!C1097</f>
        <v>AGRICULTURAL LOAN</v>
      </c>
      <c r="D1088" s="14">
        <f>'[1]02. Matrix'!D1097</f>
        <v>1</v>
      </c>
      <c r="E1088" s="15">
        <f>'[1]02. Matrix'!E1097</f>
        <v>0</v>
      </c>
      <c r="F1088" s="14" t="str">
        <f>_xlfn.XLOOKUP('01. Main'!$B1088,[1]Mapping!$D:$D,[1]Mapping!$A:$A,0,0)</f>
        <v>chaitra 76</v>
      </c>
      <c r="G1088" s="16">
        <f>_xlfn.XLOOKUP('01. Main'!$B1088,[1]Mapping!D$2:D$24,[1]Mapping!E$2:E$24,0,0)</f>
        <v>2020</v>
      </c>
    </row>
    <row r="1089" spans="1:7" x14ac:dyDescent="0.45">
      <c r="A1089" s="17">
        <f>'[1]02. Matrix'!A1098</f>
        <v>1088</v>
      </c>
      <c r="B1089" s="18">
        <f>'[1]02. Matrix'!B1098</f>
        <v>4</v>
      </c>
      <c r="C1089" s="18" t="str">
        <f>'[1]02. Matrix'!C1098</f>
        <v>EARTHQUAKE RELIEF LO</v>
      </c>
      <c r="D1089" s="18">
        <f>'[1]02. Matrix'!D1098</f>
        <v>1</v>
      </c>
      <c r="E1089" s="19">
        <f>'[1]02. Matrix'!E1098</f>
        <v>0</v>
      </c>
      <c r="F1089" s="18" t="str">
        <f>_xlfn.XLOOKUP('01. Main'!$B1089,[1]Mapping!$D:$D,[1]Mapping!$A:$A,0,0)</f>
        <v>chaitra 76</v>
      </c>
      <c r="G1089" s="20">
        <f>_xlfn.XLOOKUP('01. Main'!$B1089,[1]Mapping!D$2:D$24,[1]Mapping!E$2:E$24,0,0)</f>
        <v>2020</v>
      </c>
    </row>
    <row r="1090" spans="1:7" x14ac:dyDescent="0.45">
      <c r="A1090" s="13">
        <f>'[1]02. Matrix'!A1099</f>
        <v>1089</v>
      </c>
      <c r="B1090" s="14">
        <f>'[1]02. Matrix'!B1099</f>
        <v>4</v>
      </c>
      <c r="C1090" s="14" t="str">
        <f>'[1]02. Matrix'!C1099</f>
        <v>TOURISM SECTOR LOAN</v>
      </c>
      <c r="D1090" s="14">
        <f>'[1]02. Matrix'!D1099</f>
        <v>1</v>
      </c>
      <c r="E1090" s="15">
        <f>'[1]02. Matrix'!E1099</f>
        <v>0</v>
      </c>
      <c r="F1090" s="14" t="str">
        <f>_xlfn.XLOOKUP('01. Main'!$B1090,[1]Mapping!$D:$D,[1]Mapping!$A:$A,0,0)</f>
        <v>chaitra 76</v>
      </c>
      <c r="G1090" s="16">
        <f>_xlfn.XLOOKUP('01. Main'!$B1090,[1]Mapping!D$2:D$24,[1]Mapping!E$2:E$24,0,0)</f>
        <v>2020</v>
      </c>
    </row>
    <row r="1091" spans="1:7" x14ac:dyDescent="0.45">
      <c r="A1091" s="17">
        <f>'[1]02. Matrix'!A1100</f>
        <v>1090</v>
      </c>
      <c r="B1091" s="18">
        <f>'[1]02. Matrix'!B1100</f>
        <v>4</v>
      </c>
      <c r="C1091" s="18" t="str">
        <f>'[1]02. Matrix'!C1100</f>
        <v>SME LOAN</v>
      </c>
      <c r="D1091" s="18">
        <f>'[1]02. Matrix'!D1100</f>
        <v>1</v>
      </c>
      <c r="E1091" s="19">
        <f>'[1]02. Matrix'!E1100</f>
        <v>0</v>
      </c>
      <c r="F1091" s="18" t="str">
        <f>_xlfn.XLOOKUP('01. Main'!$B1091,[1]Mapping!$D:$D,[1]Mapping!$A:$A,0,0)</f>
        <v>chaitra 76</v>
      </c>
      <c r="G1091" s="20">
        <f>_xlfn.XLOOKUP('01. Main'!$B1091,[1]Mapping!D$2:D$24,[1]Mapping!E$2:E$24,0,0)</f>
        <v>2020</v>
      </c>
    </row>
    <row r="1092" spans="1:7" x14ac:dyDescent="0.45">
      <c r="A1092" s="13">
        <f>'[1]02. Matrix'!A1101</f>
        <v>1091</v>
      </c>
      <c r="B1092" s="14">
        <f>'[1]02. Matrix'!B1101</f>
        <v>4</v>
      </c>
      <c r="C1092" s="14" t="str">
        <f>'[1]02. Matrix'!C1101</f>
        <v>EDUCATIONAL LOAN EMI</v>
      </c>
      <c r="D1092" s="14">
        <f>'[1]02. Matrix'!D1101</f>
        <v>1</v>
      </c>
      <c r="E1092" s="15">
        <f>'[1]02. Matrix'!E1101</f>
        <v>0</v>
      </c>
      <c r="F1092" s="14" t="str">
        <f>_xlfn.XLOOKUP('01. Main'!$B1092,[1]Mapping!$D:$D,[1]Mapping!$A:$A,0,0)</f>
        <v>chaitra 76</v>
      </c>
      <c r="G1092" s="16">
        <f>_xlfn.XLOOKUP('01. Main'!$B1092,[1]Mapping!D$2:D$24,[1]Mapping!E$2:E$24,0,0)</f>
        <v>2020</v>
      </c>
    </row>
    <row r="1093" spans="1:7" x14ac:dyDescent="0.45">
      <c r="A1093" s="17">
        <f>'[1]02. Matrix'!A1102</f>
        <v>1092</v>
      </c>
      <c r="B1093" s="18">
        <f>'[1]02. Matrix'!B1102</f>
        <v>4</v>
      </c>
      <c r="C1093" s="18" t="str">
        <f>'[1]02. Matrix'!C1102</f>
        <v>OVERDRAFT PROFESSION</v>
      </c>
      <c r="D1093" s="18">
        <f>'[1]02. Matrix'!D1102</f>
        <v>1</v>
      </c>
      <c r="E1093" s="19">
        <f>'[1]02. Matrix'!E1102</f>
        <v>0</v>
      </c>
      <c r="F1093" s="18" t="str">
        <f>_xlfn.XLOOKUP('01. Main'!$B1093,[1]Mapping!$D:$D,[1]Mapping!$A:$A,0,0)</f>
        <v>chaitra 76</v>
      </c>
      <c r="G1093" s="20">
        <f>_xlfn.XLOOKUP('01. Main'!$B1093,[1]Mapping!D$2:D$24,[1]Mapping!E$2:E$24,0,0)</f>
        <v>2020</v>
      </c>
    </row>
    <row r="1094" spans="1:7" x14ac:dyDescent="0.45">
      <c r="A1094" s="13">
        <f>'[1]02. Matrix'!A1103</f>
        <v>1093</v>
      </c>
      <c r="B1094" s="14">
        <f>'[1]02. Matrix'!B1103</f>
        <v>4</v>
      </c>
      <c r="C1094" s="14" t="str">
        <f>'[1]02. Matrix'!C1103</f>
        <v>OD PERSONAL LOAN</v>
      </c>
      <c r="D1094" s="14">
        <f>'[1]02. Matrix'!D1103</f>
        <v>2</v>
      </c>
      <c r="E1094" s="15">
        <f>'[1]02. Matrix'!E1103</f>
        <v>0</v>
      </c>
      <c r="F1094" s="14" t="str">
        <f>_xlfn.XLOOKUP('01. Main'!$B1094,[1]Mapping!$D:$D,[1]Mapping!$A:$A,0,0)</f>
        <v>chaitra 76</v>
      </c>
      <c r="G1094" s="16">
        <f>_xlfn.XLOOKUP('01. Main'!$B1094,[1]Mapping!D$2:D$24,[1]Mapping!E$2:E$24,0,0)</f>
        <v>2020</v>
      </c>
    </row>
    <row r="1095" spans="1:7" x14ac:dyDescent="0.45">
      <c r="A1095" s="17">
        <f>'[1]02. Matrix'!A1104</f>
        <v>1094</v>
      </c>
      <c r="B1095" s="18">
        <f>'[1]02. Matrix'!B1104</f>
        <v>4</v>
      </c>
      <c r="C1095" s="18" t="str">
        <f>'[1]02. Matrix'!C1104</f>
        <v>OD BUSINESS LOAN</v>
      </c>
      <c r="D1095" s="18">
        <f>'[1]02. Matrix'!D1104</f>
        <v>2</v>
      </c>
      <c r="E1095" s="19">
        <f>'[1]02. Matrix'!E1104</f>
        <v>0</v>
      </c>
      <c r="F1095" s="18" t="str">
        <f>_xlfn.XLOOKUP('01. Main'!$B1095,[1]Mapping!$D:$D,[1]Mapping!$A:$A,0,0)</f>
        <v>chaitra 76</v>
      </c>
      <c r="G1095" s="20">
        <f>_xlfn.XLOOKUP('01. Main'!$B1095,[1]Mapping!D$2:D$24,[1]Mapping!E$2:E$24,0,0)</f>
        <v>2020</v>
      </c>
    </row>
    <row r="1096" spans="1:7" x14ac:dyDescent="0.45">
      <c r="A1096" s="13">
        <f>'[1]02. Matrix'!A1105</f>
        <v>1095</v>
      </c>
      <c r="B1096" s="14">
        <f>'[1]02. Matrix'!B1105</f>
        <v>4</v>
      </c>
      <c r="C1096" s="14" t="str">
        <f>'[1]02. Matrix'!C1105</f>
        <v>OD STAFF LOAN</v>
      </c>
      <c r="D1096" s="14">
        <f>'[1]02. Matrix'!D1105</f>
        <v>2</v>
      </c>
      <c r="E1096" s="15">
        <f>'[1]02. Matrix'!E1105</f>
        <v>0</v>
      </c>
      <c r="F1096" s="14" t="str">
        <f>_xlfn.XLOOKUP('01. Main'!$B1096,[1]Mapping!$D:$D,[1]Mapping!$A:$A,0,0)</f>
        <v>chaitra 76</v>
      </c>
      <c r="G1096" s="16">
        <f>_xlfn.XLOOKUP('01. Main'!$B1096,[1]Mapping!D$2:D$24,[1]Mapping!E$2:E$24,0,0)</f>
        <v>2020</v>
      </c>
    </row>
    <row r="1097" spans="1:7" x14ac:dyDescent="0.45">
      <c r="A1097" s="17">
        <f>'[1]02. Matrix'!A1106</f>
        <v>1096</v>
      </c>
      <c r="B1097" s="18">
        <f>'[1]02. Matrix'!B1106</f>
        <v>4</v>
      </c>
      <c r="C1097" s="18" t="str">
        <f>'[1]02. Matrix'!C1106</f>
        <v>TERM LOAN</v>
      </c>
      <c r="D1097" s="18">
        <f>'[1]02. Matrix'!D1106</f>
        <v>2</v>
      </c>
      <c r="E1097" s="19">
        <f>'[1]02. Matrix'!E1106</f>
        <v>0.38129137896235338</v>
      </c>
      <c r="F1097" s="18" t="str">
        <f>_xlfn.XLOOKUP('01. Main'!$B1097,[1]Mapping!$D:$D,[1]Mapping!$A:$A,0,0)</f>
        <v>chaitra 76</v>
      </c>
      <c r="G1097" s="20">
        <f>_xlfn.XLOOKUP('01. Main'!$B1097,[1]Mapping!D$2:D$24,[1]Mapping!E$2:E$24,0,0)</f>
        <v>2020</v>
      </c>
    </row>
    <row r="1098" spans="1:7" x14ac:dyDescent="0.45">
      <c r="A1098" s="13">
        <f>'[1]02. Matrix'!A1107</f>
        <v>1097</v>
      </c>
      <c r="B1098" s="14">
        <f>'[1]02. Matrix'!B1107</f>
        <v>4</v>
      </c>
      <c r="C1098" s="14" t="str">
        <f>'[1]02. Matrix'!C1107</f>
        <v>WC TRADING/IND LOAN</v>
      </c>
      <c r="D1098" s="14">
        <f>'[1]02. Matrix'!D1107</f>
        <v>2</v>
      </c>
      <c r="E1098" s="15">
        <f>'[1]02. Matrix'!E1107</f>
        <v>0.62758786815583467</v>
      </c>
      <c r="F1098" s="14" t="str">
        <f>_xlfn.XLOOKUP('01. Main'!$B1098,[1]Mapping!$D:$D,[1]Mapping!$A:$A,0,0)</f>
        <v>chaitra 76</v>
      </c>
      <c r="G1098" s="16">
        <f>_xlfn.XLOOKUP('01. Main'!$B1098,[1]Mapping!D$2:D$24,[1]Mapping!E$2:E$24,0,0)</f>
        <v>2020</v>
      </c>
    </row>
    <row r="1099" spans="1:7" x14ac:dyDescent="0.45">
      <c r="A1099" s="17">
        <f>'[1]02. Matrix'!A1108</f>
        <v>1098</v>
      </c>
      <c r="B1099" s="18">
        <f>'[1]02. Matrix'!B1108</f>
        <v>4</v>
      </c>
      <c r="C1099" s="18" t="str">
        <f>'[1]02. Matrix'!C1108</f>
        <v>HOUSING LOAN</v>
      </c>
      <c r="D1099" s="18">
        <f>'[1]02. Matrix'!D1108</f>
        <v>2</v>
      </c>
      <c r="E1099" s="19">
        <f>'[1]02. Matrix'!E1108</f>
        <v>0.77838097795729988</v>
      </c>
      <c r="F1099" s="18" t="str">
        <f>_xlfn.XLOOKUP('01. Main'!$B1099,[1]Mapping!$D:$D,[1]Mapping!$A:$A,0,0)</f>
        <v>chaitra 76</v>
      </c>
      <c r="G1099" s="20">
        <f>_xlfn.XLOOKUP('01. Main'!$B1099,[1]Mapping!D$2:D$24,[1]Mapping!E$2:E$24,0,0)</f>
        <v>2020</v>
      </c>
    </row>
    <row r="1100" spans="1:7" x14ac:dyDescent="0.45">
      <c r="A1100" s="13">
        <f>'[1]02. Matrix'!A1109</f>
        <v>1099</v>
      </c>
      <c r="B1100" s="14">
        <f>'[1]02. Matrix'!B1109</f>
        <v>4</v>
      </c>
      <c r="C1100" s="14" t="str">
        <f>'[1]02. Matrix'!C1109</f>
        <v>RESI REAL EST LOAN</v>
      </c>
      <c r="D1100" s="14">
        <f>'[1]02. Matrix'!D1109</f>
        <v>2</v>
      </c>
      <c r="E1100" s="15">
        <f>'[1]02. Matrix'!E1109</f>
        <v>0.49167151914787705</v>
      </c>
      <c r="F1100" s="14" t="str">
        <f>_xlfn.XLOOKUP('01. Main'!$B1100,[1]Mapping!$D:$D,[1]Mapping!$A:$A,0,0)</f>
        <v>chaitra 76</v>
      </c>
      <c r="G1100" s="16">
        <f>_xlfn.XLOOKUP('01. Main'!$B1100,[1]Mapping!D$2:D$24,[1]Mapping!E$2:E$24,0,0)</f>
        <v>2020</v>
      </c>
    </row>
    <row r="1101" spans="1:7" x14ac:dyDescent="0.45">
      <c r="A1101" s="17">
        <f>'[1]02. Matrix'!A1110</f>
        <v>1100</v>
      </c>
      <c r="B1101" s="18">
        <f>'[1]02. Matrix'!B1110</f>
        <v>4</v>
      </c>
      <c r="C1101" s="18" t="str">
        <f>'[1]02. Matrix'!C1110</f>
        <v>MARGIN NATURE LOAN</v>
      </c>
      <c r="D1101" s="18">
        <f>'[1]02. Matrix'!D1110</f>
        <v>2</v>
      </c>
      <c r="E1101" s="19">
        <f>'[1]02. Matrix'!E1110</f>
        <v>0.97198770354897013</v>
      </c>
      <c r="F1101" s="18" t="str">
        <f>_xlfn.XLOOKUP('01. Main'!$B1101,[1]Mapping!$D:$D,[1]Mapping!$A:$A,0,0)</f>
        <v>chaitra 76</v>
      </c>
      <c r="G1101" s="20">
        <f>_xlfn.XLOOKUP('01. Main'!$B1101,[1]Mapping!D$2:D$24,[1]Mapping!E$2:E$24,0,0)</f>
        <v>2020</v>
      </c>
    </row>
    <row r="1102" spans="1:7" x14ac:dyDescent="0.45">
      <c r="A1102" s="13">
        <f>'[1]02. Matrix'!A1111</f>
        <v>1101</v>
      </c>
      <c r="B1102" s="14">
        <f>'[1]02. Matrix'!B1111</f>
        <v>4</v>
      </c>
      <c r="C1102" s="14" t="str">
        <f>'[1]02. Matrix'!C1111</f>
        <v>HIRE PURCHASE LOAN</v>
      </c>
      <c r="D1102" s="14">
        <f>'[1]02. Matrix'!D1111</f>
        <v>2</v>
      </c>
      <c r="E1102" s="15">
        <f>'[1]02. Matrix'!E1111</f>
        <v>0.76501448180836229</v>
      </c>
      <c r="F1102" s="14" t="str">
        <f>_xlfn.XLOOKUP('01. Main'!$B1102,[1]Mapping!$D:$D,[1]Mapping!$A:$A,0,0)</f>
        <v>chaitra 76</v>
      </c>
      <c r="G1102" s="16">
        <f>_xlfn.XLOOKUP('01. Main'!$B1102,[1]Mapping!D$2:D$24,[1]Mapping!E$2:E$24,0,0)</f>
        <v>2020</v>
      </c>
    </row>
    <row r="1103" spans="1:7" x14ac:dyDescent="0.45">
      <c r="A1103" s="17">
        <f>'[1]02. Matrix'!A1112</f>
        <v>1102</v>
      </c>
      <c r="B1103" s="18">
        <f>'[1]02. Matrix'!B1112</f>
        <v>4</v>
      </c>
      <c r="C1103" s="18" t="str">
        <f>'[1]02. Matrix'!C1112</f>
        <v>DEPRIVED SECTOR LOAN</v>
      </c>
      <c r="D1103" s="18">
        <f>'[1]02. Matrix'!D1112</f>
        <v>2</v>
      </c>
      <c r="E1103" s="19">
        <f>'[1]02. Matrix'!E1112</f>
        <v>0.12859669380165581</v>
      </c>
      <c r="F1103" s="18" t="str">
        <f>_xlfn.XLOOKUP('01. Main'!$B1103,[1]Mapping!$D:$D,[1]Mapping!$A:$A,0,0)</f>
        <v>chaitra 76</v>
      </c>
      <c r="G1103" s="20">
        <f>_xlfn.XLOOKUP('01. Main'!$B1103,[1]Mapping!D$2:D$24,[1]Mapping!E$2:E$24,0,0)</f>
        <v>2020</v>
      </c>
    </row>
    <row r="1104" spans="1:7" x14ac:dyDescent="0.45">
      <c r="A1104" s="13">
        <f>'[1]02. Matrix'!A1113</f>
        <v>1103</v>
      </c>
      <c r="B1104" s="14">
        <f>'[1]02. Matrix'!B1113</f>
        <v>4</v>
      </c>
      <c r="C1104" s="14" t="str">
        <f>'[1]02. Matrix'!C1113</f>
        <v>EDUCATIONAL LOAN</v>
      </c>
      <c r="D1104" s="14">
        <f>'[1]02. Matrix'!D1113</f>
        <v>2</v>
      </c>
      <c r="E1104" s="15">
        <f>'[1]02. Matrix'!E1113</f>
        <v>0.79595124110263804</v>
      </c>
      <c r="F1104" s="14" t="str">
        <f>_xlfn.XLOOKUP('01. Main'!$B1104,[1]Mapping!$D:$D,[1]Mapping!$A:$A,0,0)</f>
        <v>chaitra 76</v>
      </c>
      <c r="G1104" s="16">
        <f>_xlfn.XLOOKUP('01. Main'!$B1104,[1]Mapping!D$2:D$24,[1]Mapping!E$2:E$24,0,0)</f>
        <v>2020</v>
      </c>
    </row>
    <row r="1105" spans="1:7" x14ac:dyDescent="0.45">
      <c r="A1105" s="17">
        <f>'[1]02. Matrix'!A1114</f>
        <v>1104</v>
      </c>
      <c r="B1105" s="18">
        <f>'[1]02. Matrix'!B1114</f>
        <v>4</v>
      </c>
      <c r="C1105" s="18" t="str">
        <f>'[1]02. Matrix'!C1114</f>
        <v>AGRICULTURE LOAN</v>
      </c>
      <c r="D1105" s="18">
        <f>'[1]02. Matrix'!D1114</f>
        <v>2</v>
      </c>
      <c r="E1105" s="19">
        <f>'[1]02. Matrix'!E1114</f>
        <v>0.19307019627636787</v>
      </c>
      <c r="F1105" s="18" t="str">
        <f>_xlfn.XLOOKUP('01. Main'!$B1105,[1]Mapping!$D:$D,[1]Mapping!$A:$A,0,0)</f>
        <v>chaitra 76</v>
      </c>
      <c r="G1105" s="20">
        <f>_xlfn.XLOOKUP('01. Main'!$B1105,[1]Mapping!D$2:D$24,[1]Mapping!E$2:E$24,0,0)</f>
        <v>2020</v>
      </c>
    </row>
    <row r="1106" spans="1:7" x14ac:dyDescent="0.45">
      <c r="A1106" s="13">
        <f>'[1]02. Matrix'!A1115</f>
        <v>1105</v>
      </c>
      <c r="B1106" s="14">
        <f>'[1]02. Matrix'!B1115</f>
        <v>4</v>
      </c>
      <c r="C1106" s="14" t="str">
        <f>'[1]02. Matrix'!C1115</f>
        <v>RESI PER.HOME-EMI</v>
      </c>
      <c r="D1106" s="14">
        <f>'[1]02. Matrix'!D1115</f>
        <v>2</v>
      </c>
      <c r="E1106" s="15">
        <f>'[1]02. Matrix'!E1115</f>
        <v>0</v>
      </c>
      <c r="F1106" s="14" t="str">
        <f>_xlfn.XLOOKUP('01. Main'!$B1106,[1]Mapping!$D:$D,[1]Mapping!$A:$A,0,0)</f>
        <v>chaitra 76</v>
      </c>
      <c r="G1106" s="16">
        <f>_xlfn.XLOOKUP('01. Main'!$B1106,[1]Mapping!D$2:D$24,[1]Mapping!E$2:E$24,0,0)</f>
        <v>2020</v>
      </c>
    </row>
    <row r="1107" spans="1:7" x14ac:dyDescent="0.45">
      <c r="A1107" s="17">
        <f>'[1]02. Matrix'!A1116</f>
        <v>1106</v>
      </c>
      <c r="B1107" s="18">
        <f>'[1]02. Matrix'!B1116</f>
        <v>4</v>
      </c>
      <c r="C1107" s="18" t="str">
        <f>'[1]02. Matrix'!C1116</f>
        <v>TERM LOAN - BUSINESS</v>
      </c>
      <c r="D1107" s="18">
        <f>'[1]02. Matrix'!D1116</f>
        <v>2</v>
      </c>
      <c r="E1107" s="19">
        <f>'[1]02. Matrix'!E1116</f>
        <v>0</v>
      </c>
      <c r="F1107" s="18" t="str">
        <f>_xlfn.XLOOKUP('01. Main'!$B1107,[1]Mapping!$D:$D,[1]Mapping!$A:$A,0,0)</f>
        <v>chaitra 76</v>
      </c>
      <c r="G1107" s="20">
        <f>_xlfn.XLOOKUP('01. Main'!$B1107,[1]Mapping!D$2:D$24,[1]Mapping!E$2:E$24,0,0)</f>
        <v>2020</v>
      </c>
    </row>
    <row r="1108" spans="1:7" x14ac:dyDescent="0.45">
      <c r="A1108" s="13">
        <f>'[1]02. Matrix'!A1117</f>
        <v>1107</v>
      </c>
      <c r="B1108" s="14">
        <f>'[1]02. Matrix'!B1117</f>
        <v>4</v>
      </c>
      <c r="C1108" s="14" t="str">
        <f>'[1]02. Matrix'!C1117</f>
        <v>CONS FIN BUSN TRM LO</v>
      </c>
      <c r="D1108" s="14">
        <f>'[1]02. Matrix'!D1117</f>
        <v>2</v>
      </c>
      <c r="E1108" s="15">
        <f>'[1]02. Matrix'!E1117</f>
        <v>0</v>
      </c>
      <c r="F1108" s="14" t="str">
        <f>_xlfn.XLOOKUP('01. Main'!$B1108,[1]Mapping!$D:$D,[1]Mapping!$A:$A,0,0)</f>
        <v>chaitra 76</v>
      </c>
      <c r="G1108" s="16">
        <f>_xlfn.XLOOKUP('01. Main'!$B1108,[1]Mapping!D$2:D$24,[1]Mapping!E$2:E$24,0,0)</f>
        <v>2020</v>
      </c>
    </row>
    <row r="1109" spans="1:7" x14ac:dyDescent="0.45">
      <c r="A1109" s="17">
        <f>'[1]02. Matrix'!A1118</f>
        <v>1108</v>
      </c>
      <c r="B1109" s="18">
        <f>'[1]02. Matrix'!B1118</f>
        <v>4</v>
      </c>
      <c r="C1109" s="18" t="str">
        <f>'[1]02. Matrix'!C1118</f>
        <v>BIS/PERHIRE PURCHASE</v>
      </c>
      <c r="D1109" s="18">
        <f>'[1]02. Matrix'!D1118</f>
        <v>2</v>
      </c>
      <c r="E1109" s="19">
        <f>'[1]02. Matrix'!E1118</f>
        <v>0.89879051301058066</v>
      </c>
      <c r="F1109" s="18" t="str">
        <f>_xlfn.XLOOKUP('01. Main'!$B1109,[1]Mapping!$D:$D,[1]Mapping!$A:$A,0,0)</f>
        <v>chaitra 76</v>
      </c>
      <c r="G1109" s="20">
        <f>_xlfn.XLOOKUP('01. Main'!$B1109,[1]Mapping!D$2:D$24,[1]Mapping!E$2:E$24,0,0)</f>
        <v>2020</v>
      </c>
    </row>
    <row r="1110" spans="1:7" x14ac:dyDescent="0.45">
      <c r="A1110" s="13">
        <f>'[1]02. Matrix'!A1119</f>
        <v>1109</v>
      </c>
      <c r="B1110" s="14">
        <f>'[1]02. Matrix'!B1119</f>
        <v>4</v>
      </c>
      <c r="C1110" s="14" t="str">
        <f>'[1]02. Matrix'!C1119</f>
        <v xml:space="preserve">INT CAP TERM LOAN </v>
      </c>
      <c r="D1110" s="14">
        <f>'[1]02. Matrix'!D1119</f>
        <v>2</v>
      </c>
      <c r="E1110" s="15">
        <f>'[1]02. Matrix'!E1119</f>
        <v>0</v>
      </c>
      <c r="F1110" s="14" t="str">
        <f>_xlfn.XLOOKUP('01. Main'!$B1110,[1]Mapping!$D:$D,[1]Mapping!$A:$A,0,0)</f>
        <v>chaitra 76</v>
      </c>
      <c r="G1110" s="16">
        <f>_xlfn.XLOOKUP('01. Main'!$B1110,[1]Mapping!D$2:D$24,[1]Mapping!E$2:E$24,0,0)</f>
        <v>2020</v>
      </c>
    </row>
    <row r="1111" spans="1:7" x14ac:dyDescent="0.45">
      <c r="A1111" s="17">
        <f>'[1]02. Matrix'!A1120</f>
        <v>1110</v>
      </c>
      <c r="B1111" s="18">
        <f>'[1]02. Matrix'!B1120</f>
        <v>4</v>
      </c>
      <c r="C1111" s="18" t="str">
        <f>'[1]02. Matrix'!C1120</f>
        <v>PERSONAL LOAN</v>
      </c>
      <c r="D1111" s="18">
        <f>'[1]02. Matrix'!D1120</f>
        <v>2</v>
      </c>
      <c r="E1111" s="19">
        <f>'[1]02. Matrix'!E1120</f>
        <v>0.30476786648483667</v>
      </c>
      <c r="F1111" s="18" t="str">
        <f>_xlfn.XLOOKUP('01. Main'!$B1111,[1]Mapping!$D:$D,[1]Mapping!$A:$A,0,0)</f>
        <v>chaitra 76</v>
      </c>
      <c r="G1111" s="20">
        <f>_xlfn.XLOOKUP('01. Main'!$B1111,[1]Mapping!D$2:D$24,[1]Mapping!E$2:E$24,0,0)</f>
        <v>2020</v>
      </c>
    </row>
    <row r="1112" spans="1:7" x14ac:dyDescent="0.45">
      <c r="A1112" s="13">
        <f>'[1]02. Matrix'!A1121</f>
        <v>1111</v>
      </c>
      <c r="B1112" s="14">
        <f>'[1]02. Matrix'!B1121</f>
        <v>4</v>
      </c>
      <c r="C1112" s="14" t="str">
        <f>'[1]02. Matrix'!C1121</f>
        <v>MORTGAGE LOAN</v>
      </c>
      <c r="D1112" s="14">
        <f>'[1]02. Matrix'!D1121</f>
        <v>2</v>
      </c>
      <c r="E1112" s="15">
        <f>'[1]02. Matrix'!E1121</f>
        <v>0</v>
      </c>
      <c r="F1112" s="14" t="str">
        <f>_xlfn.XLOOKUP('01. Main'!$B1112,[1]Mapping!$D:$D,[1]Mapping!$A:$A,0,0)</f>
        <v>chaitra 76</v>
      </c>
      <c r="G1112" s="16">
        <f>_xlfn.XLOOKUP('01. Main'!$B1112,[1]Mapping!D$2:D$24,[1]Mapping!E$2:E$24,0,0)</f>
        <v>2020</v>
      </c>
    </row>
    <row r="1113" spans="1:7" x14ac:dyDescent="0.45">
      <c r="A1113" s="17">
        <f>'[1]02. Matrix'!A1122</f>
        <v>1112</v>
      </c>
      <c r="B1113" s="18">
        <f>'[1]02. Matrix'!B1122</f>
        <v>4</v>
      </c>
      <c r="C1113" s="18" t="str">
        <f>'[1]02. Matrix'!C1122</f>
        <v>LOAN AGAINST FDR</v>
      </c>
      <c r="D1113" s="18">
        <f>'[1]02. Matrix'!D1122</f>
        <v>2</v>
      </c>
      <c r="E1113" s="19">
        <f>'[1]02. Matrix'!E1122</f>
        <v>0</v>
      </c>
      <c r="F1113" s="18" t="str">
        <f>_xlfn.XLOOKUP('01. Main'!$B1113,[1]Mapping!$D:$D,[1]Mapping!$A:$A,0,0)</f>
        <v>chaitra 76</v>
      </c>
      <c r="G1113" s="20">
        <f>_xlfn.XLOOKUP('01. Main'!$B1113,[1]Mapping!D$2:D$24,[1]Mapping!E$2:E$24,0,0)</f>
        <v>2020</v>
      </c>
    </row>
    <row r="1114" spans="1:7" x14ac:dyDescent="0.45">
      <c r="A1114" s="13">
        <f>'[1]02. Matrix'!A1123</f>
        <v>1113</v>
      </c>
      <c r="B1114" s="14">
        <f>'[1]02. Matrix'!B1123</f>
        <v>4</v>
      </c>
      <c r="C1114" s="14" t="str">
        <f>'[1]02. Matrix'!C1123</f>
        <v>RECEIVABLE LOAN</v>
      </c>
      <c r="D1114" s="14">
        <f>'[1]02. Matrix'!D1123</f>
        <v>2</v>
      </c>
      <c r="E1114" s="15">
        <f>'[1]02. Matrix'!E1123</f>
        <v>0</v>
      </c>
      <c r="F1114" s="14" t="str">
        <f>_xlfn.XLOOKUP('01. Main'!$B1114,[1]Mapping!$D:$D,[1]Mapping!$A:$A,0,0)</f>
        <v>chaitra 76</v>
      </c>
      <c r="G1114" s="16">
        <f>_xlfn.XLOOKUP('01. Main'!$B1114,[1]Mapping!D$2:D$24,[1]Mapping!E$2:E$24,0,0)</f>
        <v>2020</v>
      </c>
    </row>
    <row r="1115" spans="1:7" x14ac:dyDescent="0.45">
      <c r="A1115" s="17">
        <f>'[1]02. Matrix'!A1124</f>
        <v>1114</v>
      </c>
      <c r="B1115" s="18">
        <f>'[1]02. Matrix'!B1124</f>
        <v>4</v>
      </c>
      <c r="C1115" s="18" t="str">
        <f>'[1]02. Matrix'!C1124</f>
        <v>STAFF LOAN</v>
      </c>
      <c r="D1115" s="18">
        <f>'[1]02. Matrix'!D1124</f>
        <v>2</v>
      </c>
      <c r="E1115" s="19">
        <f>'[1]02. Matrix'!E1124</f>
        <v>0</v>
      </c>
      <c r="F1115" s="18" t="str">
        <f>_xlfn.XLOOKUP('01. Main'!$B1115,[1]Mapping!$D:$D,[1]Mapping!$A:$A,0,0)</f>
        <v>chaitra 76</v>
      </c>
      <c r="G1115" s="20">
        <f>_xlfn.XLOOKUP('01. Main'!$B1115,[1]Mapping!D$2:D$24,[1]Mapping!E$2:E$24,0,0)</f>
        <v>2020</v>
      </c>
    </row>
    <row r="1116" spans="1:7" x14ac:dyDescent="0.45">
      <c r="A1116" s="13">
        <f>'[1]02. Matrix'!A1125</f>
        <v>1115</v>
      </c>
      <c r="B1116" s="14">
        <f>'[1]02. Matrix'!B1125</f>
        <v>4</v>
      </c>
      <c r="C1116" s="14" t="str">
        <f>'[1]02. Matrix'!C1125</f>
        <v>AGRICULTURAL LOAN</v>
      </c>
      <c r="D1116" s="14">
        <f>'[1]02. Matrix'!D1125</f>
        <v>2</v>
      </c>
      <c r="E1116" s="15">
        <f>'[1]02. Matrix'!E1125</f>
        <v>0</v>
      </c>
      <c r="F1116" s="14" t="str">
        <f>_xlfn.XLOOKUP('01. Main'!$B1116,[1]Mapping!$D:$D,[1]Mapping!$A:$A,0,0)</f>
        <v>chaitra 76</v>
      </c>
      <c r="G1116" s="16">
        <f>_xlfn.XLOOKUP('01. Main'!$B1116,[1]Mapping!D$2:D$24,[1]Mapping!E$2:E$24,0,0)</f>
        <v>2020</v>
      </c>
    </row>
    <row r="1117" spans="1:7" x14ac:dyDescent="0.45">
      <c r="A1117" s="17">
        <f>'[1]02. Matrix'!A1126</f>
        <v>1116</v>
      </c>
      <c r="B1117" s="18">
        <f>'[1]02. Matrix'!B1126</f>
        <v>4</v>
      </c>
      <c r="C1117" s="18" t="str">
        <f>'[1]02. Matrix'!C1126</f>
        <v>EARTHQUAKE RELIEF LO</v>
      </c>
      <c r="D1117" s="18">
        <f>'[1]02. Matrix'!D1126</f>
        <v>2</v>
      </c>
      <c r="E1117" s="19">
        <f>'[1]02. Matrix'!E1126</f>
        <v>0</v>
      </c>
      <c r="F1117" s="18" t="str">
        <f>_xlfn.XLOOKUP('01. Main'!$B1117,[1]Mapping!$D:$D,[1]Mapping!$A:$A,0,0)</f>
        <v>chaitra 76</v>
      </c>
      <c r="G1117" s="20">
        <f>_xlfn.XLOOKUP('01. Main'!$B1117,[1]Mapping!D$2:D$24,[1]Mapping!E$2:E$24,0,0)</f>
        <v>2020</v>
      </c>
    </row>
    <row r="1118" spans="1:7" x14ac:dyDescent="0.45">
      <c r="A1118" s="13">
        <f>'[1]02. Matrix'!A1127</f>
        <v>1117</v>
      </c>
      <c r="B1118" s="14">
        <f>'[1]02. Matrix'!B1127</f>
        <v>4</v>
      </c>
      <c r="C1118" s="14" t="str">
        <f>'[1]02. Matrix'!C1127</f>
        <v>TOURISM SECTOR LOAN</v>
      </c>
      <c r="D1118" s="14">
        <f>'[1]02. Matrix'!D1127</f>
        <v>2</v>
      </c>
      <c r="E1118" s="15">
        <f>'[1]02. Matrix'!E1127</f>
        <v>0</v>
      </c>
      <c r="F1118" s="14" t="str">
        <f>_xlfn.XLOOKUP('01. Main'!$B1118,[1]Mapping!$D:$D,[1]Mapping!$A:$A,0,0)</f>
        <v>chaitra 76</v>
      </c>
      <c r="G1118" s="16">
        <f>_xlfn.XLOOKUP('01. Main'!$B1118,[1]Mapping!D$2:D$24,[1]Mapping!E$2:E$24,0,0)</f>
        <v>2020</v>
      </c>
    </row>
    <row r="1119" spans="1:7" x14ac:dyDescent="0.45">
      <c r="A1119" s="17">
        <f>'[1]02. Matrix'!A1128</f>
        <v>1118</v>
      </c>
      <c r="B1119" s="18">
        <f>'[1]02. Matrix'!B1128</f>
        <v>4</v>
      </c>
      <c r="C1119" s="18" t="str">
        <f>'[1]02. Matrix'!C1128</f>
        <v>SME LOAN</v>
      </c>
      <c r="D1119" s="18">
        <f>'[1]02. Matrix'!D1128</f>
        <v>2</v>
      </c>
      <c r="E1119" s="19">
        <f>'[1]02. Matrix'!E1128</f>
        <v>0</v>
      </c>
      <c r="F1119" s="18" t="str">
        <f>_xlfn.XLOOKUP('01. Main'!$B1119,[1]Mapping!$D:$D,[1]Mapping!$A:$A,0,0)</f>
        <v>chaitra 76</v>
      </c>
      <c r="G1119" s="20">
        <f>_xlfn.XLOOKUP('01. Main'!$B1119,[1]Mapping!D$2:D$24,[1]Mapping!E$2:E$24,0,0)</f>
        <v>2020</v>
      </c>
    </row>
    <row r="1120" spans="1:7" x14ac:dyDescent="0.45">
      <c r="A1120" s="13">
        <f>'[1]02. Matrix'!A1129</f>
        <v>1119</v>
      </c>
      <c r="B1120" s="14">
        <f>'[1]02. Matrix'!B1129</f>
        <v>4</v>
      </c>
      <c r="C1120" s="14" t="str">
        <f>'[1]02. Matrix'!C1129</f>
        <v>EDUCATIONAL LOAN EMI</v>
      </c>
      <c r="D1120" s="14">
        <f>'[1]02. Matrix'!D1129</f>
        <v>2</v>
      </c>
      <c r="E1120" s="15">
        <f>'[1]02. Matrix'!E1129</f>
        <v>0</v>
      </c>
      <c r="F1120" s="14" t="str">
        <f>_xlfn.XLOOKUP('01. Main'!$B1120,[1]Mapping!$D:$D,[1]Mapping!$A:$A,0,0)</f>
        <v>chaitra 76</v>
      </c>
      <c r="G1120" s="16">
        <f>_xlfn.XLOOKUP('01. Main'!$B1120,[1]Mapping!D$2:D$24,[1]Mapping!E$2:E$24,0,0)</f>
        <v>2020</v>
      </c>
    </row>
    <row r="1121" spans="1:7" x14ac:dyDescent="0.45">
      <c r="A1121" s="17">
        <f>'[1]02. Matrix'!A1130</f>
        <v>1120</v>
      </c>
      <c r="B1121" s="18">
        <f>'[1]02. Matrix'!B1130</f>
        <v>4</v>
      </c>
      <c r="C1121" s="18" t="str">
        <f>'[1]02. Matrix'!C1130</f>
        <v>OVERDRAFT PROFESSION</v>
      </c>
      <c r="D1121" s="18">
        <f>'[1]02. Matrix'!D1130</f>
        <v>2</v>
      </c>
      <c r="E1121" s="19">
        <f>'[1]02. Matrix'!E1130</f>
        <v>0</v>
      </c>
      <c r="F1121" s="18" t="str">
        <f>_xlfn.XLOOKUP('01. Main'!$B1121,[1]Mapping!$D:$D,[1]Mapping!$A:$A,0,0)</f>
        <v>chaitra 76</v>
      </c>
      <c r="G1121" s="20">
        <f>_xlfn.XLOOKUP('01. Main'!$B1121,[1]Mapping!D$2:D$24,[1]Mapping!E$2:E$24,0,0)</f>
        <v>2020</v>
      </c>
    </row>
    <row r="1122" spans="1:7" x14ac:dyDescent="0.45">
      <c r="A1122" s="13">
        <f>'[1]02. Matrix'!A1131</f>
        <v>1121</v>
      </c>
      <c r="B1122" s="14">
        <f>'[1]02. Matrix'!B1131</f>
        <v>3</v>
      </c>
      <c r="C1122" s="14" t="str">
        <f>'[1]02. Matrix'!C1131</f>
        <v>OD PERSONAL LOAN</v>
      </c>
      <c r="D1122" s="14">
        <f>'[1]02. Matrix'!D1131</f>
        <v>1</v>
      </c>
      <c r="E1122" s="15">
        <f>'[1]02. Matrix'!E1131</f>
        <v>0</v>
      </c>
      <c r="F1122" s="14" t="str">
        <f>_xlfn.XLOOKUP('01. Main'!$B1122,[1]Mapping!$D:$D,[1]Mapping!$A:$A,0,0)</f>
        <v>poush 76</v>
      </c>
      <c r="G1122" s="16">
        <f>_xlfn.XLOOKUP('01. Main'!$B1122,[1]Mapping!D$2:D$24,[1]Mapping!E$2:E$24,0,0)</f>
        <v>2019</v>
      </c>
    </row>
    <row r="1123" spans="1:7" x14ac:dyDescent="0.45">
      <c r="A1123" s="17">
        <f>'[1]02. Matrix'!A1132</f>
        <v>1122</v>
      </c>
      <c r="B1123" s="18">
        <f>'[1]02. Matrix'!B1132</f>
        <v>3</v>
      </c>
      <c r="C1123" s="18" t="str">
        <f>'[1]02. Matrix'!C1132</f>
        <v>OD BUSINESS LOAN</v>
      </c>
      <c r="D1123" s="18">
        <f>'[1]02. Matrix'!D1132</f>
        <v>1</v>
      </c>
      <c r="E1123" s="19">
        <f>'[1]02. Matrix'!E1132</f>
        <v>0</v>
      </c>
      <c r="F1123" s="18" t="str">
        <f>_xlfn.XLOOKUP('01. Main'!$B1123,[1]Mapping!$D:$D,[1]Mapping!$A:$A,0,0)</f>
        <v>poush 76</v>
      </c>
      <c r="G1123" s="20">
        <f>_xlfn.XLOOKUP('01. Main'!$B1123,[1]Mapping!D$2:D$24,[1]Mapping!E$2:E$24,0,0)</f>
        <v>2019</v>
      </c>
    </row>
    <row r="1124" spans="1:7" x14ac:dyDescent="0.45">
      <c r="A1124" s="13">
        <f>'[1]02. Matrix'!A1133</f>
        <v>1123</v>
      </c>
      <c r="B1124" s="14">
        <f>'[1]02. Matrix'!B1133</f>
        <v>3</v>
      </c>
      <c r="C1124" s="14" t="str">
        <f>'[1]02. Matrix'!C1133</f>
        <v>OD STAFF LOAN</v>
      </c>
      <c r="D1124" s="14">
        <f>'[1]02. Matrix'!D1133</f>
        <v>1</v>
      </c>
      <c r="E1124" s="15">
        <f>'[1]02. Matrix'!E1133</f>
        <v>0</v>
      </c>
      <c r="F1124" s="14" t="str">
        <f>_xlfn.XLOOKUP('01. Main'!$B1124,[1]Mapping!$D:$D,[1]Mapping!$A:$A,0,0)</f>
        <v>poush 76</v>
      </c>
      <c r="G1124" s="16">
        <f>_xlfn.XLOOKUP('01. Main'!$B1124,[1]Mapping!D$2:D$24,[1]Mapping!E$2:E$24,0,0)</f>
        <v>2019</v>
      </c>
    </row>
    <row r="1125" spans="1:7" x14ac:dyDescent="0.45">
      <c r="A1125" s="17">
        <f>'[1]02. Matrix'!A1134</f>
        <v>1124</v>
      </c>
      <c r="B1125" s="18">
        <f>'[1]02. Matrix'!B1134</f>
        <v>3</v>
      </c>
      <c r="C1125" s="18" t="str">
        <f>'[1]02. Matrix'!C1134</f>
        <v>TERM LOAN</v>
      </c>
      <c r="D1125" s="18">
        <f>'[1]02. Matrix'!D1134</f>
        <v>1</v>
      </c>
      <c r="E1125" s="19">
        <f>'[1]02. Matrix'!E1134</f>
        <v>3.400649963467707E-2</v>
      </c>
      <c r="F1125" s="18" t="str">
        <f>_xlfn.XLOOKUP('01. Main'!$B1125,[1]Mapping!$D:$D,[1]Mapping!$A:$A,0,0)</f>
        <v>poush 76</v>
      </c>
      <c r="G1125" s="20">
        <f>_xlfn.XLOOKUP('01. Main'!$B1125,[1]Mapping!D$2:D$24,[1]Mapping!E$2:E$24,0,0)</f>
        <v>2019</v>
      </c>
    </row>
    <row r="1126" spans="1:7" x14ac:dyDescent="0.45">
      <c r="A1126" s="13">
        <f>'[1]02. Matrix'!A1135</f>
        <v>1125</v>
      </c>
      <c r="B1126" s="14">
        <f>'[1]02. Matrix'!B1135</f>
        <v>3</v>
      </c>
      <c r="C1126" s="14" t="str">
        <f>'[1]02. Matrix'!C1135</f>
        <v>WC TRADING/IND LOAN</v>
      </c>
      <c r="D1126" s="14">
        <f>'[1]02. Matrix'!D1135</f>
        <v>1</v>
      </c>
      <c r="E1126" s="15">
        <f>'[1]02. Matrix'!E1135</f>
        <v>0.13680224028356541</v>
      </c>
      <c r="F1126" s="14" t="str">
        <f>_xlfn.XLOOKUP('01. Main'!$B1126,[1]Mapping!$D:$D,[1]Mapping!$A:$A,0,0)</f>
        <v>poush 76</v>
      </c>
      <c r="G1126" s="16">
        <f>_xlfn.XLOOKUP('01. Main'!$B1126,[1]Mapping!D$2:D$24,[1]Mapping!E$2:E$24,0,0)</f>
        <v>2019</v>
      </c>
    </row>
    <row r="1127" spans="1:7" x14ac:dyDescent="0.45">
      <c r="A1127" s="17">
        <f>'[1]02. Matrix'!A1136</f>
        <v>1126</v>
      </c>
      <c r="B1127" s="18">
        <f>'[1]02. Matrix'!B1136</f>
        <v>3</v>
      </c>
      <c r="C1127" s="18" t="str">
        <f>'[1]02. Matrix'!C1136</f>
        <v>HOUSING LOAN</v>
      </c>
      <c r="D1127" s="18">
        <f>'[1]02. Matrix'!D1136</f>
        <v>1</v>
      </c>
      <c r="E1127" s="19">
        <f>'[1]02. Matrix'!E1136</f>
        <v>6.2212301415485886E-2</v>
      </c>
      <c r="F1127" s="18" t="str">
        <f>_xlfn.XLOOKUP('01. Main'!$B1127,[1]Mapping!$D:$D,[1]Mapping!$A:$A,0,0)</f>
        <v>poush 76</v>
      </c>
      <c r="G1127" s="20">
        <f>_xlfn.XLOOKUP('01. Main'!$B1127,[1]Mapping!D$2:D$24,[1]Mapping!E$2:E$24,0,0)</f>
        <v>2019</v>
      </c>
    </row>
    <row r="1128" spans="1:7" x14ac:dyDescent="0.45">
      <c r="A1128" s="13">
        <f>'[1]02. Matrix'!A1137</f>
        <v>1127</v>
      </c>
      <c r="B1128" s="14">
        <f>'[1]02. Matrix'!B1137</f>
        <v>3</v>
      </c>
      <c r="C1128" s="14" t="str">
        <f>'[1]02. Matrix'!C1137</f>
        <v>RESI REAL EST LOAN</v>
      </c>
      <c r="D1128" s="14">
        <f>'[1]02. Matrix'!D1137</f>
        <v>1</v>
      </c>
      <c r="E1128" s="15">
        <f>'[1]02. Matrix'!E1137</f>
        <v>0</v>
      </c>
      <c r="F1128" s="14" t="str">
        <f>_xlfn.XLOOKUP('01. Main'!$B1128,[1]Mapping!$D:$D,[1]Mapping!$A:$A,0,0)</f>
        <v>poush 76</v>
      </c>
      <c r="G1128" s="16">
        <f>_xlfn.XLOOKUP('01. Main'!$B1128,[1]Mapping!D$2:D$24,[1]Mapping!E$2:E$24,0,0)</f>
        <v>2019</v>
      </c>
    </row>
    <row r="1129" spans="1:7" x14ac:dyDescent="0.45">
      <c r="A1129" s="17">
        <f>'[1]02. Matrix'!A1138</f>
        <v>1128</v>
      </c>
      <c r="B1129" s="18">
        <f>'[1]02. Matrix'!B1138</f>
        <v>3</v>
      </c>
      <c r="C1129" s="18" t="str">
        <f>'[1]02. Matrix'!C1138</f>
        <v>MARGIN NATURE LOAN</v>
      </c>
      <c r="D1129" s="18">
        <f>'[1]02. Matrix'!D1138</f>
        <v>1</v>
      </c>
      <c r="E1129" s="19">
        <f>'[1]02. Matrix'!E1138</f>
        <v>0</v>
      </c>
      <c r="F1129" s="18" t="str">
        <f>_xlfn.XLOOKUP('01. Main'!$B1129,[1]Mapping!$D:$D,[1]Mapping!$A:$A,0,0)</f>
        <v>poush 76</v>
      </c>
      <c r="G1129" s="20">
        <f>_xlfn.XLOOKUP('01. Main'!$B1129,[1]Mapping!D$2:D$24,[1]Mapping!E$2:E$24,0,0)</f>
        <v>2019</v>
      </c>
    </row>
    <row r="1130" spans="1:7" x14ac:dyDescent="0.45">
      <c r="A1130" s="13">
        <f>'[1]02. Matrix'!A1139</f>
        <v>1129</v>
      </c>
      <c r="B1130" s="14">
        <f>'[1]02. Matrix'!B1139</f>
        <v>3</v>
      </c>
      <c r="C1130" s="14" t="str">
        <f>'[1]02. Matrix'!C1139</f>
        <v>HIRE PURCHASE LOAN</v>
      </c>
      <c r="D1130" s="14">
        <f>'[1]02. Matrix'!D1139</f>
        <v>1</v>
      </c>
      <c r="E1130" s="15">
        <f>'[1]02. Matrix'!E1139</f>
        <v>0.23241507786776922</v>
      </c>
      <c r="F1130" s="14" t="str">
        <f>_xlfn.XLOOKUP('01. Main'!$B1130,[1]Mapping!$D:$D,[1]Mapping!$A:$A,0,0)</f>
        <v>poush 76</v>
      </c>
      <c r="G1130" s="16">
        <f>_xlfn.XLOOKUP('01. Main'!$B1130,[1]Mapping!D$2:D$24,[1]Mapping!E$2:E$24,0,0)</f>
        <v>2019</v>
      </c>
    </row>
    <row r="1131" spans="1:7" x14ac:dyDescent="0.45">
      <c r="A1131" s="17">
        <f>'[1]02. Matrix'!A1140</f>
        <v>1130</v>
      </c>
      <c r="B1131" s="18">
        <f>'[1]02. Matrix'!B1140</f>
        <v>3</v>
      </c>
      <c r="C1131" s="18" t="str">
        <f>'[1]02. Matrix'!C1140</f>
        <v>DEPRIVED SECTOR LOAN</v>
      </c>
      <c r="D1131" s="18">
        <f>'[1]02. Matrix'!D1140</f>
        <v>1</v>
      </c>
      <c r="E1131" s="19">
        <f>'[1]02. Matrix'!E1140</f>
        <v>5.2367875487701027E-2</v>
      </c>
      <c r="F1131" s="18" t="str">
        <f>_xlfn.XLOOKUP('01. Main'!$B1131,[1]Mapping!$D:$D,[1]Mapping!$A:$A,0,0)</f>
        <v>poush 76</v>
      </c>
      <c r="G1131" s="20">
        <f>_xlfn.XLOOKUP('01. Main'!$B1131,[1]Mapping!D$2:D$24,[1]Mapping!E$2:E$24,0,0)</f>
        <v>2019</v>
      </c>
    </row>
    <row r="1132" spans="1:7" x14ac:dyDescent="0.45">
      <c r="A1132" s="13">
        <f>'[1]02. Matrix'!A1141</f>
        <v>1131</v>
      </c>
      <c r="B1132" s="14">
        <f>'[1]02. Matrix'!B1141</f>
        <v>3</v>
      </c>
      <c r="C1132" s="14" t="str">
        <f>'[1]02. Matrix'!C1141</f>
        <v>EDUCATIONAL LOAN</v>
      </c>
      <c r="D1132" s="14">
        <f>'[1]02. Matrix'!D1141</f>
        <v>1</v>
      </c>
      <c r="E1132" s="15">
        <f>'[1]02. Matrix'!E1141</f>
        <v>0</v>
      </c>
      <c r="F1132" s="14" t="str">
        <f>_xlfn.XLOOKUP('01. Main'!$B1132,[1]Mapping!$D:$D,[1]Mapping!$A:$A,0,0)</f>
        <v>poush 76</v>
      </c>
      <c r="G1132" s="16">
        <f>_xlfn.XLOOKUP('01. Main'!$B1132,[1]Mapping!D$2:D$24,[1]Mapping!E$2:E$24,0,0)</f>
        <v>2019</v>
      </c>
    </row>
    <row r="1133" spans="1:7" x14ac:dyDescent="0.45">
      <c r="A1133" s="17">
        <f>'[1]02. Matrix'!A1142</f>
        <v>1132</v>
      </c>
      <c r="B1133" s="18">
        <f>'[1]02. Matrix'!B1142</f>
        <v>3</v>
      </c>
      <c r="C1133" s="18" t="str">
        <f>'[1]02. Matrix'!C1142</f>
        <v>AGRICULTURE LOAN</v>
      </c>
      <c r="D1133" s="18">
        <f>'[1]02. Matrix'!D1142</f>
        <v>1</v>
      </c>
      <c r="E1133" s="19">
        <f>'[1]02. Matrix'!E1142</f>
        <v>4.0932002031314904E-2</v>
      </c>
      <c r="F1133" s="18" t="str">
        <f>_xlfn.XLOOKUP('01. Main'!$B1133,[1]Mapping!$D:$D,[1]Mapping!$A:$A,0,0)</f>
        <v>poush 76</v>
      </c>
      <c r="G1133" s="20">
        <f>_xlfn.XLOOKUP('01. Main'!$B1133,[1]Mapping!D$2:D$24,[1]Mapping!E$2:E$24,0,0)</f>
        <v>2019</v>
      </c>
    </row>
    <row r="1134" spans="1:7" x14ac:dyDescent="0.45">
      <c r="A1134" s="13">
        <f>'[1]02. Matrix'!A1143</f>
        <v>1133</v>
      </c>
      <c r="B1134" s="14">
        <f>'[1]02. Matrix'!B1143</f>
        <v>3</v>
      </c>
      <c r="C1134" s="14" t="str">
        <f>'[1]02. Matrix'!C1143</f>
        <v>RESI PER.HOME-EMI</v>
      </c>
      <c r="D1134" s="14">
        <f>'[1]02. Matrix'!D1143</f>
        <v>1</v>
      </c>
      <c r="E1134" s="15">
        <f>'[1]02. Matrix'!E1143</f>
        <v>7.5688361541651553E-3</v>
      </c>
      <c r="F1134" s="14" t="str">
        <f>_xlfn.XLOOKUP('01. Main'!$B1134,[1]Mapping!$D:$D,[1]Mapping!$A:$A,0,0)</f>
        <v>poush 76</v>
      </c>
      <c r="G1134" s="16">
        <f>_xlfn.XLOOKUP('01. Main'!$B1134,[1]Mapping!D$2:D$24,[1]Mapping!E$2:E$24,0,0)</f>
        <v>2019</v>
      </c>
    </row>
    <row r="1135" spans="1:7" x14ac:dyDescent="0.45">
      <c r="A1135" s="17">
        <f>'[1]02. Matrix'!A1144</f>
        <v>1134</v>
      </c>
      <c r="B1135" s="18">
        <f>'[1]02. Matrix'!B1144</f>
        <v>3</v>
      </c>
      <c r="C1135" s="18" t="str">
        <f>'[1]02. Matrix'!C1144</f>
        <v>TERM LOAN - BUSINESS</v>
      </c>
      <c r="D1135" s="18">
        <f>'[1]02. Matrix'!D1144</f>
        <v>1</v>
      </c>
      <c r="E1135" s="19">
        <f>'[1]02. Matrix'!E1144</f>
        <v>0</v>
      </c>
      <c r="F1135" s="18" t="str">
        <f>_xlfn.XLOOKUP('01. Main'!$B1135,[1]Mapping!$D:$D,[1]Mapping!$A:$A,0,0)</f>
        <v>poush 76</v>
      </c>
      <c r="G1135" s="20">
        <f>_xlfn.XLOOKUP('01. Main'!$B1135,[1]Mapping!D$2:D$24,[1]Mapping!E$2:E$24,0,0)</f>
        <v>2019</v>
      </c>
    </row>
    <row r="1136" spans="1:7" x14ac:dyDescent="0.45">
      <c r="A1136" s="13">
        <f>'[1]02. Matrix'!A1145</f>
        <v>1135</v>
      </c>
      <c r="B1136" s="14">
        <f>'[1]02. Matrix'!B1145</f>
        <v>3</v>
      </c>
      <c r="C1136" s="14" t="str">
        <f>'[1]02. Matrix'!C1145</f>
        <v>CONS FIN BUSN TRM LO</v>
      </c>
      <c r="D1136" s="14">
        <f>'[1]02. Matrix'!D1145</f>
        <v>1</v>
      </c>
      <c r="E1136" s="15">
        <f>'[1]02. Matrix'!E1145</f>
        <v>0</v>
      </c>
      <c r="F1136" s="14" t="str">
        <f>_xlfn.XLOOKUP('01. Main'!$B1136,[1]Mapping!$D:$D,[1]Mapping!$A:$A,0,0)</f>
        <v>poush 76</v>
      </c>
      <c r="G1136" s="16">
        <f>_xlfn.XLOOKUP('01. Main'!$B1136,[1]Mapping!D$2:D$24,[1]Mapping!E$2:E$24,0,0)</f>
        <v>2019</v>
      </c>
    </row>
    <row r="1137" spans="1:7" x14ac:dyDescent="0.45">
      <c r="A1137" s="17">
        <f>'[1]02. Matrix'!A1146</f>
        <v>1136</v>
      </c>
      <c r="B1137" s="18">
        <f>'[1]02. Matrix'!B1146</f>
        <v>3</v>
      </c>
      <c r="C1137" s="18" t="str">
        <f>'[1]02. Matrix'!C1146</f>
        <v>BIS/PERHIRE PURCHASE</v>
      </c>
      <c r="D1137" s="18">
        <f>'[1]02. Matrix'!D1146</f>
        <v>1</v>
      </c>
      <c r="E1137" s="19">
        <f>'[1]02. Matrix'!E1146</f>
        <v>6.4018522168271294E-2</v>
      </c>
      <c r="F1137" s="18" t="str">
        <f>_xlfn.XLOOKUP('01. Main'!$B1137,[1]Mapping!$D:$D,[1]Mapping!$A:$A,0,0)</f>
        <v>poush 76</v>
      </c>
      <c r="G1137" s="20">
        <f>_xlfn.XLOOKUP('01. Main'!$B1137,[1]Mapping!D$2:D$24,[1]Mapping!E$2:E$24,0,0)</f>
        <v>2019</v>
      </c>
    </row>
    <row r="1138" spans="1:7" x14ac:dyDescent="0.45">
      <c r="A1138" s="13">
        <f>'[1]02. Matrix'!A1147</f>
        <v>1137</v>
      </c>
      <c r="B1138" s="14">
        <f>'[1]02. Matrix'!B1147</f>
        <v>3</v>
      </c>
      <c r="C1138" s="14" t="str">
        <f>'[1]02. Matrix'!C1147</f>
        <v xml:space="preserve">INT CAP TERM LOAN </v>
      </c>
      <c r="D1138" s="14">
        <f>'[1]02. Matrix'!D1147</f>
        <v>1</v>
      </c>
      <c r="E1138" s="15">
        <f>'[1]02. Matrix'!E1147</f>
        <v>0</v>
      </c>
      <c r="F1138" s="14" t="str">
        <f>_xlfn.XLOOKUP('01. Main'!$B1138,[1]Mapping!$D:$D,[1]Mapping!$A:$A,0,0)</f>
        <v>poush 76</v>
      </c>
      <c r="G1138" s="16">
        <f>_xlfn.XLOOKUP('01. Main'!$B1138,[1]Mapping!D$2:D$24,[1]Mapping!E$2:E$24,0,0)</f>
        <v>2019</v>
      </c>
    </row>
    <row r="1139" spans="1:7" x14ac:dyDescent="0.45">
      <c r="A1139" s="17">
        <f>'[1]02. Matrix'!A1148</f>
        <v>1138</v>
      </c>
      <c r="B1139" s="18">
        <f>'[1]02. Matrix'!B1148</f>
        <v>3</v>
      </c>
      <c r="C1139" s="18" t="str">
        <f>'[1]02. Matrix'!C1148</f>
        <v>PERSONAL LOAN</v>
      </c>
      <c r="D1139" s="18">
        <f>'[1]02. Matrix'!D1148</f>
        <v>1</v>
      </c>
      <c r="E1139" s="19">
        <f>'[1]02. Matrix'!E1148</f>
        <v>3.9767892250170134E-2</v>
      </c>
      <c r="F1139" s="18" t="str">
        <f>_xlfn.XLOOKUP('01. Main'!$B1139,[1]Mapping!$D:$D,[1]Mapping!$A:$A,0,0)</f>
        <v>poush 76</v>
      </c>
      <c r="G1139" s="20">
        <f>_xlfn.XLOOKUP('01. Main'!$B1139,[1]Mapping!D$2:D$24,[1]Mapping!E$2:E$24,0,0)</f>
        <v>2019</v>
      </c>
    </row>
    <row r="1140" spans="1:7" x14ac:dyDescent="0.45">
      <c r="A1140" s="13">
        <f>'[1]02. Matrix'!A1149</f>
        <v>1139</v>
      </c>
      <c r="B1140" s="14">
        <f>'[1]02. Matrix'!B1149</f>
        <v>3</v>
      </c>
      <c r="C1140" s="14" t="str">
        <f>'[1]02. Matrix'!C1149</f>
        <v>MORTGAGE LOAN</v>
      </c>
      <c r="D1140" s="14">
        <f>'[1]02. Matrix'!D1149</f>
        <v>1</v>
      </c>
      <c r="E1140" s="15">
        <f>'[1]02. Matrix'!E1149</f>
        <v>0</v>
      </c>
      <c r="F1140" s="14" t="str">
        <f>_xlfn.XLOOKUP('01. Main'!$B1140,[1]Mapping!$D:$D,[1]Mapping!$A:$A,0,0)</f>
        <v>poush 76</v>
      </c>
      <c r="G1140" s="16">
        <f>_xlfn.XLOOKUP('01. Main'!$B1140,[1]Mapping!D$2:D$24,[1]Mapping!E$2:E$24,0,0)</f>
        <v>2019</v>
      </c>
    </row>
    <row r="1141" spans="1:7" x14ac:dyDescent="0.45">
      <c r="A1141" s="17">
        <f>'[1]02. Matrix'!A1150</f>
        <v>1140</v>
      </c>
      <c r="B1141" s="18">
        <f>'[1]02. Matrix'!B1150</f>
        <v>3</v>
      </c>
      <c r="C1141" s="18" t="str">
        <f>'[1]02. Matrix'!C1150</f>
        <v>LOAN AGAINST FDR</v>
      </c>
      <c r="D1141" s="18">
        <f>'[1]02. Matrix'!D1150</f>
        <v>1</v>
      </c>
      <c r="E1141" s="19">
        <f>'[1]02. Matrix'!E1150</f>
        <v>0</v>
      </c>
      <c r="F1141" s="18" t="str">
        <f>_xlfn.XLOOKUP('01. Main'!$B1141,[1]Mapping!$D:$D,[1]Mapping!$A:$A,0,0)</f>
        <v>poush 76</v>
      </c>
      <c r="G1141" s="20">
        <f>_xlfn.XLOOKUP('01. Main'!$B1141,[1]Mapping!D$2:D$24,[1]Mapping!E$2:E$24,0,0)</f>
        <v>2019</v>
      </c>
    </row>
    <row r="1142" spans="1:7" x14ac:dyDescent="0.45">
      <c r="A1142" s="13">
        <f>'[1]02. Matrix'!A1151</f>
        <v>1141</v>
      </c>
      <c r="B1142" s="14">
        <f>'[1]02. Matrix'!B1151</f>
        <v>3</v>
      </c>
      <c r="C1142" s="14" t="str">
        <f>'[1]02. Matrix'!C1151</f>
        <v>RECEIVABLE LOAN</v>
      </c>
      <c r="D1142" s="14">
        <f>'[1]02. Matrix'!D1151</f>
        <v>1</v>
      </c>
      <c r="E1142" s="15">
        <f>'[1]02. Matrix'!E1151</f>
        <v>0</v>
      </c>
      <c r="F1142" s="14" t="str">
        <f>_xlfn.XLOOKUP('01. Main'!$B1142,[1]Mapping!$D:$D,[1]Mapping!$A:$A,0,0)</f>
        <v>poush 76</v>
      </c>
      <c r="G1142" s="16">
        <f>_xlfn.XLOOKUP('01. Main'!$B1142,[1]Mapping!D$2:D$24,[1]Mapping!E$2:E$24,0,0)</f>
        <v>2019</v>
      </c>
    </row>
    <row r="1143" spans="1:7" x14ac:dyDescent="0.45">
      <c r="A1143" s="17">
        <f>'[1]02. Matrix'!A1152</f>
        <v>1142</v>
      </c>
      <c r="B1143" s="18">
        <f>'[1]02. Matrix'!B1152</f>
        <v>3</v>
      </c>
      <c r="C1143" s="18" t="str">
        <f>'[1]02. Matrix'!C1152</f>
        <v>STAFF LOAN</v>
      </c>
      <c r="D1143" s="18">
        <f>'[1]02. Matrix'!D1152</f>
        <v>1</v>
      </c>
      <c r="E1143" s="19">
        <f>'[1]02. Matrix'!E1152</f>
        <v>0</v>
      </c>
      <c r="F1143" s="18" t="str">
        <f>_xlfn.XLOOKUP('01. Main'!$B1143,[1]Mapping!$D:$D,[1]Mapping!$A:$A,0,0)</f>
        <v>poush 76</v>
      </c>
      <c r="G1143" s="20">
        <f>_xlfn.XLOOKUP('01. Main'!$B1143,[1]Mapping!D$2:D$24,[1]Mapping!E$2:E$24,0,0)</f>
        <v>2019</v>
      </c>
    </row>
    <row r="1144" spans="1:7" x14ac:dyDescent="0.45">
      <c r="A1144" s="13">
        <f>'[1]02. Matrix'!A1153</f>
        <v>1143</v>
      </c>
      <c r="B1144" s="14">
        <f>'[1]02. Matrix'!B1153</f>
        <v>3</v>
      </c>
      <c r="C1144" s="14" t="str">
        <f>'[1]02. Matrix'!C1153</f>
        <v>AGRICULTURAL LOAN</v>
      </c>
      <c r="D1144" s="14">
        <f>'[1]02. Matrix'!D1153</f>
        <v>1</v>
      </c>
      <c r="E1144" s="15">
        <f>'[1]02. Matrix'!E1153</f>
        <v>0</v>
      </c>
      <c r="F1144" s="14" t="str">
        <f>_xlfn.XLOOKUP('01. Main'!$B1144,[1]Mapping!$D:$D,[1]Mapping!$A:$A,0,0)</f>
        <v>poush 76</v>
      </c>
      <c r="G1144" s="16">
        <f>_xlfn.XLOOKUP('01. Main'!$B1144,[1]Mapping!D$2:D$24,[1]Mapping!E$2:E$24,0,0)</f>
        <v>2019</v>
      </c>
    </row>
    <row r="1145" spans="1:7" x14ac:dyDescent="0.45">
      <c r="A1145" s="17">
        <f>'[1]02. Matrix'!A1154</f>
        <v>1144</v>
      </c>
      <c r="B1145" s="18">
        <f>'[1]02. Matrix'!B1154</f>
        <v>3</v>
      </c>
      <c r="C1145" s="18" t="str">
        <f>'[1]02. Matrix'!C1154</f>
        <v>EARTHQUAKE RELIEF LO</v>
      </c>
      <c r="D1145" s="18">
        <f>'[1]02. Matrix'!D1154</f>
        <v>1</v>
      </c>
      <c r="E1145" s="19">
        <f>'[1]02. Matrix'!E1154</f>
        <v>0.10079252872560128</v>
      </c>
      <c r="F1145" s="18" t="str">
        <f>_xlfn.XLOOKUP('01. Main'!$B1145,[1]Mapping!$D:$D,[1]Mapping!$A:$A,0,0)</f>
        <v>poush 76</v>
      </c>
      <c r="G1145" s="20">
        <f>_xlfn.XLOOKUP('01. Main'!$B1145,[1]Mapping!D$2:D$24,[1]Mapping!E$2:E$24,0,0)</f>
        <v>2019</v>
      </c>
    </row>
    <row r="1146" spans="1:7" x14ac:dyDescent="0.45">
      <c r="A1146" s="13">
        <f>'[1]02. Matrix'!A1155</f>
        <v>1145</v>
      </c>
      <c r="B1146" s="14">
        <f>'[1]02. Matrix'!B1155</f>
        <v>3</v>
      </c>
      <c r="C1146" s="14" t="str">
        <f>'[1]02. Matrix'!C1155</f>
        <v>TOURISM SECTOR LOAN</v>
      </c>
      <c r="D1146" s="14">
        <f>'[1]02. Matrix'!D1155</f>
        <v>1</v>
      </c>
      <c r="E1146" s="15">
        <f>'[1]02. Matrix'!E1155</f>
        <v>0</v>
      </c>
      <c r="F1146" s="14" t="str">
        <f>_xlfn.XLOOKUP('01. Main'!$B1146,[1]Mapping!$D:$D,[1]Mapping!$A:$A,0,0)</f>
        <v>poush 76</v>
      </c>
      <c r="G1146" s="16">
        <f>_xlfn.XLOOKUP('01. Main'!$B1146,[1]Mapping!D$2:D$24,[1]Mapping!E$2:E$24,0,0)</f>
        <v>2019</v>
      </c>
    </row>
    <row r="1147" spans="1:7" x14ac:dyDescent="0.45">
      <c r="A1147" s="17">
        <f>'[1]02. Matrix'!A1156</f>
        <v>1146</v>
      </c>
      <c r="B1147" s="18">
        <f>'[1]02. Matrix'!B1156</f>
        <v>3</v>
      </c>
      <c r="C1147" s="18" t="str">
        <f>'[1]02. Matrix'!C1156</f>
        <v>SME LOAN</v>
      </c>
      <c r="D1147" s="18">
        <f>'[1]02. Matrix'!D1156</f>
        <v>1</v>
      </c>
      <c r="E1147" s="19">
        <f>'[1]02. Matrix'!E1156</f>
        <v>0</v>
      </c>
      <c r="F1147" s="18" t="str">
        <f>_xlfn.XLOOKUP('01. Main'!$B1147,[1]Mapping!$D:$D,[1]Mapping!$A:$A,0,0)</f>
        <v>poush 76</v>
      </c>
      <c r="G1147" s="20">
        <f>_xlfn.XLOOKUP('01. Main'!$B1147,[1]Mapping!D$2:D$24,[1]Mapping!E$2:E$24,0,0)</f>
        <v>2019</v>
      </c>
    </row>
    <row r="1148" spans="1:7" x14ac:dyDescent="0.45">
      <c r="A1148" s="13">
        <f>'[1]02. Matrix'!A1157</f>
        <v>1147</v>
      </c>
      <c r="B1148" s="14">
        <f>'[1]02. Matrix'!B1157</f>
        <v>3</v>
      </c>
      <c r="C1148" s="14" t="str">
        <f>'[1]02. Matrix'!C1157</f>
        <v>EDUCATIONAL LOAN EMI</v>
      </c>
      <c r="D1148" s="14">
        <f>'[1]02. Matrix'!D1157</f>
        <v>1</v>
      </c>
      <c r="E1148" s="15">
        <f>'[1]02. Matrix'!E1157</f>
        <v>0</v>
      </c>
      <c r="F1148" s="14" t="str">
        <f>_xlfn.XLOOKUP('01. Main'!$B1148,[1]Mapping!$D:$D,[1]Mapping!$A:$A,0,0)</f>
        <v>poush 76</v>
      </c>
      <c r="G1148" s="16">
        <f>_xlfn.XLOOKUP('01. Main'!$B1148,[1]Mapping!D$2:D$24,[1]Mapping!E$2:E$24,0,0)</f>
        <v>2019</v>
      </c>
    </row>
    <row r="1149" spans="1:7" x14ac:dyDescent="0.45">
      <c r="A1149" s="17">
        <f>'[1]02. Matrix'!A1158</f>
        <v>1148</v>
      </c>
      <c r="B1149" s="18">
        <f>'[1]02. Matrix'!B1158</f>
        <v>3</v>
      </c>
      <c r="C1149" s="18" t="str">
        <f>'[1]02. Matrix'!C1158</f>
        <v>OVERDRAFT PROFESSION</v>
      </c>
      <c r="D1149" s="18">
        <f>'[1]02. Matrix'!D1158</f>
        <v>1</v>
      </c>
      <c r="E1149" s="19">
        <f>'[1]02. Matrix'!E1158</f>
        <v>0</v>
      </c>
      <c r="F1149" s="18" t="str">
        <f>_xlfn.XLOOKUP('01. Main'!$B1149,[1]Mapping!$D:$D,[1]Mapping!$A:$A,0,0)</f>
        <v>poush 76</v>
      </c>
      <c r="G1149" s="20">
        <f>_xlfn.XLOOKUP('01. Main'!$B1149,[1]Mapping!D$2:D$24,[1]Mapping!E$2:E$24,0,0)</f>
        <v>2019</v>
      </c>
    </row>
    <row r="1150" spans="1:7" x14ac:dyDescent="0.45">
      <c r="A1150" s="13">
        <f>'[1]02. Matrix'!A1159</f>
        <v>1149</v>
      </c>
      <c r="B1150" s="14">
        <f>'[1]02. Matrix'!B1159</f>
        <v>3</v>
      </c>
      <c r="C1150" s="14" t="str">
        <f>'[1]02. Matrix'!C1159</f>
        <v>OD PERSONAL LOAN</v>
      </c>
      <c r="D1150" s="14">
        <f>'[1]02. Matrix'!D1159</f>
        <v>2</v>
      </c>
      <c r="E1150" s="15">
        <f>'[1]02. Matrix'!E1159</f>
        <v>0</v>
      </c>
      <c r="F1150" s="14" t="str">
        <f>_xlfn.XLOOKUP('01. Main'!$B1150,[1]Mapping!$D:$D,[1]Mapping!$A:$A,0,0)</f>
        <v>poush 76</v>
      </c>
      <c r="G1150" s="16">
        <f>_xlfn.XLOOKUP('01. Main'!$B1150,[1]Mapping!D$2:D$24,[1]Mapping!E$2:E$24,0,0)</f>
        <v>2019</v>
      </c>
    </row>
    <row r="1151" spans="1:7" x14ac:dyDescent="0.45">
      <c r="A1151" s="17">
        <f>'[1]02. Matrix'!A1160</f>
        <v>1150</v>
      </c>
      <c r="B1151" s="18">
        <f>'[1]02. Matrix'!B1160</f>
        <v>3</v>
      </c>
      <c r="C1151" s="18" t="str">
        <f>'[1]02. Matrix'!C1160</f>
        <v>OD BUSINESS LOAN</v>
      </c>
      <c r="D1151" s="18">
        <f>'[1]02. Matrix'!D1160</f>
        <v>2</v>
      </c>
      <c r="E1151" s="19">
        <f>'[1]02. Matrix'!E1160</f>
        <v>0</v>
      </c>
      <c r="F1151" s="18" t="str">
        <f>_xlfn.XLOOKUP('01. Main'!$B1151,[1]Mapping!$D:$D,[1]Mapping!$A:$A,0,0)</f>
        <v>poush 76</v>
      </c>
      <c r="G1151" s="20">
        <f>_xlfn.XLOOKUP('01. Main'!$B1151,[1]Mapping!D$2:D$24,[1]Mapping!E$2:E$24,0,0)</f>
        <v>2019</v>
      </c>
    </row>
    <row r="1152" spans="1:7" x14ac:dyDescent="0.45">
      <c r="A1152" s="13">
        <f>'[1]02. Matrix'!A1161</f>
        <v>1151</v>
      </c>
      <c r="B1152" s="14">
        <f>'[1]02. Matrix'!B1161</f>
        <v>3</v>
      </c>
      <c r="C1152" s="14" t="str">
        <f>'[1]02. Matrix'!C1161</f>
        <v>OD STAFF LOAN</v>
      </c>
      <c r="D1152" s="14">
        <f>'[1]02. Matrix'!D1161</f>
        <v>2</v>
      </c>
      <c r="E1152" s="15">
        <f>'[1]02. Matrix'!E1161</f>
        <v>0</v>
      </c>
      <c r="F1152" s="14" t="str">
        <f>_xlfn.XLOOKUP('01. Main'!$B1152,[1]Mapping!$D:$D,[1]Mapping!$A:$A,0,0)</f>
        <v>poush 76</v>
      </c>
      <c r="G1152" s="16">
        <f>_xlfn.XLOOKUP('01. Main'!$B1152,[1]Mapping!D$2:D$24,[1]Mapping!E$2:E$24,0,0)</f>
        <v>2019</v>
      </c>
    </row>
    <row r="1153" spans="1:7" x14ac:dyDescent="0.45">
      <c r="A1153" s="17">
        <f>'[1]02. Matrix'!A1162</f>
        <v>1152</v>
      </c>
      <c r="B1153" s="18">
        <f>'[1]02. Matrix'!B1162</f>
        <v>3</v>
      </c>
      <c r="C1153" s="18" t="str">
        <f>'[1]02. Matrix'!C1162</f>
        <v>TERM LOAN</v>
      </c>
      <c r="D1153" s="18">
        <f>'[1]02. Matrix'!D1162</f>
        <v>2</v>
      </c>
      <c r="E1153" s="19">
        <f>'[1]02. Matrix'!E1162</f>
        <v>0.11667046438470513</v>
      </c>
      <c r="F1153" s="18" t="str">
        <f>_xlfn.XLOOKUP('01. Main'!$B1153,[1]Mapping!$D:$D,[1]Mapping!$A:$A,0,0)</f>
        <v>poush 76</v>
      </c>
      <c r="G1153" s="20">
        <f>_xlfn.XLOOKUP('01. Main'!$B1153,[1]Mapping!D$2:D$24,[1]Mapping!E$2:E$24,0,0)</f>
        <v>2019</v>
      </c>
    </row>
    <row r="1154" spans="1:7" x14ac:dyDescent="0.45">
      <c r="A1154" s="13">
        <f>'[1]02. Matrix'!A1163</f>
        <v>1153</v>
      </c>
      <c r="B1154" s="14">
        <f>'[1]02. Matrix'!B1163</f>
        <v>3</v>
      </c>
      <c r="C1154" s="14" t="str">
        <f>'[1]02. Matrix'!C1163</f>
        <v>WC TRADING/IND LOAN</v>
      </c>
      <c r="D1154" s="14">
        <f>'[1]02. Matrix'!D1163</f>
        <v>2</v>
      </c>
      <c r="E1154" s="15">
        <f>'[1]02. Matrix'!E1163</f>
        <v>0.20516999905559674</v>
      </c>
      <c r="F1154" s="14" t="str">
        <f>_xlfn.XLOOKUP('01. Main'!$B1154,[1]Mapping!$D:$D,[1]Mapping!$A:$A,0,0)</f>
        <v>poush 76</v>
      </c>
      <c r="G1154" s="16">
        <f>_xlfn.XLOOKUP('01. Main'!$B1154,[1]Mapping!D$2:D$24,[1]Mapping!E$2:E$24,0,0)</f>
        <v>2019</v>
      </c>
    </row>
    <row r="1155" spans="1:7" x14ac:dyDescent="0.45">
      <c r="A1155" s="17">
        <f>'[1]02. Matrix'!A1164</f>
        <v>1154</v>
      </c>
      <c r="B1155" s="18">
        <f>'[1]02. Matrix'!B1164</f>
        <v>3</v>
      </c>
      <c r="C1155" s="18" t="str">
        <f>'[1]02. Matrix'!C1164</f>
        <v>HOUSING LOAN</v>
      </c>
      <c r="D1155" s="18">
        <f>'[1]02. Matrix'!D1164</f>
        <v>2</v>
      </c>
      <c r="E1155" s="19">
        <f>'[1]02. Matrix'!E1164</f>
        <v>0.17447604061175809</v>
      </c>
      <c r="F1155" s="18" t="str">
        <f>_xlfn.XLOOKUP('01. Main'!$B1155,[1]Mapping!$D:$D,[1]Mapping!$A:$A,0,0)</f>
        <v>poush 76</v>
      </c>
      <c r="G1155" s="20">
        <f>_xlfn.XLOOKUP('01. Main'!$B1155,[1]Mapping!D$2:D$24,[1]Mapping!E$2:E$24,0,0)</f>
        <v>2019</v>
      </c>
    </row>
    <row r="1156" spans="1:7" x14ac:dyDescent="0.45">
      <c r="A1156" s="13">
        <f>'[1]02. Matrix'!A1165</f>
        <v>1155</v>
      </c>
      <c r="B1156" s="14">
        <f>'[1]02. Matrix'!B1165</f>
        <v>3</v>
      </c>
      <c r="C1156" s="14" t="str">
        <f>'[1]02. Matrix'!C1165</f>
        <v>RESI REAL EST LOAN</v>
      </c>
      <c r="D1156" s="14">
        <f>'[1]02. Matrix'!D1165</f>
        <v>2</v>
      </c>
      <c r="E1156" s="15">
        <f>'[1]02. Matrix'!E1165</f>
        <v>0</v>
      </c>
      <c r="F1156" s="14" t="str">
        <f>_xlfn.XLOOKUP('01. Main'!$B1156,[1]Mapping!$D:$D,[1]Mapping!$A:$A,0,0)</f>
        <v>poush 76</v>
      </c>
      <c r="G1156" s="16">
        <f>_xlfn.XLOOKUP('01. Main'!$B1156,[1]Mapping!D$2:D$24,[1]Mapping!E$2:E$24,0,0)</f>
        <v>2019</v>
      </c>
    </row>
    <row r="1157" spans="1:7" x14ac:dyDescent="0.45">
      <c r="A1157" s="17">
        <f>'[1]02. Matrix'!A1166</f>
        <v>1156</v>
      </c>
      <c r="B1157" s="18">
        <f>'[1]02. Matrix'!B1166</f>
        <v>3</v>
      </c>
      <c r="C1157" s="18" t="str">
        <f>'[1]02. Matrix'!C1166</f>
        <v>MARGIN NATURE LOAN</v>
      </c>
      <c r="D1157" s="18">
        <f>'[1]02. Matrix'!D1166</f>
        <v>2</v>
      </c>
      <c r="E1157" s="19">
        <f>'[1]02. Matrix'!E1166</f>
        <v>0</v>
      </c>
      <c r="F1157" s="18" t="str">
        <f>_xlfn.XLOOKUP('01. Main'!$B1157,[1]Mapping!$D:$D,[1]Mapping!$A:$A,0,0)</f>
        <v>poush 76</v>
      </c>
      <c r="G1157" s="20">
        <f>_xlfn.XLOOKUP('01. Main'!$B1157,[1]Mapping!D$2:D$24,[1]Mapping!E$2:E$24,0,0)</f>
        <v>2019</v>
      </c>
    </row>
    <row r="1158" spans="1:7" x14ac:dyDescent="0.45">
      <c r="A1158" s="13">
        <f>'[1]02. Matrix'!A1167</f>
        <v>1157</v>
      </c>
      <c r="B1158" s="14">
        <f>'[1]02. Matrix'!B1167</f>
        <v>3</v>
      </c>
      <c r="C1158" s="14" t="str">
        <f>'[1]02. Matrix'!C1167</f>
        <v>HIRE PURCHASE LOAN</v>
      </c>
      <c r="D1158" s="14">
        <f>'[1]02. Matrix'!D1167</f>
        <v>2</v>
      </c>
      <c r="E1158" s="15">
        <f>'[1]02. Matrix'!E1167</f>
        <v>0.33933650026515905</v>
      </c>
      <c r="F1158" s="14" t="str">
        <f>_xlfn.XLOOKUP('01. Main'!$B1158,[1]Mapping!$D:$D,[1]Mapping!$A:$A,0,0)</f>
        <v>poush 76</v>
      </c>
      <c r="G1158" s="16">
        <f>_xlfn.XLOOKUP('01. Main'!$B1158,[1]Mapping!D$2:D$24,[1]Mapping!E$2:E$24,0,0)</f>
        <v>2019</v>
      </c>
    </row>
    <row r="1159" spans="1:7" x14ac:dyDescent="0.45">
      <c r="A1159" s="17">
        <f>'[1]02. Matrix'!A1168</f>
        <v>1158</v>
      </c>
      <c r="B1159" s="18">
        <f>'[1]02. Matrix'!B1168</f>
        <v>3</v>
      </c>
      <c r="C1159" s="18" t="str">
        <f>'[1]02. Matrix'!C1168</f>
        <v>DEPRIVED SECTOR LOAN</v>
      </c>
      <c r="D1159" s="18">
        <f>'[1]02. Matrix'!D1168</f>
        <v>2</v>
      </c>
      <c r="E1159" s="19">
        <f>'[1]02. Matrix'!E1168</f>
        <v>0.28242228603916514</v>
      </c>
      <c r="F1159" s="18" t="str">
        <f>_xlfn.XLOOKUP('01. Main'!$B1159,[1]Mapping!$D:$D,[1]Mapping!$A:$A,0,0)</f>
        <v>poush 76</v>
      </c>
      <c r="G1159" s="20">
        <f>_xlfn.XLOOKUP('01. Main'!$B1159,[1]Mapping!D$2:D$24,[1]Mapping!E$2:E$24,0,0)</f>
        <v>2019</v>
      </c>
    </row>
    <row r="1160" spans="1:7" x14ac:dyDescent="0.45">
      <c r="A1160" s="13">
        <f>'[1]02. Matrix'!A1169</f>
        <v>1159</v>
      </c>
      <c r="B1160" s="14">
        <f>'[1]02. Matrix'!B1169</f>
        <v>3</v>
      </c>
      <c r="C1160" s="14" t="str">
        <f>'[1]02. Matrix'!C1169</f>
        <v>EDUCATIONAL LOAN</v>
      </c>
      <c r="D1160" s="14">
        <f>'[1]02. Matrix'!D1169</f>
        <v>2</v>
      </c>
      <c r="E1160" s="15">
        <f>'[1]02. Matrix'!E1169</f>
        <v>0</v>
      </c>
      <c r="F1160" s="14" t="str">
        <f>_xlfn.XLOOKUP('01. Main'!$B1160,[1]Mapping!$D:$D,[1]Mapping!$A:$A,0,0)</f>
        <v>poush 76</v>
      </c>
      <c r="G1160" s="16">
        <f>_xlfn.XLOOKUP('01. Main'!$B1160,[1]Mapping!D$2:D$24,[1]Mapping!E$2:E$24,0,0)</f>
        <v>2019</v>
      </c>
    </row>
    <row r="1161" spans="1:7" x14ac:dyDescent="0.45">
      <c r="A1161" s="17">
        <f>'[1]02. Matrix'!A1170</f>
        <v>1160</v>
      </c>
      <c r="B1161" s="18">
        <f>'[1]02. Matrix'!B1170</f>
        <v>3</v>
      </c>
      <c r="C1161" s="18" t="str">
        <f>'[1]02. Matrix'!C1170</f>
        <v>AGRICULTURE LOAN</v>
      </c>
      <c r="D1161" s="18">
        <f>'[1]02. Matrix'!D1170</f>
        <v>2</v>
      </c>
      <c r="E1161" s="19">
        <f>'[1]02. Matrix'!E1170</f>
        <v>0.27985055713204016</v>
      </c>
      <c r="F1161" s="18" t="str">
        <f>_xlfn.XLOOKUP('01. Main'!$B1161,[1]Mapping!$D:$D,[1]Mapping!$A:$A,0,0)</f>
        <v>poush 76</v>
      </c>
      <c r="G1161" s="20">
        <f>_xlfn.XLOOKUP('01. Main'!$B1161,[1]Mapping!D$2:D$24,[1]Mapping!E$2:E$24,0,0)</f>
        <v>2019</v>
      </c>
    </row>
    <row r="1162" spans="1:7" x14ac:dyDescent="0.45">
      <c r="A1162" s="13">
        <f>'[1]02. Matrix'!A1171</f>
        <v>1161</v>
      </c>
      <c r="B1162" s="14">
        <f>'[1]02. Matrix'!B1171</f>
        <v>3</v>
      </c>
      <c r="C1162" s="14" t="str">
        <f>'[1]02. Matrix'!C1171</f>
        <v>RESI PER.HOME-EMI</v>
      </c>
      <c r="D1162" s="14">
        <f>'[1]02. Matrix'!D1171</f>
        <v>2</v>
      </c>
      <c r="E1162" s="15">
        <f>'[1]02. Matrix'!E1171</f>
        <v>6.2771966731312856E-3</v>
      </c>
      <c r="F1162" s="14" t="str">
        <f>_xlfn.XLOOKUP('01. Main'!$B1162,[1]Mapping!$D:$D,[1]Mapping!$A:$A,0,0)</f>
        <v>poush 76</v>
      </c>
      <c r="G1162" s="16">
        <f>_xlfn.XLOOKUP('01. Main'!$B1162,[1]Mapping!D$2:D$24,[1]Mapping!E$2:E$24,0,0)</f>
        <v>2019</v>
      </c>
    </row>
    <row r="1163" spans="1:7" x14ac:dyDescent="0.45">
      <c r="A1163" s="17">
        <f>'[1]02. Matrix'!A1172</f>
        <v>1162</v>
      </c>
      <c r="B1163" s="18">
        <f>'[1]02. Matrix'!B1172</f>
        <v>3</v>
      </c>
      <c r="C1163" s="18" t="str">
        <f>'[1]02. Matrix'!C1172</f>
        <v>TERM LOAN - BUSINESS</v>
      </c>
      <c r="D1163" s="18">
        <f>'[1]02. Matrix'!D1172</f>
        <v>2</v>
      </c>
      <c r="E1163" s="19">
        <f>'[1]02. Matrix'!E1172</f>
        <v>0</v>
      </c>
      <c r="F1163" s="18" t="str">
        <f>_xlfn.XLOOKUP('01. Main'!$B1163,[1]Mapping!$D:$D,[1]Mapping!$A:$A,0,0)</f>
        <v>poush 76</v>
      </c>
      <c r="G1163" s="20">
        <f>_xlfn.XLOOKUP('01. Main'!$B1163,[1]Mapping!D$2:D$24,[1]Mapping!E$2:E$24,0,0)</f>
        <v>2019</v>
      </c>
    </row>
    <row r="1164" spans="1:7" x14ac:dyDescent="0.45">
      <c r="A1164" s="13">
        <f>'[1]02. Matrix'!A1173</f>
        <v>1163</v>
      </c>
      <c r="B1164" s="14">
        <f>'[1]02. Matrix'!B1173</f>
        <v>3</v>
      </c>
      <c r="C1164" s="14" t="str">
        <f>'[1]02. Matrix'!C1173</f>
        <v>CONS FIN BUSN TRM LO</v>
      </c>
      <c r="D1164" s="14">
        <f>'[1]02. Matrix'!D1173</f>
        <v>2</v>
      </c>
      <c r="E1164" s="15">
        <f>'[1]02. Matrix'!E1173</f>
        <v>0</v>
      </c>
      <c r="F1164" s="14" t="str">
        <f>_xlfn.XLOOKUP('01. Main'!$B1164,[1]Mapping!$D:$D,[1]Mapping!$A:$A,0,0)</f>
        <v>poush 76</v>
      </c>
      <c r="G1164" s="16">
        <f>_xlfn.XLOOKUP('01. Main'!$B1164,[1]Mapping!D$2:D$24,[1]Mapping!E$2:E$24,0,0)</f>
        <v>2019</v>
      </c>
    </row>
    <row r="1165" spans="1:7" x14ac:dyDescent="0.45">
      <c r="A1165" s="17">
        <f>'[1]02. Matrix'!A1174</f>
        <v>1164</v>
      </c>
      <c r="B1165" s="18">
        <f>'[1]02. Matrix'!B1174</f>
        <v>3</v>
      </c>
      <c r="C1165" s="18" t="str">
        <f>'[1]02. Matrix'!C1174</f>
        <v>BIS/PERHIRE PURCHASE</v>
      </c>
      <c r="D1165" s="18">
        <f>'[1]02. Matrix'!D1174</f>
        <v>2</v>
      </c>
      <c r="E1165" s="19">
        <f>'[1]02. Matrix'!E1174</f>
        <v>3.2527184581830529E-2</v>
      </c>
      <c r="F1165" s="18" t="str">
        <f>_xlfn.XLOOKUP('01. Main'!$B1165,[1]Mapping!$D:$D,[1]Mapping!$A:$A,0,0)</f>
        <v>poush 76</v>
      </c>
      <c r="G1165" s="20">
        <f>_xlfn.XLOOKUP('01. Main'!$B1165,[1]Mapping!D$2:D$24,[1]Mapping!E$2:E$24,0,0)</f>
        <v>2019</v>
      </c>
    </row>
    <row r="1166" spans="1:7" x14ac:dyDescent="0.45">
      <c r="A1166" s="13">
        <f>'[1]02. Matrix'!A1175</f>
        <v>1165</v>
      </c>
      <c r="B1166" s="14">
        <f>'[1]02. Matrix'!B1175</f>
        <v>3</v>
      </c>
      <c r="C1166" s="14" t="str">
        <f>'[1]02. Matrix'!C1175</f>
        <v xml:space="preserve">INT CAP TERM LOAN </v>
      </c>
      <c r="D1166" s="14">
        <f>'[1]02. Matrix'!D1175</f>
        <v>2</v>
      </c>
      <c r="E1166" s="15">
        <f>'[1]02. Matrix'!E1175</f>
        <v>0</v>
      </c>
      <c r="F1166" s="14" t="str">
        <f>_xlfn.XLOOKUP('01. Main'!$B1166,[1]Mapping!$D:$D,[1]Mapping!$A:$A,0,0)</f>
        <v>poush 76</v>
      </c>
      <c r="G1166" s="16">
        <f>_xlfn.XLOOKUP('01. Main'!$B1166,[1]Mapping!D$2:D$24,[1]Mapping!E$2:E$24,0,0)</f>
        <v>2019</v>
      </c>
    </row>
    <row r="1167" spans="1:7" x14ac:dyDescent="0.45">
      <c r="A1167" s="17">
        <f>'[1]02. Matrix'!A1176</f>
        <v>1166</v>
      </c>
      <c r="B1167" s="18">
        <f>'[1]02. Matrix'!B1176</f>
        <v>3</v>
      </c>
      <c r="C1167" s="18" t="str">
        <f>'[1]02. Matrix'!C1176</f>
        <v>PERSONAL LOAN</v>
      </c>
      <c r="D1167" s="18">
        <f>'[1]02. Matrix'!D1176</f>
        <v>2</v>
      </c>
      <c r="E1167" s="19">
        <f>'[1]02. Matrix'!E1176</f>
        <v>4.5748650928464932E-2</v>
      </c>
      <c r="F1167" s="18" t="str">
        <f>_xlfn.XLOOKUP('01. Main'!$B1167,[1]Mapping!$D:$D,[1]Mapping!$A:$A,0,0)</f>
        <v>poush 76</v>
      </c>
      <c r="G1167" s="20">
        <f>_xlfn.XLOOKUP('01. Main'!$B1167,[1]Mapping!D$2:D$24,[1]Mapping!E$2:E$24,0,0)</f>
        <v>2019</v>
      </c>
    </row>
    <row r="1168" spans="1:7" x14ac:dyDescent="0.45">
      <c r="A1168" s="13">
        <f>'[1]02. Matrix'!A1177</f>
        <v>1167</v>
      </c>
      <c r="B1168" s="14">
        <f>'[1]02. Matrix'!B1177</f>
        <v>3</v>
      </c>
      <c r="C1168" s="14" t="str">
        <f>'[1]02. Matrix'!C1177</f>
        <v>MORTGAGE LOAN</v>
      </c>
      <c r="D1168" s="14">
        <f>'[1]02. Matrix'!D1177</f>
        <v>2</v>
      </c>
      <c r="E1168" s="15">
        <f>'[1]02. Matrix'!E1177</f>
        <v>0</v>
      </c>
      <c r="F1168" s="14" t="str">
        <f>_xlfn.XLOOKUP('01. Main'!$B1168,[1]Mapping!$D:$D,[1]Mapping!$A:$A,0,0)</f>
        <v>poush 76</v>
      </c>
      <c r="G1168" s="16">
        <f>_xlfn.XLOOKUP('01. Main'!$B1168,[1]Mapping!D$2:D$24,[1]Mapping!E$2:E$24,0,0)</f>
        <v>2019</v>
      </c>
    </row>
    <row r="1169" spans="1:7" x14ac:dyDescent="0.45">
      <c r="A1169" s="17">
        <f>'[1]02. Matrix'!A1178</f>
        <v>1168</v>
      </c>
      <c r="B1169" s="18">
        <f>'[1]02. Matrix'!B1178</f>
        <v>3</v>
      </c>
      <c r="C1169" s="18" t="str">
        <f>'[1]02. Matrix'!C1178</f>
        <v>LOAN AGAINST FDR</v>
      </c>
      <c r="D1169" s="18">
        <f>'[1]02. Matrix'!D1178</f>
        <v>2</v>
      </c>
      <c r="E1169" s="19">
        <f>'[1]02. Matrix'!E1178</f>
        <v>0</v>
      </c>
      <c r="F1169" s="18" t="str">
        <f>_xlfn.XLOOKUP('01. Main'!$B1169,[1]Mapping!$D:$D,[1]Mapping!$A:$A,0,0)</f>
        <v>poush 76</v>
      </c>
      <c r="G1169" s="20">
        <f>_xlfn.XLOOKUP('01. Main'!$B1169,[1]Mapping!D$2:D$24,[1]Mapping!E$2:E$24,0,0)</f>
        <v>2019</v>
      </c>
    </row>
    <row r="1170" spans="1:7" x14ac:dyDescent="0.45">
      <c r="A1170" s="13">
        <f>'[1]02. Matrix'!A1179</f>
        <v>1169</v>
      </c>
      <c r="B1170" s="14">
        <f>'[1]02. Matrix'!B1179</f>
        <v>3</v>
      </c>
      <c r="C1170" s="14" t="str">
        <f>'[1]02. Matrix'!C1179</f>
        <v>RECEIVABLE LOAN</v>
      </c>
      <c r="D1170" s="14">
        <f>'[1]02. Matrix'!D1179</f>
        <v>2</v>
      </c>
      <c r="E1170" s="15">
        <f>'[1]02. Matrix'!E1179</f>
        <v>0</v>
      </c>
      <c r="F1170" s="14" t="str">
        <f>_xlfn.XLOOKUP('01. Main'!$B1170,[1]Mapping!$D:$D,[1]Mapping!$A:$A,0,0)</f>
        <v>poush 76</v>
      </c>
      <c r="G1170" s="16">
        <f>_xlfn.XLOOKUP('01. Main'!$B1170,[1]Mapping!D$2:D$24,[1]Mapping!E$2:E$24,0,0)</f>
        <v>2019</v>
      </c>
    </row>
    <row r="1171" spans="1:7" x14ac:dyDescent="0.45">
      <c r="A1171" s="17">
        <f>'[1]02. Matrix'!A1180</f>
        <v>1170</v>
      </c>
      <c r="B1171" s="18">
        <f>'[1]02. Matrix'!B1180</f>
        <v>3</v>
      </c>
      <c r="C1171" s="18" t="str">
        <f>'[1]02. Matrix'!C1180</f>
        <v>STAFF LOAN</v>
      </c>
      <c r="D1171" s="18">
        <f>'[1]02. Matrix'!D1180</f>
        <v>2</v>
      </c>
      <c r="E1171" s="19">
        <f>'[1]02. Matrix'!E1180</f>
        <v>1</v>
      </c>
      <c r="F1171" s="18" t="str">
        <f>_xlfn.XLOOKUP('01. Main'!$B1171,[1]Mapping!$D:$D,[1]Mapping!$A:$A,0,0)</f>
        <v>poush 76</v>
      </c>
      <c r="G1171" s="20">
        <f>_xlfn.XLOOKUP('01. Main'!$B1171,[1]Mapping!D$2:D$24,[1]Mapping!E$2:E$24,0,0)</f>
        <v>2019</v>
      </c>
    </row>
    <row r="1172" spans="1:7" x14ac:dyDescent="0.45">
      <c r="A1172" s="13">
        <f>'[1]02. Matrix'!A1181</f>
        <v>1171</v>
      </c>
      <c r="B1172" s="14">
        <f>'[1]02. Matrix'!B1181</f>
        <v>3</v>
      </c>
      <c r="C1172" s="14" t="str">
        <f>'[1]02. Matrix'!C1181</f>
        <v>AGRICULTURAL LOAN</v>
      </c>
      <c r="D1172" s="14">
        <f>'[1]02. Matrix'!D1181</f>
        <v>2</v>
      </c>
      <c r="E1172" s="15">
        <f>'[1]02. Matrix'!E1181</f>
        <v>0</v>
      </c>
      <c r="F1172" s="14" t="str">
        <f>_xlfn.XLOOKUP('01. Main'!$B1172,[1]Mapping!$D:$D,[1]Mapping!$A:$A,0,0)</f>
        <v>poush 76</v>
      </c>
      <c r="G1172" s="16">
        <f>_xlfn.XLOOKUP('01. Main'!$B1172,[1]Mapping!D$2:D$24,[1]Mapping!E$2:E$24,0,0)</f>
        <v>2019</v>
      </c>
    </row>
    <row r="1173" spans="1:7" x14ac:dyDescent="0.45">
      <c r="A1173" s="17">
        <f>'[1]02. Matrix'!A1182</f>
        <v>1172</v>
      </c>
      <c r="B1173" s="18">
        <f>'[1]02. Matrix'!B1182</f>
        <v>3</v>
      </c>
      <c r="C1173" s="18" t="str">
        <f>'[1]02. Matrix'!C1182</f>
        <v>EARTHQUAKE RELIEF LO</v>
      </c>
      <c r="D1173" s="18">
        <f>'[1]02. Matrix'!D1182</f>
        <v>2</v>
      </c>
      <c r="E1173" s="19">
        <f>'[1]02. Matrix'!E1182</f>
        <v>0</v>
      </c>
      <c r="F1173" s="18" t="str">
        <f>_xlfn.XLOOKUP('01. Main'!$B1173,[1]Mapping!$D:$D,[1]Mapping!$A:$A,0,0)</f>
        <v>poush 76</v>
      </c>
      <c r="G1173" s="20">
        <f>_xlfn.XLOOKUP('01. Main'!$B1173,[1]Mapping!D$2:D$24,[1]Mapping!E$2:E$24,0,0)</f>
        <v>2019</v>
      </c>
    </row>
    <row r="1174" spans="1:7" x14ac:dyDescent="0.45">
      <c r="A1174" s="13">
        <f>'[1]02. Matrix'!A1183</f>
        <v>1173</v>
      </c>
      <c r="B1174" s="14">
        <f>'[1]02. Matrix'!B1183</f>
        <v>3</v>
      </c>
      <c r="C1174" s="14" t="str">
        <f>'[1]02. Matrix'!C1183</f>
        <v>TOURISM SECTOR LOAN</v>
      </c>
      <c r="D1174" s="14">
        <f>'[1]02. Matrix'!D1183</f>
        <v>2</v>
      </c>
      <c r="E1174" s="15">
        <f>'[1]02. Matrix'!E1183</f>
        <v>0</v>
      </c>
      <c r="F1174" s="14" t="str">
        <f>_xlfn.XLOOKUP('01. Main'!$B1174,[1]Mapping!$D:$D,[1]Mapping!$A:$A,0,0)</f>
        <v>poush 76</v>
      </c>
      <c r="G1174" s="16">
        <f>_xlfn.XLOOKUP('01. Main'!$B1174,[1]Mapping!D$2:D$24,[1]Mapping!E$2:E$24,0,0)</f>
        <v>2019</v>
      </c>
    </row>
    <row r="1175" spans="1:7" x14ac:dyDescent="0.45">
      <c r="A1175" s="17">
        <f>'[1]02. Matrix'!A1184</f>
        <v>1174</v>
      </c>
      <c r="B1175" s="18">
        <f>'[1]02. Matrix'!B1184</f>
        <v>3</v>
      </c>
      <c r="C1175" s="18" t="str">
        <f>'[1]02. Matrix'!C1184</f>
        <v>SME LOAN</v>
      </c>
      <c r="D1175" s="18">
        <f>'[1]02. Matrix'!D1184</f>
        <v>2</v>
      </c>
      <c r="E1175" s="19">
        <f>'[1]02. Matrix'!E1184</f>
        <v>0</v>
      </c>
      <c r="F1175" s="18" t="str">
        <f>_xlfn.XLOOKUP('01. Main'!$B1175,[1]Mapping!$D:$D,[1]Mapping!$A:$A,0,0)</f>
        <v>poush 76</v>
      </c>
      <c r="G1175" s="20">
        <f>_xlfn.XLOOKUP('01. Main'!$B1175,[1]Mapping!D$2:D$24,[1]Mapping!E$2:E$24,0,0)</f>
        <v>2019</v>
      </c>
    </row>
    <row r="1176" spans="1:7" x14ac:dyDescent="0.45">
      <c r="A1176" s="13">
        <f>'[1]02. Matrix'!A1185</f>
        <v>1175</v>
      </c>
      <c r="B1176" s="14">
        <f>'[1]02. Matrix'!B1185</f>
        <v>3</v>
      </c>
      <c r="C1176" s="14" t="str">
        <f>'[1]02. Matrix'!C1185</f>
        <v>EDUCATIONAL LOAN EMI</v>
      </c>
      <c r="D1176" s="14">
        <f>'[1]02. Matrix'!D1185</f>
        <v>2</v>
      </c>
      <c r="E1176" s="15">
        <f>'[1]02. Matrix'!E1185</f>
        <v>0</v>
      </c>
      <c r="F1176" s="14" t="str">
        <f>_xlfn.XLOOKUP('01. Main'!$B1176,[1]Mapping!$D:$D,[1]Mapping!$A:$A,0,0)</f>
        <v>poush 76</v>
      </c>
      <c r="G1176" s="16">
        <f>_xlfn.XLOOKUP('01. Main'!$B1176,[1]Mapping!D$2:D$24,[1]Mapping!E$2:E$24,0,0)</f>
        <v>2019</v>
      </c>
    </row>
    <row r="1177" spans="1:7" x14ac:dyDescent="0.45">
      <c r="A1177" s="17">
        <f>'[1]02. Matrix'!A1186</f>
        <v>1176</v>
      </c>
      <c r="B1177" s="18">
        <f>'[1]02. Matrix'!B1186</f>
        <v>3</v>
      </c>
      <c r="C1177" s="18" t="str">
        <f>'[1]02. Matrix'!C1186</f>
        <v>OVERDRAFT PROFESSION</v>
      </c>
      <c r="D1177" s="18">
        <f>'[1]02. Matrix'!D1186</f>
        <v>2</v>
      </c>
      <c r="E1177" s="19">
        <f>'[1]02. Matrix'!E1186</f>
        <v>0</v>
      </c>
      <c r="F1177" s="18" t="str">
        <f>_xlfn.XLOOKUP('01. Main'!$B1177,[1]Mapping!$D:$D,[1]Mapping!$A:$A,0,0)</f>
        <v>poush 76</v>
      </c>
      <c r="G1177" s="20">
        <f>_xlfn.XLOOKUP('01. Main'!$B1177,[1]Mapping!D$2:D$24,[1]Mapping!E$2:E$24,0,0)</f>
        <v>2019</v>
      </c>
    </row>
    <row r="1178" spans="1:7" x14ac:dyDescent="0.45">
      <c r="A1178" s="13">
        <f>'[1]02. Matrix'!A1187</f>
        <v>1177</v>
      </c>
      <c r="B1178" s="14">
        <f>'[1]02. Matrix'!B1187</f>
        <v>2</v>
      </c>
      <c r="C1178" s="14" t="str">
        <f>'[1]02. Matrix'!C1187</f>
        <v>OD PERSONAL LOAN</v>
      </c>
      <c r="D1178" s="14">
        <f>'[1]02. Matrix'!D1187</f>
        <v>1</v>
      </c>
      <c r="E1178" s="15">
        <f>'[1]02. Matrix'!E1187</f>
        <v>0</v>
      </c>
      <c r="F1178" s="14" t="str">
        <f>_xlfn.XLOOKUP('01. Main'!$B1178,[1]Mapping!$D:$D,[1]Mapping!$A:$A,0,0)</f>
        <v>Ashoj 76</v>
      </c>
      <c r="G1178" s="16">
        <f>_xlfn.XLOOKUP('01. Main'!$B1178,[1]Mapping!D$2:D$24,[1]Mapping!E$2:E$24,0,0)</f>
        <v>2019</v>
      </c>
    </row>
    <row r="1179" spans="1:7" x14ac:dyDescent="0.45">
      <c r="A1179" s="17">
        <f>'[1]02. Matrix'!A1188</f>
        <v>1178</v>
      </c>
      <c r="B1179" s="18">
        <f>'[1]02. Matrix'!B1188</f>
        <v>2</v>
      </c>
      <c r="C1179" s="18" t="str">
        <f>'[1]02. Matrix'!C1188</f>
        <v>OD BUSINESS LOAN</v>
      </c>
      <c r="D1179" s="18">
        <f>'[1]02. Matrix'!D1188</f>
        <v>1</v>
      </c>
      <c r="E1179" s="19">
        <f>'[1]02. Matrix'!E1188</f>
        <v>0</v>
      </c>
      <c r="F1179" s="18" t="str">
        <f>_xlfn.XLOOKUP('01. Main'!$B1179,[1]Mapping!$D:$D,[1]Mapping!$A:$A,0,0)</f>
        <v>Ashoj 76</v>
      </c>
      <c r="G1179" s="20">
        <f>_xlfn.XLOOKUP('01. Main'!$B1179,[1]Mapping!D$2:D$24,[1]Mapping!E$2:E$24,0,0)</f>
        <v>2019</v>
      </c>
    </row>
    <row r="1180" spans="1:7" x14ac:dyDescent="0.45">
      <c r="A1180" s="13">
        <f>'[1]02. Matrix'!A1189</f>
        <v>1179</v>
      </c>
      <c r="B1180" s="14">
        <f>'[1]02. Matrix'!B1189</f>
        <v>2</v>
      </c>
      <c r="C1180" s="14" t="str">
        <f>'[1]02. Matrix'!C1189</f>
        <v>OD STAFF LOAN</v>
      </c>
      <c r="D1180" s="14">
        <f>'[1]02. Matrix'!D1189</f>
        <v>1</v>
      </c>
      <c r="E1180" s="15">
        <f>'[1]02. Matrix'!E1189</f>
        <v>0</v>
      </c>
      <c r="F1180" s="14" t="str">
        <f>_xlfn.XLOOKUP('01. Main'!$B1180,[1]Mapping!$D:$D,[1]Mapping!$A:$A,0,0)</f>
        <v>Ashoj 76</v>
      </c>
      <c r="G1180" s="16">
        <f>_xlfn.XLOOKUP('01. Main'!$B1180,[1]Mapping!D$2:D$24,[1]Mapping!E$2:E$24,0,0)</f>
        <v>2019</v>
      </c>
    </row>
    <row r="1181" spans="1:7" x14ac:dyDescent="0.45">
      <c r="A1181" s="17">
        <f>'[1]02. Matrix'!A1190</f>
        <v>1180</v>
      </c>
      <c r="B1181" s="18">
        <f>'[1]02. Matrix'!B1190</f>
        <v>2</v>
      </c>
      <c r="C1181" s="18" t="str">
        <f>'[1]02. Matrix'!C1190</f>
        <v>TERM LOAN</v>
      </c>
      <c r="D1181" s="18">
        <f>'[1]02. Matrix'!D1190</f>
        <v>1</v>
      </c>
      <c r="E1181" s="19">
        <f>'[1]02. Matrix'!E1190</f>
        <v>0.10318510147869309</v>
      </c>
      <c r="F1181" s="18" t="str">
        <f>_xlfn.XLOOKUP('01. Main'!$B1181,[1]Mapping!$D:$D,[1]Mapping!$A:$A,0,0)</f>
        <v>Ashoj 76</v>
      </c>
      <c r="G1181" s="20">
        <f>_xlfn.XLOOKUP('01. Main'!$B1181,[1]Mapping!D$2:D$24,[1]Mapping!E$2:E$24,0,0)</f>
        <v>2019</v>
      </c>
    </row>
    <row r="1182" spans="1:7" x14ac:dyDescent="0.45">
      <c r="A1182" s="13">
        <f>'[1]02. Matrix'!A1191</f>
        <v>1181</v>
      </c>
      <c r="B1182" s="14">
        <f>'[1]02. Matrix'!B1191</f>
        <v>2</v>
      </c>
      <c r="C1182" s="14" t="str">
        <f>'[1]02. Matrix'!C1191</f>
        <v>WC TRADING/IND LOAN</v>
      </c>
      <c r="D1182" s="14">
        <f>'[1]02. Matrix'!D1191</f>
        <v>1</v>
      </c>
      <c r="E1182" s="15">
        <f>'[1]02. Matrix'!E1191</f>
        <v>0.10200789574830908</v>
      </c>
      <c r="F1182" s="14" t="str">
        <f>_xlfn.XLOOKUP('01. Main'!$B1182,[1]Mapping!$D:$D,[1]Mapping!$A:$A,0,0)</f>
        <v>Ashoj 76</v>
      </c>
      <c r="G1182" s="16">
        <f>_xlfn.XLOOKUP('01. Main'!$B1182,[1]Mapping!D$2:D$24,[1]Mapping!E$2:E$24,0,0)</f>
        <v>2019</v>
      </c>
    </row>
    <row r="1183" spans="1:7" x14ac:dyDescent="0.45">
      <c r="A1183" s="17">
        <f>'[1]02. Matrix'!A1192</f>
        <v>1182</v>
      </c>
      <c r="B1183" s="18">
        <f>'[1]02. Matrix'!B1192</f>
        <v>2</v>
      </c>
      <c r="C1183" s="18" t="str">
        <f>'[1]02. Matrix'!C1192</f>
        <v>HOUSING LOAN</v>
      </c>
      <c r="D1183" s="18">
        <f>'[1]02. Matrix'!D1192</f>
        <v>1</v>
      </c>
      <c r="E1183" s="19">
        <f>'[1]02. Matrix'!E1192</f>
        <v>0.20184346817598631</v>
      </c>
      <c r="F1183" s="18" t="str">
        <f>_xlfn.XLOOKUP('01. Main'!$B1183,[1]Mapping!$D:$D,[1]Mapping!$A:$A,0,0)</f>
        <v>Ashoj 76</v>
      </c>
      <c r="G1183" s="20">
        <f>_xlfn.XLOOKUP('01. Main'!$B1183,[1]Mapping!D$2:D$24,[1]Mapping!E$2:E$24,0,0)</f>
        <v>2019</v>
      </c>
    </row>
    <row r="1184" spans="1:7" x14ac:dyDescent="0.45">
      <c r="A1184" s="13">
        <f>'[1]02. Matrix'!A1193</f>
        <v>1183</v>
      </c>
      <c r="B1184" s="14">
        <f>'[1]02. Matrix'!B1193</f>
        <v>2</v>
      </c>
      <c r="C1184" s="14" t="str">
        <f>'[1]02. Matrix'!C1193</f>
        <v>RESI REAL EST LOAN</v>
      </c>
      <c r="D1184" s="14">
        <f>'[1]02. Matrix'!D1193</f>
        <v>1</v>
      </c>
      <c r="E1184" s="15">
        <f>'[1]02. Matrix'!E1193</f>
        <v>0.14317946240956256</v>
      </c>
      <c r="F1184" s="14" t="str">
        <f>_xlfn.XLOOKUP('01. Main'!$B1184,[1]Mapping!$D:$D,[1]Mapping!$A:$A,0,0)</f>
        <v>Ashoj 76</v>
      </c>
      <c r="G1184" s="16">
        <f>_xlfn.XLOOKUP('01. Main'!$B1184,[1]Mapping!D$2:D$24,[1]Mapping!E$2:E$24,0,0)</f>
        <v>2019</v>
      </c>
    </row>
    <row r="1185" spans="1:7" x14ac:dyDescent="0.45">
      <c r="A1185" s="17">
        <f>'[1]02. Matrix'!A1194</f>
        <v>1184</v>
      </c>
      <c r="B1185" s="18">
        <f>'[1]02. Matrix'!B1194</f>
        <v>2</v>
      </c>
      <c r="C1185" s="18" t="str">
        <f>'[1]02. Matrix'!C1194</f>
        <v>MARGIN NATURE LOAN</v>
      </c>
      <c r="D1185" s="18">
        <f>'[1]02. Matrix'!D1194</f>
        <v>1</v>
      </c>
      <c r="E1185" s="19">
        <f>'[1]02. Matrix'!E1194</f>
        <v>0</v>
      </c>
      <c r="F1185" s="18" t="str">
        <f>_xlfn.XLOOKUP('01. Main'!$B1185,[1]Mapping!$D:$D,[1]Mapping!$A:$A,0,0)</f>
        <v>Ashoj 76</v>
      </c>
      <c r="G1185" s="20">
        <f>_xlfn.XLOOKUP('01. Main'!$B1185,[1]Mapping!D$2:D$24,[1]Mapping!E$2:E$24,0,0)</f>
        <v>2019</v>
      </c>
    </row>
    <row r="1186" spans="1:7" x14ac:dyDescent="0.45">
      <c r="A1186" s="13">
        <f>'[1]02. Matrix'!A1195</f>
        <v>1185</v>
      </c>
      <c r="B1186" s="14">
        <f>'[1]02. Matrix'!B1195</f>
        <v>2</v>
      </c>
      <c r="C1186" s="14" t="str">
        <f>'[1]02. Matrix'!C1195</f>
        <v>HIRE PURCHASE LOAN</v>
      </c>
      <c r="D1186" s="14">
        <f>'[1]02. Matrix'!D1195</f>
        <v>1</v>
      </c>
      <c r="E1186" s="15">
        <f>'[1]02. Matrix'!E1195</f>
        <v>0.44105219018821551</v>
      </c>
      <c r="F1186" s="14" t="str">
        <f>_xlfn.XLOOKUP('01. Main'!$B1186,[1]Mapping!$D:$D,[1]Mapping!$A:$A,0,0)</f>
        <v>Ashoj 76</v>
      </c>
      <c r="G1186" s="16">
        <f>_xlfn.XLOOKUP('01. Main'!$B1186,[1]Mapping!D$2:D$24,[1]Mapping!E$2:E$24,0,0)</f>
        <v>2019</v>
      </c>
    </row>
    <row r="1187" spans="1:7" x14ac:dyDescent="0.45">
      <c r="A1187" s="17">
        <f>'[1]02. Matrix'!A1196</f>
        <v>1186</v>
      </c>
      <c r="B1187" s="18">
        <f>'[1]02. Matrix'!B1196</f>
        <v>2</v>
      </c>
      <c r="C1187" s="18" t="str">
        <f>'[1]02. Matrix'!C1196</f>
        <v>DEPRIVED SECTOR LOAN</v>
      </c>
      <c r="D1187" s="18">
        <f>'[1]02. Matrix'!D1196</f>
        <v>1</v>
      </c>
      <c r="E1187" s="19">
        <f>'[1]02. Matrix'!E1196</f>
        <v>8.4225613360312084E-3</v>
      </c>
      <c r="F1187" s="18" t="str">
        <f>_xlfn.XLOOKUP('01. Main'!$B1187,[1]Mapping!$D:$D,[1]Mapping!$A:$A,0,0)</f>
        <v>Ashoj 76</v>
      </c>
      <c r="G1187" s="20">
        <f>_xlfn.XLOOKUP('01. Main'!$B1187,[1]Mapping!D$2:D$24,[1]Mapping!E$2:E$24,0,0)</f>
        <v>2019</v>
      </c>
    </row>
    <row r="1188" spans="1:7" x14ac:dyDescent="0.45">
      <c r="A1188" s="13">
        <f>'[1]02. Matrix'!A1197</f>
        <v>1187</v>
      </c>
      <c r="B1188" s="14">
        <f>'[1]02. Matrix'!B1197</f>
        <v>2</v>
      </c>
      <c r="C1188" s="14" t="str">
        <f>'[1]02. Matrix'!C1197</f>
        <v>EDUCATIONAL LOAN</v>
      </c>
      <c r="D1188" s="14">
        <f>'[1]02. Matrix'!D1197</f>
        <v>1</v>
      </c>
      <c r="E1188" s="15">
        <f>'[1]02. Matrix'!E1197</f>
        <v>0.17237456741440149</v>
      </c>
      <c r="F1188" s="14" t="str">
        <f>_xlfn.XLOOKUP('01. Main'!$B1188,[1]Mapping!$D:$D,[1]Mapping!$A:$A,0,0)</f>
        <v>Ashoj 76</v>
      </c>
      <c r="G1188" s="16">
        <f>_xlfn.XLOOKUP('01. Main'!$B1188,[1]Mapping!D$2:D$24,[1]Mapping!E$2:E$24,0,0)</f>
        <v>2019</v>
      </c>
    </row>
    <row r="1189" spans="1:7" x14ac:dyDescent="0.45">
      <c r="A1189" s="17">
        <f>'[1]02. Matrix'!A1198</f>
        <v>1188</v>
      </c>
      <c r="B1189" s="18">
        <f>'[1]02. Matrix'!B1198</f>
        <v>2</v>
      </c>
      <c r="C1189" s="18" t="str">
        <f>'[1]02. Matrix'!C1198</f>
        <v>AGRICULTURE LOAN</v>
      </c>
      <c r="D1189" s="18">
        <f>'[1]02. Matrix'!D1198</f>
        <v>1</v>
      </c>
      <c r="E1189" s="19">
        <f>'[1]02. Matrix'!E1198</f>
        <v>0.19674323263436283</v>
      </c>
      <c r="F1189" s="18" t="str">
        <f>_xlfn.XLOOKUP('01. Main'!$B1189,[1]Mapping!$D:$D,[1]Mapping!$A:$A,0,0)</f>
        <v>Ashoj 76</v>
      </c>
      <c r="G1189" s="20">
        <f>_xlfn.XLOOKUP('01. Main'!$B1189,[1]Mapping!D$2:D$24,[1]Mapping!E$2:E$24,0,0)</f>
        <v>2019</v>
      </c>
    </row>
    <row r="1190" spans="1:7" x14ac:dyDescent="0.45">
      <c r="A1190" s="13">
        <f>'[1]02. Matrix'!A1199</f>
        <v>1189</v>
      </c>
      <c r="B1190" s="14">
        <f>'[1]02. Matrix'!B1199</f>
        <v>2</v>
      </c>
      <c r="C1190" s="14" t="str">
        <f>'[1]02. Matrix'!C1199</f>
        <v>RESI PER.HOME-EMI</v>
      </c>
      <c r="D1190" s="14">
        <f>'[1]02. Matrix'!D1199</f>
        <v>1</v>
      </c>
      <c r="E1190" s="15">
        <f>'[1]02. Matrix'!E1199</f>
        <v>0</v>
      </c>
      <c r="F1190" s="14" t="str">
        <f>_xlfn.XLOOKUP('01. Main'!$B1190,[1]Mapping!$D:$D,[1]Mapping!$A:$A,0,0)</f>
        <v>Ashoj 76</v>
      </c>
      <c r="G1190" s="16">
        <f>_xlfn.XLOOKUP('01. Main'!$B1190,[1]Mapping!D$2:D$24,[1]Mapping!E$2:E$24,0,0)</f>
        <v>2019</v>
      </c>
    </row>
    <row r="1191" spans="1:7" x14ac:dyDescent="0.45">
      <c r="A1191" s="17">
        <f>'[1]02. Matrix'!A1200</f>
        <v>1190</v>
      </c>
      <c r="B1191" s="18">
        <f>'[1]02. Matrix'!B1200</f>
        <v>2</v>
      </c>
      <c r="C1191" s="18" t="str">
        <f>'[1]02. Matrix'!C1200</f>
        <v>TERM LOAN - BUSINESS</v>
      </c>
      <c r="D1191" s="18">
        <f>'[1]02. Matrix'!D1200</f>
        <v>1</v>
      </c>
      <c r="E1191" s="19">
        <f>'[1]02. Matrix'!E1200</f>
        <v>0</v>
      </c>
      <c r="F1191" s="18" t="str">
        <f>_xlfn.XLOOKUP('01. Main'!$B1191,[1]Mapping!$D:$D,[1]Mapping!$A:$A,0,0)</f>
        <v>Ashoj 76</v>
      </c>
      <c r="G1191" s="20">
        <f>_xlfn.XLOOKUP('01. Main'!$B1191,[1]Mapping!D$2:D$24,[1]Mapping!E$2:E$24,0,0)</f>
        <v>2019</v>
      </c>
    </row>
    <row r="1192" spans="1:7" x14ac:dyDescent="0.45">
      <c r="A1192" s="13">
        <f>'[1]02. Matrix'!A1201</f>
        <v>1191</v>
      </c>
      <c r="B1192" s="14">
        <f>'[1]02. Matrix'!B1201</f>
        <v>2</v>
      </c>
      <c r="C1192" s="14" t="str">
        <f>'[1]02. Matrix'!C1201</f>
        <v>CONS FIN BUSN TRM LO</v>
      </c>
      <c r="D1192" s="14">
        <f>'[1]02. Matrix'!D1201</f>
        <v>1</v>
      </c>
      <c r="E1192" s="15">
        <f>'[1]02. Matrix'!E1201</f>
        <v>0</v>
      </c>
      <c r="F1192" s="14" t="str">
        <f>_xlfn.XLOOKUP('01. Main'!$B1192,[1]Mapping!$D:$D,[1]Mapping!$A:$A,0,0)</f>
        <v>Ashoj 76</v>
      </c>
      <c r="G1192" s="16">
        <f>_xlfn.XLOOKUP('01. Main'!$B1192,[1]Mapping!D$2:D$24,[1]Mapping!E$2:E$24,0,0)</f>
        <v>2019</v>
      </c>
    </row>
    <row r="1193" spans="1:7" x14ac:dyDescent="0.45">
      <c r="A1193" s="17">
        <f>'[1]02. Matrix'!A1202</f>
        <v>1192</v>
      </c>
      <c r="B1193" s="18">
        <f>'[1]02. Matrix'!B1202</f>
        <v>2</v>
      </c>
      <c r="C1193" s="18" t="str">
        <f>'[1]02. Matrix'!C1202</f>
        <v>BIS/PERHIRE PURCHASE</v>
      </c>
      <c r="D1193" s="18">
        <f>'[1]02. Matrix'!D1202</f>
        <v>1</v>
      </c>
      <c r="E1193" s="19">
        <f>'[1]02. Matrix'!E1202</f>
        <v>0</v>
      </c>
      <c r="F1193" s="18" t="str">
        <f>_xlfn.XLOOKUP('01. Main'!$B1193,[1]Mapping!$D:$D,[1]Mapping!$A:$A,0,0)</f>
        <v>Ashoj 76</v>
      </c>
      <c r="G1193" s="20">
        <f>_xlfn.XLOOKUP('01. Main'!$B1193,[1]Mapping!D$2:D$24,[1]Mapping!E$2:E$24,0,0)</f>
        <v>2019</v>
      </c>
    </row>
    <row r="1194" spans="1:7" x14ac:dyDescent="0.45">
      <c r="A1194" s="13">
        <f>'[1]02. Matrix'!A1203</f>
        <v>1193</v>
      </c>
      <c r="B1194" s="14">
        <f>'[1]02. Matrix'!B1203</f>
        <v>2</v>
      </c>
      <c r="C1194" s="14" t="str">
        <f>'[1]02. Matrix'!C1203</f>
        <v xml:space="preserve">INT CAP TERM LOAN </v>
      </c>
      <c r="D1194" s="14">
        <f>'[1]02. Matrix'!D1203</f>
        <v>1</v>
      </c>
      <c r="E1194" s="15">
        <f>'[1]02. Matrix'!E1203</f>
        <v>0</v>
      </c>
      <c r="F1194" s="14" t="str">
        <f>_xlfn.XLOOKUP('01. Main'!$B1194,[1]Mapping!$D:$D,[1]Mapping!$A:$A,0,0)</f>
        <v>Ashoj 76</v>
      </c>
      <c r="G1194" s="16">
        <f>_xlfn.XLOOKUP('01. Main'!$B1194,[1]Mapping!D$2:D$24,[1]Mapping!E$2:E$24,0,0)</f>
        <v>2019</v>
      </c>
    </row>
    <row r="1195" spans="1:7" x14ac:dyDescent="0.45">
      <c r="A1195" s="17">
        <f>'[1]02. Matrix'!A1204</f>
        <v>1194</v>
      </c>
      <c r="B1195" s="18">
        <f>'[1]02. Matrix'!B1204</f>
        <v>2</v>
      </c>
      <c r="C1195" s="18" t="str">
        <f>'[1]02. Matrix'!C1204</f>
        <v>PERSONAL LOAN</v>
      </c>
      <c r="D1195" s="18">
        <f>'[1]02. Matrix'!D1204</f>
        <v>1</v>
      </c>
      <c r="E1195" s="19">
        <f>'[1]02. Matrix'!E1204</f>
        <v>0.15527119420527552</v>
      </c>
      <c r="F1195" s="18" t="str">
        <f>_xlfn.XLOOKUP('01. Main'!$B1195,[1]Mapping!$D:$D,[1]Mapping!$A:$A,0,0)</f>
        <v>Ashoj 76</v>
      </c>
      <c r="G1195" s="20">
        <f>_xlfn.XLOOKUP('01. Main'!$B1195,[1]Mapping!D$2:D$24,[1]Mapping!E$2:E$24,0,0)</f>
        <v>2019</v>
      </c>
    </row>
    <row r="1196" spans="1:7" x14ac:dyDescent="0.45">
      <c r="A1196" s="13">
        <f>'[1]02. Matrix'!A1205</f>
        <v>1195</v>
      </c>
      <c r="B1196" s="14">
        <f>'[1]02. Matrix'!B1205</f>
        <v>2</v>
      </c>
      <c r="C1196" s="14" t="str">
        <f>'[1]02. Matrix'!C1205</f>
        <v>MORTGAGE LOAN</v>
      </c>
      <c r="D1196" s="14">
        <f>'[1]02. Matrix'!D1205</f>
        <v>1</v>
      </c>
      <c r="E1196" s="15">
        <f>'[1]02. Matrix'!E1205</f>
        <v>0</v>
      </c>
      <c r="F1196" s="14" t="str">
        <f>_xlfn.XLOOKUP('01. Main'!$B1196,[1]Mapping!$D:$D,[1]Mapping!$A:$A,0,0)</f>
        <v>Ashoj 76</v>
      </c>
      <c r="G1196" s="16">
        <f>_xlfn.XLOOKUP('01. Main'!$B1196,[1]Mapping!D$2:D$24,[1]Mapping!E$2:E$24,0,0)</f>
        <v>2019</v>
      </c>
    </row>
    <row r="1197" spans="1:7" x14ac:dyDescent="0.45">
      <c r="A1197" s="17">
        <f>'[1]02. Matrix'!A1206</f>
        <v>1196</v>
      </c>
      <c r="B1197" s="18">
        <f>'[1]02. Matrix'!B1206</f>
        <v>2</v>
      </c>
      <c r="C1197" s="18" t="str">
        <f>'[1]02. Matrix'!C1206</f>
        <v>LOAN AGAINST FDR</v>
      </c>
      <c r="D1197" s="18">
        <f>'[1]02. Matrix'!D1206</f>
        <v>1</v>
      </c>
      <c r="E1197" s="19">
        <f>'[1]02. Matrix'!E1206</f>
        <v>0</v>
      </c>
      <c r="F1197" s="18" t="str">
        <f>_xlfn.XLOOKUP('01. Main'!$B1197,[1]Mapping!$D:$D,[1]Mapping!$A:$A,0,0)</f>
        <v>Ashoj 76</v>
      </c>
      <c r="G1197" s="20">
        <f>_xlfn.XLOOKUP('01. Main'!$B1197,[1]Mapping!D$2:D$24,[1]Mapping!E$2:E$24,0,0)</f>
        <v>2019</v>
      </c>
    </row>
    <row r="1198" spans="1:7" x14ac:dyDescent="0.45">
      <c r="A1198" s="13">
        <f>'[1]02. Matrix'!A1207</f>
        <v>1197</v>
      </c>
      <c r="B1198" s="14">
        <f>'[1]02. Matrix'!B1207</f>
        <v>2</v>
      </c>
      <c r="C1198" s="14" t="str">
        <f>'[1]02. Matrix'!C1207</f>
        <v>RECEIVABLE LOAN</v>
      </c>
      <c r="D1198" s="14">
        <f>'[1]02. Matrix'!D1207</f>
        <v>1</v>
      </c>
      <c r="E1198" s="15">
        <f>'[1]02. Matrix'!E1207</f>
        <v>0</v>
      </c>
      <c r="F1198" s="14" t="str">
        <f>_xlfn.XLOOKUP('01. Main'!$B1198,[1]Mapping!$D:$D,[1]Mapping!$A:$A,0,0)</f>
        <v>Ashoj 76</v>
      </c>
      <c r="G1198" s="16">
        <f>_xlfn.XLOOKUP('01. Main'!$B1198,[1]Mapping!D$2:D$24,[1]Mapping!E$2:E$24,0,0)</f>
        <v>2019</v>
      </c>
    </row>
    <row r="1199" spans="1:7" x14ac:dyDescent="0.45">
      <c r="A1199" s="17">
        <f>'[1]02. Matrix'!A1208</f>
        <v>1198</v>
      </c>
      <c r="B1199" s="18">
        <f>'[1]02. Matrix'!B1208</f>
        <v>2</v>
      </c>
      <c r="C1199" s="18" t="str">
        <f>'[1]02. Matrix'!C1208</f>
        <v>STAFF LOAN</v>
      </c>
      <c r="D1199" s="18">
        <f>'[1]02. Matrix'!D1208</f>
        <v>1</v>
      </c>
      <c r="E1199" s="19">
        <f>'[1]02. Matrix'!E1208</f>
        <v>0</v>
      </c>
      <c r="F1199" s="18" t="str">
        <f>_xlfn.XLOOKUP('01. Main'!$B1199,[1]Mapping!$D:$D,[1]Mapping!$A:$A,0,0)</f>
        <v>Ashoj 76</v>
      </c>
      <c r="G1199" s="20">
        <f>_xlfn.XLOOKUP('01. Main'!$B1199,[1]Mapping!D$2:D$24,[1]Mapping!E$2:E$24,0,0)</f>
        <v>2019</v>
      </c>
    </row>
    <row r="1200" spans="1:7" x14ac:dyDescent="0.45">
      <c r="A1200" s="13">
        <f>'[1]02. Matrix'!A1209</f>
        <v>1199</v>
      </c>
      <c r="B1200" s="14">
        <f>'[1]02. Matrix'!B1209</f>
        <v>2</v>
      </c>
      <c r="C1200" s="14" t="str">
        <f>'[1]02. Matrix'!C1209</f>
        <v>AGRICULTURAL LOAN</v>
      </c>
      <c r="D1200" s="14">
        <f>'[1]02. Matrix'!D1209</f>
        <v>1</v>
      </c>
      <c r="E1200" s="15">
        <f>'[1]02. Matrix'!E1209</f>
        <v>0</v>
      </c>
      <c r="F1200" s="14" t="str">
        <f>_xlfn.XLOOKUP('01. Main'!$B1200,[1]Mapping!$D:$D,[1]Mapping!$A:$A,0,0)</f>
        <v>Ashoj 76</v>
      </c>
      <c r="G1200" s="16">
        <f>_xlfn.XLOOKUP('01. Main'!$B1200,[1]Mapping!D$2:D$24,[1]Mapping!E$2:E$24,0,0)</f>
        <v>2019</v>
      </c>
    </row>
    <row r="1201" spans="1:7" x14ac:dyDescent="0.45">
      <c r="A1201" s="17">
        <f>'[1]02. Matrix'!A1210</f>
        <v>1200</v>
      </c>
      <c r="B1201" s="18">
        <f>'[1]02. Matrix'!B1210</f>
        <v>2</v>
      </c>
      <c r="C1201" s="18" t="str">
        <f>'[1]02. Matrix'!C1210</f>
        <v>EARTHQUAKE RELIEF LO</v>
      </c>
      <c r="D1201" s="18">
        <f>'[1]02. Matrix'!D1210</f>
        <v>1</v>
      </c>
      <c r="E1201" s="19">
        <f>'[1]02. Matrix'!E1210</f>
        <v>0</v>
      </c>
      <c r="F1201" s="18" t="str">
        <f>_xlfn.XLOOKUP('01. Main'!$B1201,[1]Mapping!$D:$D,[1]Mapping!$A:$A,0,0)</f>
        <v>Ashoj 76</v>
      </c>
      <c r="G1201" s="20">
        <f>_xlfn.XLOOKUP('01. Main'!$B1201,[1]Mapping!D$2:D$24,[1]Mapping!E$2:E$24,0,0)</f>
        <v>2019</v>
      </c>
    </row>
    <row r="1202" spans="1:7" x14ac:dyDescent="0.45">
      <c r="A1202" s="13">
        <f>'[1]02. Matrix'!A1211</f>
        <v>1201</v>
      </c>
      <c r="B1202" s="14">
        <f>'[1]02. Matrix'!B1211</f>
        <v>2</v>
      </c>
      <c r="C1202" s="14" t="str">
        <f>'[1]02. Matrix'!C1211</f>
        <v>TOURISM SECTOR LOAN</v>
      </c>
      <c r="D1202" s="14">
        <f>'[1]02. Matrix'!D1211</f>
        <v>1</v>
      </c>
      <c r="E1202" s="15">
        <f>'[1]02. Matrix'!E1211</f>
        <v>0</v>
      </c>
      <c r="F1202" s="14" t="str">
        <f>_xlfn.XLOOKUP('01. Main'!$B1202,[1]Mapping!$D:$D,[1]Mapping!$A:$A,0,0)</f>
        <v>Ashoj 76</v>
      </c>
      <c r="G1202" s="16">
        <f>_xlfn.XLOOKUP('01. Main'!$B1202,[1]Mapping!D$2:D$24,[1]Mapping!E$2:E$24,0,0)</f>
        <v>2019</v>
      </c>
    </row>
    <row r="1203" spans="1:7" x14ac:dyDescent="0.45">
      <c r="A1203" s="17">
        <f>'[1]02. Matrix'!A1212</f>
        <v>1202</v>
      </c>
      <c r="B1203" s="18">
        <f>'[1]02. Matrix'!B1212</f>
        <v>2</v>
      </c>
      <c r="C1203" s="18" t="str">
        <f>'[1]02. Matrix'!C1212</f>
        <v>SME LOAN</v>
      </c>
      <c r="D1203" s="18">
        <f>'[1]02. Matrix'!D1212</f>
        <v>1</v>
      </c>
      <c r="E1203" s="19">
        <f>'[1]02. Matrix'!E1212</f>
        <v>0</v>
      </c>
      <c r="F1203" s="18" t="str">
        <f>_xlfn.XLOOKUP('01. Main'!$B1203,[1]Mapping!$D:$D,[1]Mapping!$A:$A,0,0)</f>
        <v>Ashoj 76</v>
      </c>
      <c r="G1203" s="20">
        <f>_xlfn.XLOOKUP('01. Main'!$B1203,[1]Mapping!D$2:D$24,[1]Mapping!E$2:E$24,0,0)</f>
        <v>2019</v>
      </c>
    </row>
    <row r="1204" spans="1:7" x14ac:dyDescent="0.45">
      <c r="A1204" s="13">
        <f>'[1]02. Matrix'!A1213</f>
        <v>1203</v>
      </c>
      <c r="B1204" s="14">
        <f>'[1]02. Matrix'!B1213</f>
        <v>2</v>
      </c>
      <c r="C1204" s="14" t="str">
        <f>'[1]02. Matrix'!C1213</f>
        <v>EDUCATIONAL LOAN EMI</v>
      </c>
      <c r="D1204" s="14">
        <f>'[1]02. Matrix'!D1213</f>
        <v>1</v>
      </c>
      <c r="E1204" s="15">
        <f>'[1]02. Matrix'!E1213</f>
        <v>0</v>
      </c>
      <c r="F1204" s="14" t="str">
        <f>_xlfn.XLOOKUP('01. Main'!$B1204,[1]Mapping!$D:$D,[1]Mapping!$A:$A,0,0)</f>
        <v>Ashoj 76</v>
      </c>
      <c r="G1204" s="16">
        <f>_xlfn.XLOOKUP('01. Main'!$B1204,[1]Mapping!D$2:D$24,[1]Mapping!E$2:E$24,0,0)</f>
        <v>2019</v>
      </c>
    </row>
    <row r="1205" spans="1:7" x14ac:dyDescent="0.45">
      <c r="A1205" s="17">
        <f>'[1]02. Matrix'!A1214</f>
        <v>1204</v>
      </c>
      <c r="B1205" s="18">
        <f>'[1]02. Matrix'!B1214</f>
        <v>2</v>
      </c>
      <c r="C1205" s="18" t="str">
        <f>'[1]02. Matrix'!C1214</f>
        <v>OVERDRAFT PROFESSION</v>
      </c>
      <c r="D1205" s="18">
        <f>'[1]02. Matrix'!D1214</f>
        <v>1</v>
      </c>
      <c r="E1205" s="19">
        <f>'[1]02. Matrix'!E1214</f>
        <v>0</v>
      </c>
      <c r="F1205" s="18" t="str">
        <f>_xlfn.XLOOKUP('01. Main'!$B1205,[1]Mapping!$D:$D,[1]Mapping!$A:$A,0,0)</f>
        <v>Ashoj 76</v>
      </c>
      <c r="G1205" s="20">
        <f>_xlfn.XLOOKUP('01. Main'!$B1205,[1]Mapping!D$2:D$24,[1]Mapping!E$2:E$24,0,0)</f>
        <v>2019</v>
      </c>
    </row>
    <row r="1206" spans="1:7" x14ac:dyDescent="0.45">
      <c r="A1206" s="13">
        <f>'[1]02. Matrix'!A1215</f>
        <v>1205</v>
      </c>
      <c r="B1206" s="14">
        <f>'[1]02. Matrix'!B1215</f>
        <v>2</v>
      </c>
      <c r="C1206" s="14" t="str">
        <f>'[1]02. Matrix'!C1215</f>
        <v>OD PERSONAL LOAN</v>
      </c>
      <c r="D1206" s="14">
        <f>'[1]02. Matrix'!D1215</f>
        <v>2</v>
      </c>
      <c r="E1206" s="15">
        <f>'[1]02. Matrix'!E1215</f>
        <v>0</v>
      </c>
      <c r="F1206" s="14" t="str">
        <f>_xlfn.XLOOKUP('01. Main'!$B1206,[1]Mapping!$D:$D,[1]Mapping!$A:$A,0,0)</f>
        <v>Ashoj 76</v>
      </c>
      <c r="G1206" s="16">
        <f>_xlfn.XLOOKUP('01. Main'!$B1206,[1]Mapping!D$2:D$24,[1]Mapping!E$2:E$24,0,0)</f>
        <v>2019</v>
      </c>
    </row>
    <row r="1207" spans="1:7" x14ac:dyDescent="0.45">
      <c r="A1207" s="17">
        <f>'[1]02. Matrix'!A1216</f>
        <v>1206</v>
      </c>
      <c r="B1207" s="18">
        <f>'[1]02. Matrix'!B1216</f>
        <v>2</v>
      </c>
      <c r="C1207" s="18" t="str">
        <f>'[1]02. Matrix'!C1216</f>
        <v>OD BUSINESS LOAN</v>
      </c>
      <c r="D1207" s="18">
        <f>'[1]02. Matrix'!D1216</f>
        <v>2</v>
      </c>
      <c r="E1207" s="19">
        <f>'[1]02. Matrix'!E1216</f>
        <v>0</v>
      </c>
      <c r="F1207" s="18" t="str">
        <f>_xlfn.XLOOKUP('01. Main'!$B1207,[1]Mapping!$D:$D,[1]Mapping!$A:$A,0,0)</f>
        <v>Ashoj 76</v>
      </c>
      <c r="G1207" s="20">
        <f>_xlfn.XLOOKUP('01. Main'!$B1207,[1]Mapping!D$2:D$24,[1]Mapping!E$2:E$24,0,0)</f>
        <v>2019</v>
      </c>
    </row>
    <row r="1208" spans="1:7" x14ac:dyDescent="0.45">
      <c r="A1208" s="13">
        <f>'[1]02. Matrix'!A1217</f>
        <v>1207</v>
      </c>
      <c r="B1208" s="14">
        <f>'[1]02. Matrix'!B1217</f>
        <v>2</v>
      </c>
      <c r="C1208" s="14" t="str">
        <f>'[1]02. Matrix'!C1217</f>
        <v>OD STAFF LOAN</v>
      </c>
      <c r="D1208" s="14">
        <f>'[1]02. Matrix'!D1217</f>
        <v>2</v>
      </c>
      <c r="E1208" s="15">
        <f>'[1]02. Matrix'!E1217</f>
        <v>0</v>
      </c>
      <c r="F1208" s="14" t="str">
        <f>_xlfn.XLOOKUP('01. Main'!$B1208,[1]Mapping!$D:$D,[1]Mapping!$A:$A,0,0)</f>
        <v>Ashoj 76</v>
      </c>
      <c r="G1208" s="16">
        <f>_xlfn.XLOOKUP('01. Main'!$B1208,[1]Mapping!D$2:D$24,[1]Mapping!E$2:E$24,0,0)</f>
        <v>2019</v>
      </c>
    </row>
    <row r="1209" spans="1:7" x14ac:dyDescent="0.45">
      <c r="A1209" s="17">
        <f>'[1]02. Matrix'!A1218</f>
        <v>1208</v>
      </c>
      <c r="B1209" s="18">
        <f>'[1]02. Matrix'!B1218</f>
        <v>2</v>
      </c>
      <c r="C1209" s="18" t="str">
        <f>'[1]02. Matrix'!C1218</f>
        <v>TERM LOAN</v>
      </c>
      <c r="D1209" s="18">
        <f>'[1]02. Matrix'!D1218</f>
        <v>2</v>
      </c>
      <c r="E1209" s="19">
        <f>'[1]02. Matrix'!E1218</f>
        <v>8.6867790610057449E-2</v>
      </c>
      <c r="F1209" s="18" t="str">
        <f>_xlfn.XLOOKUP('01. Main'!$B1209,[1]Mapping!$D:$D,[1]Mapping!$A:$A,0,0)</f>
        <v>Ashoj 76</v>
      </c>
      <c r="G1209" s="20">
        <f>_xlfn.XLOOKUP('01. Main'!$B1209,[1]Mapping!D$2:D$24,[1]Mapping!E$2:E$24,0,0)</f>
        <v>2019</v>
      </c>
    </row>
    <row r="1210" spans="1:7" x14ac:dyDescent="0.45">
      <c r="A1210" s="13">
        <f>'[1]02. Matrix'!A1219</f>
        <v>1209</v>
      </c>
      <c r="B1210" s="14">
        <f>'[1]02. Matrix'!B1219</f>
        <v>2</v>
      </c>
      <c r="C1210" s="14" t="str">
        <f>'[1]02. Matrix'!C1219</f>
        <v>WC TRADING/IND LOAN</v>
      </c>
      <c r="D1210" s="14">
        <f>'[1]02. Matrix'!D1219</f>
        <v>2</v>
      </c>
      <c r="E1210" s="15">
        <f>'[1]02. Matrix'!E1219</f>
        <v>0.12158941699327329</v>
      </c>
      <c r="F1210" s="14" t="str">
        <f>_xlfn.XLOOKUP('01. Main'!$B1210,[1]Mapping!$D:$D,[1]Mapping!$A:$A,0,0)</f>
        <v>Ashoj 76</v>
      </c>
      <c r="G1210" s="16">
        <f>_xlfn.XLOOKUP('01. Main'!$B1210,[1]Mapping!D$2:D$24,[1]Mapping!E$2:E$24,0,0)</f>
        <v>2019</v>
      </c>
    </row>
    <row r="1211" spans="1:7" x14ac:dyDescent="0.45">
      <c r="A1211" s="17">
        <f>'[1]02. Matrix'!A1220</f>
        <v>1210</v>
      </c>
      <c r="B1211" s="18">
        <f>'[1]02. Matrix'!B1220</f>
        <v>2</v>
      </c>
      <c r="C1211" s="18" t="str">
        <f>'[1]02. Matrix'!C1220</f>
        <v>HOUSING LOAN</v>
      </c>
      <c r="D1211" s="18">
        <f>'[1]02. Matrix'!D1220</f>
        <v>2</v>
      </c>
      <c r="E1211" s="19">
        <f>'[1]02. Matrix'!E1220</f>
        <v>0.43453210967394623</v>
      </c>
      <c r="F1211" s="18" t="str">
        <f>_xlfn.XLOOKUP('01. Main'!$B1211,[1]Mapping!$D:$D,[1]Mapping!$A:$A,0,0)</f>
        <v>Ashoj 76</v>
      </c>
      <c r="G1211" s="20">
        <f>_xlfn.XLOOKUP('01. Main'!$B1211,[1]Mapping!D$2:D$24,[1]Mapping!E$2:E$24,0,0)</f>
        <v>2019</v>
      </c>
    </row>
    <row r="1212" spans="1:7" x14ac:dyDescent="0.45">
      <c r="A1212" s="13">
        <f>'[1]02. Matrix'!A1221</f>
        <v>1211</v>
      </c>
      <c r="B1212" s="14">
        <f>'[1]02. Matrix'!B1221</f>
        <v>2</v>
      </c>
      <c r="C1212" s="14" t="str">
        <f>'[1]02. Matrix'!C1221</f>
        <v>RESI REAL EST LOAN</v>
      </c>
      <c r="D1212" s="14">
        <f>'[1]02. Matrix'!D1221</f>
        <v>2</v>
      </c>
      <c r="E1212" s="15">
        <f>'[1]02. Matrix'!E1221</f>
        <v>0.96497881521454287</v>
      </c>
      <c r="F1212" s="14" t="str">
        <f>_xlfn.XLOOKUP('01. Main'!$B1212,[1]Mapping!$D:$D,[1]Mapping!$A:$A,0,0)</f>
        <v>Ashoj 76</v>
      </c>
      <c r="G1212" s="16">
        <f>_xlfn.XLOOKUP('01. Main'!$B1212,[1]Mapping!D$2:D$24,[1]Mapping!E$2:E$24,0,0)</f>
        <v>2019</v>
      </c>
    </row>
    <row r="1213" spans="1:7" x14ac:dyDescent="0.45">
      <c r="A1213" s="17">
        <f>'[1]02. Matrix'!A1222</f>
        <v>1212</v>
      </c>
      <c r="B1213" s="18">
        <f>'[1]02. Matrix'!B1222</f>
        <v>2</v>
      </c>
      <c r="C1213" s="18" t="str">
        <f>'[1]02. Matrix'!C1222</f>
        <v>MARGIN NATURE LOAN</v>
      </c>
      <c r="D1213" s="18">
        <f>'[1]02. Matrix'!D1222</f>
        <v>2</v>
      </c>
      <c r="E1213" s="19">
        <f>'[1]02. Matrix'!E1222</f>
        <v>0</v>
      </c>
      <c r="F1213" s="18" t="str">
        <f>_xlfn.XLOOKUP('01. Main'!$B1213,[1]Mapping!$D:$D,[1]Mapping!$A:$A,0,0)</f>
        <v>Ashoj 76</v>
      </c>
      <c r="G1213" s="20">
        <f>_xlfn.XLOOKUP('01. Main'!$B1213,[1]Mapping!D$2:D$24,[1]Mapping!E$2:E$24,0,0)</f>
        <v>2019</v>
      </c>
    </row>
    <row r="1214" spans="1:7" x14ac:dyDescent="0.45">
      <c r="A1214" s="13">
        <f>'[1]02. Matrix'!A1223</f>
        <v>1213</v>
      </c>
      <c r="B1214" s="14">
        <f>'[1]02. Matrix'!B1223</f>
        <v>2</v>
      </c>
      <c r="C1214" s="14" t="str">
        <f>'[1]02. Matrix'!C1223</f>
        <v>HIRE PURCHASE LOAN</v>
      </c>
      <c r="D1214" s="14">
        <f>'[1]02. Matrix'!D1223</f>
        <v>2</v>
      </c>
      <c r="E1214" s="15">
        <f>'[1]02. Matrix'!E1223</f>
        <v>0.57071945360860055</v>
      </c>
      <c r="F1214" s="14" t="str">
        <f>_xlfn.XLOOKUP('01. Main'!$B1214,[1]Mapping!$D:$D,[1]Mapping!$A:$A,0,0)</f>
        <v>Ashoj 76</v>
      </c>
      <c r="G1214" s="16">
        <f>_xlfn.XLOOKUP('01. Main'!$B1214,[1]Mapping!D$2:D$24,[1]Mapping!E$2:E$24,0,0)</f>
        <v>2019</v>
      </c>
    </row>
    <row r="1215" spans="1:7" x14ac:dyDescent="0.45">
      <c r="A1215" s="17">
        <f>'[1]02. Matrix'!A1224</f>
        <v>1214</v>
      </c>
      <c r="B1215" s="18">
        <f>'[1]02. Matrix'!B1224</f>
        <v>2</v>
      </c>
      <c r="C1215" s="18" t="str">
        <f>'[1]02. Matrix'!C1224</f>
        <v>DEPRIVED SECTOR LOAN</v>
      </c>
      <c r="D1215" s="18">
        <f>'[1]02. Matrix'!D1224</f>
        <v>2</v>
      </c>
      <c r="E1215" s="19">
        <f>'[1]02. Matrix'!E1224</f>
        <v>8.0443879803218806E-5</v>
      </c>
      <c r="F1215" s="18" t="str">
        <f>_xlfn.XLOOKUP('01. Main'!$B1215,[1]Mapping!$D:$D,[1]Mapping!$A:$A,0,0)</f>
        <v>Ashoj 76</v>
      </c>
      <c r="G1215" s="20">
        <f>_xlfn.XLOOKUP('01. Main'!$B1215,[1]Mapping!D$2:D$24,[1]Mapping!E$2:E$24,0,0)</f>
        <v>2019</v>
      </c>
    </row>
    <row r="1216" spans="1:7" x14ac:dyDescent="0.45">
      <c r="A1216" s="13">
        <f>'[1]02. Matrix'!A1225</f>
        <v>1215</v>
      </c>
      <c r="B1216" s="14">
        <f>'[1]02. Matrix'!B1225</f>
        <v>2</v>
      </c>
      <c r="C1216" s="14" t="str">
        <f>'[1]02. Matrix'!C1225</f>
        <v>EDUCATIONAL LOAN</v>
      </c>
      <c r="D1216" s="14">
        <f>'[1]02. Matrix'!D1225</f>
        <v>2</v>
      </c>
      <c r="E1216" s="15">
        <f>'[1]02. Matrix'!E1225</f>
        <v>0.33628023982630956</v>
      </c>
      <c r="F1216" s="14" t="str">
        <f>_xlfn.XLOOKUP('01. Main'!$B1216,[1]Mapping!$D:$D,[1]Mapping!$A:$A,0,0)</f>
        <v>Ashoj 76</v>
      </c>
      <c r="G1216" s="16">
        <f>_xlfn.XLOOKUP('01. Main'!$B1216,[1]Mapping!D$2:D$24,[1]Mapping!E$2:E$24,0,0)</f>
        <v>2019</v>
      </c>
    </row>
    <row r="1217" spans="1:7" x14ac:dyDescent="0.45">
      <c r="A1217" s="17">
        <f>'[1]02. Matrix'!A1226</f>
        <v>1216</v>
      </c>
      <c r="B1217" s="18">
        <f>'[1]02. Matrix'!B1226</f>
        <v>2</v>
      </c>
      <c r="C1217" s="18" t="str">
        <f>'[1]02. Matrix'!C1226</f>
        <v>AGRICULTURE LOAN</v>
      </c>
      <c r="D1217" s="18">
        <f>'[1]02. Matrix'!D1226</f>
        <v>2</v>
      </c>
      <c r="E1217" s="19">
        <f>'[1]02. Matrix'!E1226</f>
        <v>0.5283551432546687</v>
      </c>
      <c r="F1217" s="18" t="str">
        <f>_xlfn.XLOOKUP('01. Main'!$B1217,[1]Mapping!$D:$D,[1]Mapping!$A:$A,0,0)</f>
        <v>Ashoj 76</v>
      </c>
      <c r="G1217" s="20">
        <f>_xlfn.XLOOKUP('01. Main'!$B1217,[1]Mapping!D$2:D$24,[1]Mapping!E$2:E$24,0,0)</f>
        <v>2019</v>
      </c>
    </row>
    <row r="1218" spans="1:7" x14ac:dyDescent="0.45">
      <c r="A1218" s="13">
        <f>'[1]02. Matrix'!A1227</f>
        <v>1217</v>
      </c>
      <c r="B1218" s="14">
        <f>'[1]02. Matrix'!B1227</f>
        <v>2</v>
      </c>
      <c r="C1218" s="14" t="str">
        <f>'[1]02. Matrix'!C1227</f>
        <v>RESI PER.HOME-EMI</v>
      </c>
      <c r="D1218" s="14">
        <f>'[1]02. Matrix'!D1227</f>
        <v>2</v>
      </c>
      <c r="E1218" s="15">
        <f>'[1]02. Matrix'!E1227</f>
        <v>0</v>
      </c>
      <c r="F1218" s="14" t="str">
        <f>_xlfn.XLOOKUP('01. Main'!$B1218,[1]Mapping!$D:$D,[1]Mapping!$A:$A,0,0)</f>
        <v>Ashoj 76</v>
      </c>
      <c r="G1218" s="16">
        <f>_xlfn.XLOOKUP('01. Main'!$B1218,[1]Mapping!D$2:D$24,[1]Mapping!E$2:E$24,0,0)</f>
        <v>2019</v>
      </c>
    </row>
    <row r="1219" spans="1:7" x14ac:dyDescent="0.45">
      <c r="A1219" s="17">
        <f>'[1]02. Matrix'!A1228</f>
        <v>1218</v>
      </c>
      <c r="B1219" s="18">
        <f>'[1]02. Matrix'!B1228</f>
        <v>2</v>
      </c>
      <c r="C1219" s="18" t="str">
        <f>'[1]02. Matrix'!C1228</f>
        <v>TERM LOAN - BUSINESS</v>
      </c>
      <c r="D1219" s="18">
        <f>'[1]02. Matrix'!D1228</f>
        <v>2</v>
      </c>
      <c r="E1219" s="19">
        <f>'[1]02. Matrix'!E1228</f>
        <v>0</v>
      </c>
      <c r="F1219" s="18" t="str">
        <f>_xlfn.XLOOKUP('01. Main'!$B1219,[1]Mapping!$D:$D,[1]Mapping!$A:$A,0,0)</f>
        <v>Ashoj 76</v>
      </c>
      <c r="G1219" s="20">
        <f>_xlfn.XLOOKUP('01. Main'!$B1219,[1]Mapping!D$2:D$24,[1]Mapping!E$2:E$24,0,0)</f>
        <v>2019</v>
      </c>
    </row>
    <row r="1220" spans="1:7" x14ac:dyDescent="0.45">
      <c r="A1220" s="13">
        <f>'[1]02. Matrix'!A1229</f>
        <v>1219</v>
      </c>
      <c r="B1220" s="14">
        <f>'[1]02. Matrix'!B1229</f>
        <v>2</v>
      </c>
      <c r="C1220" s="14" t="str">
        <f>'[1]02. Matrix'!C1229</f>
        <v>CONS FIN BUSN TRM LO</v>
      </c>
      <c r="D1220" s="14">
        <f>'[1]02. Matrix'!D1229</f>
        <v>2</v>
      </c>
      <c r="E1220" s="15">
        <f>'[1]02. Matrix'!E1229</f>
        <v>0</v>
      </c>
      <c r="F1220" s="14" t="str">
        <f>_xlfn.XLOOKUP('01. Main'!$B1220,[1]Mapping!$D:$D,[1]Mapping!$A:$A,0,0)</f>
        <v>Ashoj 76</v>
      </c>
      <c r="G1220" s="16">
        <f>_xlfn.XLOOKUP('01. Main'!$B1220,[1]Mapping!D$2:D$24,[1]Mapping!E$2:E$24,0,0)</f>
        <v>2019</v>
      </c>
    </row>
    <row r="1221" spans="1:7" x14ac:dyDescent="0.45">
      <c r="A1221" s="17">
        <f>'[1]02. Matrix'!A1230</f>
        <v>1220</v>
      </c>
      <c r="B1221" s="18">
        <f>'[1]02. Matrix'!B1230</f>
        <v>2</v>
      </c>
      <c r="C1221" s="18" t="str">
        <f>'[1]02. Matrix'!C1230</f>
        <v>BIS/PERHIRE PURCHASE</v>
      </c>
      <c r="D1221" s="18">
        <f>'[1]02. Matrix'!D1230</f>
        <v>2</v>
      </c>
      <c r="E1221" s="19">
        <f>'[1]02. Matrix'!E1230</f>
        <v>0</v>
      </c>
      <c r="F1221" s="18" t="str">
        <f>_xlfn.XLOOKUP('01. Main'!$B1221,[1]Mapping!$D:$D,[1]Mapping!$A:$A,0,0)</f>
        <v>Ashoj 76</v>
      </c>
      <c r="G1221" s="20">
        <f>_xlfn.XLOOKUP('01. Main'!$B1221,[1]Mapping!D$2:D$24,[1]Mapping!E$2:E$24,0,0)</f>
        <v>2019</v>
      </c>
    </row>
    <row r="1222" spans="1:7" x14ac:dyDescent="0.45">
      <c r="A1222" s="13">
        <f>'[1]02. Matrix'!A1231</f>
        <v>1221</v>
      </c>
      <c r="B1222" s="14">
        <f>'[1]02. Matrix'!B1231</f>
        <v>2</v>
      </c>
      <c r="C1222" s="14" t="str">
        <f>'[1]02. Matrix'!C1231</f>
        <v xml:space="preserve">INT CAP TERM LOAN </v>
      </c>
      <c r="D1222" s="14">
        <f>'[1]02. Matrix'!D1231</f>
        <v>2</v>
      </c>
      <c r="E1222" s="15">
        <f>'[1]02. Matrix'!E1231</f>
        <v>0</v>
      </c>
      <c r="F1222" s="14" t="str">
        <f>_xlfn.XLOOKUP('01. Main'!$B1222,[1]Mapping!$D:$D,[1]Mapping!$A:$A,0,0)</f>
        <v>Ashoj 76</v>
      </c>
      <c r="G1222" s="16">
        <f>_xlfn.XLOOKUP('01. Main'!$B1222,[1]Mapping!D$2:D$24,[1]Mapping!E$2:E$24,0,0)</f>
        <v>2019</v>
      </c>
    </row>
    <row r="1223" spans="1:7" x14ac:dyDescent="0.45">
      <c r="A1223" s="17">
        <f>'[1]02. Matrix'!A1232</f>
        <v>1222</v>
      </c>
      <c r="B1223" s="18">
        <f>'[1]02. Matrix'!B1232</f>
        <v>2</v>
      </c>
      <c r="C1223" s="18" t="str">
        <f>'[1]02. Matrix'!C1232</f>
        <v>PERSONAL LOAN</v>
      </c>
      <c r="D1223" s="18">
        <f>'[1]02. Matrix'!D1232</f>
        <v>2</v>
      </c>
      <c r="E1223" s="19">
        <f>'[1]02. Matrix'!E1232</f>
        <v>0.17400665754775721</v>
      </c>
      <c r="F1223" s="18" t="str">
        <f>_xlfn.XLOOKUP('01. Main'!$B1223,[1]Mapping!$D:$D,[1]Mapping!$A:$A,0,0)</f>
        <v>Ashoj 76</v>
      </c>
      <c r="G1223" s="20">
        <f>_xlfn.XLOOKUP('01. Main'!$B1223,[1]Mapping!D$2:D$24,[1]Mapping!E$2:E$24,0,0)</f>
        <v>2019</v>
      </c>
    </row>
    <row r="1224" spans="1:7" x14ac:dyDescent="0.45">
      <c r="A1224" s="13">
        <f>'[1]02. Matrix'!A1233</f>
        <v>1223</v>
      </c>
      <c r="B1224" s="14">
        <f>'[1]02. Matrix'!B1233</f>
        <v>2</v>
      </c>
      <c r="C1224" s="14" t="str">
        <f>'[1]02. Matrix'!C1233</f>
        <v>MORTGAGE LOAN</v>
      </c>
      <c r="D1224" s="14">
        <f>'[1]02. Matrix'!D1233</f>
        <v>2</v>
      </c>
      <c r="E1224" s="15">
        <f>'[1]02. Matrix'!E1233</f>
        <v>0</v>
      </c>
      <c r="F1224" s="14" t="str">
        <f>_xlfn.XLOOKUP('01. Main'!$B1224,[1]Mapping!$D:$D,[1]Mapping!$A:$A,0,0)</f>
        <v>Ashoj 76</v>
      </c>
      <c r="G1224" s="16">
        <f>_xlfn.XLOOKUP('01. Main'!$B1224,[1]Mapping!D$2:D$24,[1]Mapping!E$2:E$24,0,0)</f>
        <v>2019</v>
      </c>
    </row>
    <row r="1225" spans="1:7" x14ac:dyDescent="0.45">
      <c r="A1225" s="17">
        <f>'[1]02. Matrix'!A1234</f>
        <v>1224</v>
      </c>
      <c r="B1225" s="18">
        <f>'[1]02. Matrix'!B1234</f>
        <v>2</v>
      </c>
      <c r="C1225" s="18" t="str">
        <f>'[1]02. Matrix'!C1234</f>
        <v>LOAN AGAINST FDR</v>
      </c>
      <c r="D1225" s="18">
        <f>'[1]02. Matrix'!D1234</f>
        <v>2</v>
      </c>
      <c r="E1225" s="19">
        <f>'[1]02. Matrix'!E1234</f>
        <v>0</v>
      </c>
      <c r="F1225" s="18" t="str">
        <f>_xlfn.XLOOKUP('01. Main'!$B1225,[1]Mapping!$D:$D,[1]Mapping!$A:$A,0,0)</f>
        <v>Ashoj 76</v>
      </c>
      <c r="G1225" s="20">
        <f>_xlfn.XLOOKUP('01. Main'!$B1225,[1]Mapping!D$2:D$24,[1]Mapping!E$2:E$24,0,0)</f>
        <v>2019</v>
      </c>
    </row>
    <row r="1226" spans="1:7" x14ac:dyDescent="0.45">
      <c r="A1226" s="13">
        <f>'[1]02. Matrix'!A1235</f>
        <v>1225</v>
      </c>
      <c r="B1226" s="14">
        <f>'[1]02. Matrix'!B1235</f>
        <v>2</v>
      </c>
      <c r="C1226" s="14" t="str">
        <f>'[1]02. Matrix'!C1235</f>
        <v>RECEIVABLE LOAN</v>
      </c>
      <c r="D1226" s="14">
        <f>'[1]02. Matrix'!D1235</f>
        <v>2</v>
      </c>
      <c r="E1226" s="15">
        <f>'[1]02. Matrix'!E1235</f>
        <v>0</v>
      </c>
      <c r="F1226" s="14" t="str">
        <f>_xlfn.XLOOKUP('01. Main'!$B1226,[1]Mapping!$D:$D,[1]Mapping!$A:$A,0,0)</f>
        <v>Ashoj 76</v>
      </c>
      <c r="G1226" s="16">
        <f>_xlfn.XLOOKUP('01. Main'!$B1226,[1]Mapping!D$2:D$24,[1]Mapping!E$2:E$24,0,0)</f>
        <v>2019</v>
      </c>
    </row>
    <row r="1227" spans="1:7" x14ac:dyDescent="0.45">
      <c r="A1227" s="17">
        <f>'[1]02. Matrix'!A1236</f>
        <v>1226</v>
      </c>
      <c r="B1227" s="18">
        <f>'[1]02. Matrix'!B1236</f>
        <v>2</v>
      </c>
      <c r="C1227" s="18" t="str">
        <f>'[1]02. Matrix'!C1236</f>
        <v>STAFF LOAN</v>
      </c>
      <c r="D1227" s="18">
        <f>'[1]02. Matrix'!D1236</f>
        <v>2</v>
      </c>
      <c r="E1227" s="19">
        <f>'[1]02. Matrix'!E1236</f>
        <v>0</v>
      </c>
      <c r="F1227" s="18" t="str">
        <f>_xlfn.XLOOKUP('01. Main'!$B1227,[1]Mapping!$D:$D,[1]Mapping!$A:$A,0,0)</f>
        <v>Ashoj 76</v>
      </c>
      <c r="G1227" s="20">
        <f>_xlfn.XLOOKUP('01. Main'!$B1227,[1]Mapping!D$2:D$24,[1]Mapping!E$2:E$24,0,0)</f>
        <v>2019</v>
      </c>
    </row>
    <row r="1228" spans="1:7" x14ac:dyDescent="0.45">
      <c r="A1228" s="13">
        <f>'[1]02. Matrix'!A1237</f>
        <v>1227</v>
      </c>
      <c r="B1228" s="14">
        <f>'[1]02. Matrix'!B1237</f>
        <v>2</v>
      </c>
      <c r="C1228" s="14" t="str">
        <f>'[1]02. Matrix'!C1237</f>
        <v>AGRICULTURAL LOAN</v>
      </c>
      <c r="D1228" s="14">
        <f>'[1]02. Matrix'!D1237</f>
        <v>2</v>
      </c>
      <c r="E1228" s="15">
        <f>'[1]02. Matrix'!E1237</f>
        <v>0</v>
      </c>
      <c r="F1228" s="14" t="str">
        <f>_xlfn.XLOOKUP('01. Main'!$B1228,[1]Mapping!$D:$D,[1]Mapping!$A:$A,0,0)</f>
        <v>Ashoj 76</v>
      </c>
      <c r="G1228" s="16">
        <f>_xlfn.XLOOKUP('01. Main'!$B1228,[1]Mapping!D$2:D$24,[1]Mapping!E$2:E$24,0,0)</f>
        <v>2019</v>
      </c>
    </row>
    <row r="1229" spans="1:7" x14ac:dyDescent="0.45">
      <c r="A1229" s="17">
        <f>'[1]02. Matrix'!A1238</f>
        <v>1228</v>
      </c>
      <c r="B1229" s="18">
        <f>'[1]02. Matrix'!B1238</f>
        <v>2</v>
      </c>
      <c r="C1229" s="18" t="str">
        <f>'[1]02. Matrix'!C1238</f>
        <v>EARTHQUAKE RELIEF LO</v>
      </c>
      <c r="D1229" s="18">
        <f>'[1]02. Matrix'!D1238</f>
        <v>2</v>
      </c>
      <c r="E1229" s="19">
        <f>'[1]02. Matrix'!E1238</f>
        <v>0</v>
      </c>
      <c r="F1229" s="18" t="str">
        <f>_xlfn.XLOOKUP('01. Main'!$B1229,[1]Mapping!$D:$D,[1]Mapping!$A:$A,0,0)</f>
        <v>Ashoj 76</v>
      </c>
      <c r="G1229" s="20">
        <f>_xlfn.XLOOKUP('01. Main'!$B1229,[1]Mapping!D$2:D$24,[1]Mapping!E$2:E$24,0,0)</f>
        <v>2019</v>
      </c>
    </row>
    <row r="1230" spans="1:7" x14ac:dyDescent="0.45">
      <c r="A1230" s="13">
        <f>'[1]02. Matrix'!A1239</f>
        <v>1229</v>
      </c>
      <c r="B1230" s="14">
        <f>'[1]02. Matrix'!B1239</f>
        <v>2</v>
      </c>
      <c r="C1230" s="14" t="str">
        <f>'[1]02. Matrix'!C1239</f>
        <v>TOURISM SECTOR LOAN</v>
      </c>
      <c r="D1230" s="14">
        <f>'[1]02. Matrix'!D1239</f>
        <v>2</v>
      </c>
      <c r="E1230" s="15">
        <f>'[1]02. Matrix'!E1239</f>
        <v>0</v>
      </c>
      <c r="F1230" s="14" t="str">
        <f>_xlfn.XLOOKUP('01. Main'!$B1230,[1]Mapping!$D:$D,[1]Mapping!$A:$A,0,0)</f>
        <v>Ashoj 76</v>
      </c>
      <c r="G1230" s="16">
        <f>_xlfn.XLOOKUP('01. Main'!$B1230,[1]Mapping!D$2:D$24,[1]Mapping!E$2:E$24,0,0)</f>
        <v>2019</v>
      </c>
    </row>
    <row r="1231" spans="1:7" x14ac:dyDescent="0.45">
      <c r="A1231" s="17">
        <f>'[1]02. Matrix'!A1240</f>
        <v>1230</v>
      </c>
      <c r="B1231" s="18">
        <f>'[1]02. Matrix'!B1240</f>
        <v>2</v>
      </c>
      <c r="C1231" s="18" t="str">
        <f>'[1]02. Matrix'!C1240</f>
        <v>SME LOAN</v>
      </c>
      <c r="D1231" s="18">
        <f>'[1]02. Matrix'!D1240</f>
        <v>2</v>
      </c>
      <c r="E1231" s="19">
        <f>'[1]02. Matrix'!E1240</f>
        <v>0</v>
      </c>
      <c r="F1231" s="18" t="str">
        <f>_xlfn.XLOOKUP('01. Main'!$B1231,[1]Mapping!$D:$D,[1]Mapping!$A:$A,0,0)</f>
        <v>Ashoj 76</v>
      </c>
      <c r="G1231" s="20">
        <f>_xlfn.XLOOKUP('01. Main'!$B1231,[1]Mapping!D$2:D$24,[1]Mapping!E$2:E$24,0,0)</f>
        <v>2019</v>
      </c>
    </row>
    <row r="1232" spans="1:7" x14ac:dyDescent="0.45">
      <c r="A1232" s="13">
        <f>'[1]02. Matrix'!A1241</f>
        <v>1231</v>
      </c>
      <c r="B1232" s="14">
        <f>'[1]02. Matrix'!B1241</f>
        <v>2</v>
      </c>
      <c r="C1232" s="14" t="str">
        <f>'[1]02. Matrix'!C1241</f>
        <v>EDUCATIONAL LOAN EMI</v>
      </c>
      <c r="D1232" s="14">
        <f>'[1]02. Matrix'!D1241</f>
        <v>2</v>
      </c>
      <c r="E1232" s="15">
        <f>'[1]02. Matrix'!E1241</f>
        <v>0</v>
      </c>
      <c r="F1232" s="14" t="str">
        <f>_xlfn.XLOOKUP('01. Main'!$B1232,[1]Mapping!$D:$D,[1]Mapping!$A:$A,0,0)</f>
        <v>Ashoj 76</v>
      </c>
      <c r="G1232" s="16">
        <f>_xlfn.XLOOKUP('01. Main'!$B1232,[1]Mapping!D$2:D$24,[1]Mapping!E$2:E$24,0,0)</f>
        <v>2019</v>
      </c>
    </row>
    <row r="1233" spans="1:7" x14ac:dyDescent="0.45">
      <c r="A1233" s="17">
        <f>'[1]02. Matrix'!A1242</f>
        <v>1232</v>
      </c>
      <c r="B1233" s="18">
        <f>'[1]02. Matrix'!B1242</f>
        <v>2</v>
      </c>
      <c r="C1233" s="18" t="str">
        <f>'[1]02. Matrix'!C1242</f>
        <v>OVERDRAFT PROFESSION</v>
      </c>
      <c r="D1233" s="18">
        <f>'[1]02. Matrix'!D1242</f>
        <v>2</v>
      </c>
      <c r="E1233" s="19">
        <f>'[1]02. Matrix'!E1242</f>
        <v>0</v>
      </c>
      <c r="F1233" s="18" t="str">
        <f>_xlfn.XLOOKUP('01. Main'!$B1233,[1]Mapping!$D:$D,[1]Mapping!$A:$A,0,0)</f>
        <v>Ashoj 76</v>
      </c>
      <c r="G1233" s="20">
        <f>_xlfn.XLOOKUP('01. Main'!$B1233,[1]Mapping!D$2:D$24,[1]Mapping!E$2:E$24,0,0)</f>
        <v>2019</v>
      </c>
    </row>
    <row r="1234" spans="1:7" x14ac:dyDescent="0.45">
      <c r="A1234" s="13">
        <f>'[1]02. Matrix'!A1243</f>
        <v>1233</v>
      </c>
      <c r="B1234" s="14">
        <f>'[1]02. Matrix'!B1243</f>
        <v>1</v>
      </c>
      <c r="C1234" s="14" t="str">
        <f>'[1]02. Matrix'!C1243</f>
        <v>OD PERSONAL LOAN</v>
      </c>
      <c r="D1234" s="14">
        <f>'[1]02. Matrix'!D1243</f>
        <v>1</v>
      </c>
      <c r="E1234" s="15">
        <f>'[1]02. Matrix'!E1243</f>
        <v>0</v>
      </c>
      <c r="F1234" s="14" t="str">
        <f>_xlfn.XLOOKUP('01. Main'!$B1234,[1]Mapping!$D:$D,[1]Mapping!$A:$A,0,0)</f>
        <v>Asadh 76</v>
      </c>
      <c r="G1234" s="16">
        <f>_xlfn.XLOOKUP('01. Main'!$B1234,[1]Mapping!D$2:D$24,[1]Mapping!E$2:E$24,0,0)</f>
        <v>2019</v>
      </c>
    </row>
    <row r="1235" spans="1:7" x14ac:dyDescent="0.45">
      <c r="A1235" s="17">
        <f>'[1]02. Matrix'!A1244</f>
        <v>1234</v>
      </c>
      <c r="B1235" s="18">
        <f>'[1]02. Matrix'!B1244</f>
        <v>1</v>
      </c>
      <c r="C1235" s="18" t="str">
        <f>'[1]02. Matrix'!C1244</f>
        <v>OD BUSINESS LOAN</v>
      </c>
      <c r="D1235" s="18">
        <f>'[1]02. Matrix'!D1244</f>
        <v>1</v>
      </c>
      <c r="E1235" s="19">
        <f>'[1]02. Matrix'!E1244</f>
        <v>0</v>
      </c>
      <c r="F1235" s="18" t="str">
        <f>_xlfn.XLOOKUP('01. Main'!$B1235,[1]Mapping!$D:$D,[1]Mapping!$A:$A,0,0)</f>
        <v>Asadh 76</v>
      </c>
      <c r="G1235" s="20">
        <f>_xlfn.XLOOKUP('01. Main'!$B1235,[1]Mapping!D$2:D$24,[1]Mapping!E$2:E$24,0,0)</f>
        <v>2019</v>
      </c>
    </row>
    <row r="1236" spans="1:7" x14ac:dyDescent="0.45">
      <c r="A1236" s="13">
        <f>'[1]02. Matrix'!A1245</f>
        <v>1235</v>
      </c>
      <c r="B1236" s="14">
        <f>'[1]02. Matrix'!B1245</f>
        <v>1</v>
      </c>
      <c r="C1236" s="14" t="str">
        <f>'[1]02. Matrix'!C1245</f>
        <v>OD STAFF LOAN</v>
      </c>
      <c r="D1236" s="14">
        <f>'[1]02. Matrix'!D1245</f>
        <v>1</v>
      </c>
      <c r="E1236" s="15">
        <f>'[1]02. Matrix'!E1245</f>
        <v>0</v>
      </c>
      <c r="F1236" s="14" t="str">
        <f>_xlfn.XLOOKUP('01. Main'!$B1236,[1]Mapping!$D:$D,[1]Mapping!$A:$A,0,0)</f>
        <v>Asadh 76</v>
      </c>
      <c r="G1236" s="16">
        <f>_xlfn.XLOOKUP('01. Main'!$B1236,[1]Mapping!D$2:D$24,[1]Mapping!E$2:E$24,0,0)</f>
        <v>2019</v>
      </c>
    </row>
    <row r="1237" spans="1:7" x14ac:dyDescent="0.45">
      <c r="A1237" s="17">
        <f>'[1]02. Matrix'!A1246</f>
        <v>1236</v>
      </c>
      <c r="B1237" s="18">
        <f>'[1]02. Matrix'!B1246</f>
        <v>1</v>
      </c>
      <c r="C1237" s="18" t="str">
        <f>'[1]02. Matrix'!C1246</f>
        <v>TERM LOAN</v>
      </c>
      <c r="D1237" s="18">
        <f>'[1]02. Matrix'!D1246</f>
        <v>1</v>
      </c>
      <c r="E1237" s="19">
        <f>'[1]02. Matrix'!E1246</f>
        <v>0</v>
      </c>
      <c r="F1237" s="18" t="str">
        <f>_xlfn.XLOOKUP('01. Main'!$B1237,[1]Mapping!$D:$D,[1]Mapping!$A:$A,0,0)</f>
        <v>Asadh 76</v>
      </c>
      <c r="G1237" s="20">
        <f>_xlfn.XLOOKUP('01. Main'!$B1237,[1]Mapping!D$2:D$24,[1]Mapping!E$2:E$24,0,0)</f>
        <v>2019</v>
      </c>
    </row>
    <row r="1238" spans="1:7" x14ac:dyDescent="0.45">
      <c r="A1238" s="13">
        <f>'[1]02. Matrix'!A1247</f>
        <v>1237</v>
      </c>
      <c r="B1238" s="14">
        <f>'[1]02. Matrix'!B1247</f>
        <v>1</v>
      </c>
      <c r="C1238" s="14" t="str">
        <f>'[1]02. Matrix'!C1247</f>
        <v>WC TRADING/IND LOAN</v>
      </c>
      <c r="D1238" s="14">
        <f>'[1]02. Matrix'!D1247</f>
        <v>1</v>
      </c>
      <c r="E1238" s="15">
        <f>'[1]02. Matrix'!E1247</f>
        <v>0</v>
      </c>
      <c r="F1238" s="14" t="str">
        <f>_xlfn.XLOOKUP('01. Main'!$B1238,[1]Mapping!$D:$D,[1]Mapping!$A:$A,0,0)</f>
        <v>Asadh 76</v>
      </c>
      <c r="G1238" s="16">
        <f>_xlfn.XLOOKUP('01. Main'!$B1238,[1]Mapping!D$2:D$24,[1]Mapping!E$2:E$24,0,0)</f>
        <v>2019</v>
      </c>
    </row>
    <row r="1239" spans="1:7" x14ac:dyDescent="0.45">
      <c r="A1239" s="17">
        <f>'[1]02. Matrix'!A1248</f>
        <v>1238</v>
      </c>
      <c r="B1239" s="18">
        <f>'[1]02. Matrix'!B1248</f>
        <v>1</v>
      </c>
      <c r="C1239" s="18" t="str">
        <f>'[1]02. Matrix'!C1248</f>
        <v>HOUSING LOAN</v>
      </c>
      <c r="D1239" s="18">
        <f>'[1]02. Matrix'!D1248</f>
        <v>1</v>
      </c>
      <c r="E1239" s="19">
        <f>'[1]02. Matrix'!E1248</f>
        <v>0</v>
      </c>
      <c r="F1239" s="18" t="str">
        <f>_xlfn.XLOOKUP('01. Main'!$B1239,[1]Mapping!$D:$D,[1]Mapping!$A:$A,0,0)</f>
        <v>Asadh 76</v>
      </c>
      <c r="G1239" s="20">
        <f>_xlfn.XLOOKUP('01. Main'!$B1239,[1]Mapping!D$2:D$24,[1]Mapping!E$2:E$24,0,0)</f>
        <v>2019</v>
      </c>
    </row>
    <row r="1240" spans="1:7" x14ac:dyDescent="0.45">
      <c r="A1240" s="13">
        <f>'[1]02. Matrix'!A1249</f>
        <v>1239</v>
      </c>
      <c r="B1240" s="14">
        <f>'[1]02. Matrix'!B1249</f>
        <v>1</v>
      </c>
      <c r="C1240" s="14" t="str">
        <f>'[1]02. Matrix'!C1249</f>
        <v>RESI REAL EST LOAN</v>
      </c>
      <c r="D1240" s="14">
        <f>'[1]02. Matrix'!D1249</f>
        <v>1</v>
      </c>
      <c r="E1240" s="15">
        <f>'[1]02. Matrix'!E1249</f>
        <v>0</v>
      </c>
      <c r="F1240" s="14" t="str">
        <f>_xlfn.XLOOKUP('01. Main'!$B1240,[1]Mapping!$D:$D,[1]Mapping!$A:$A,0,0)</f>
        <v>Asadh 76</v>
      </c>
      <c r="G1240" s="16">
        <f>_xlfn.XLOOKUP('01. Main'!$B1240,[1]Mapping!D$2:D$24,[1]Mapping!E$2:E$24,0,0)</f>
        <v>2019</v>
      </c>
    </row>
    <row r="1241" spans="1:7" x14ac:dyDescent="0.45">
      <c r="A1241" s="17">
        <f>'[1]02. Matrix'!A1250</f>
        <v>1240</v>
      </c>
      <c r="B1241" s="18">
        <f>'[1]02. Matrix'!B1250</f>
        <v>1</v>
      </c>
      <c r="C1241" s="18" t="str">
        <f>'[1]02. Matrix'!C1250</f>
        <v>MARGIN NATURE LOAN</v>
      </c>
      <c r="D1241" s="18">
        <f>'[1]02. Matrix'!D1250</f>
        <v>1</v>
      </c>
      <c r="E1241" s="19">
        <f>'[1]02. Matrix'!E1250</f>
        <v>0</v>
      </c>
      <c r="F1241" s="18" t="str">
        <f>_xlfn.XLOOKUP('01. Main'!$B1241,[1]Mapping!$D:$D,[1]Mapping!$A:$A,0,0)</f>
        <v>Asadh 76</v>
      </c>
      <c r="G1241" s="20">
        <f>_xlfn.XLOOKUP('01. Main'!$B1241,[1]Mapping!D$2:D$24,[1]Mapping!E$2:E$24,0,0)</f>
        <v>2019</v>
      </c>
    </row>
    <row r="1242" spans="1:7" x14ac:dyDescent="0.45">
      <c r="A1242" s="13">
        <f>'[1]02. Matrix'!A1251</f>
        <v>1241</v>
      </c>
      <c r="B1242" s="14">
        <f>'[1]02. Matrix'!B1251</f>
        <v>1</v>
      </c>
      <c r="C1242" s="14" t="str">
        <f>'[1]02. Matrix'!C1251</f>
        <v>HIRE PURCHASE LOAN</v>
      </c>
      <c r="D1242" s="14">
        <f>'[1]02. Matrix'!D1251</f>
        <v>1</v>
      </c>
      <c r="E1242" s="15">
        <f>'[1]02. Matrix'!E1251</f>
        <v>0</v>
      </c>
      <c r="F1242" s="14" t="str">
        <f>_xlfn.XLOOKUP('01. Main'!$B1242,[1]Mapping!$D:$D,[1]Mapping!$A:$A,0,0)</f>
        <v>Asadh 76</v>
      </c>
      <c r="G1242" s="16">
        <f>_xlfn.XLOOKUP('01. Main'!$B1242,[1]Mapping!D$2:D$24,[1]Mapping!E$2:E$24,0,0)</f>
        <v>2019</v>
      </c>
    </row>
    <row r="1243" spans="1:7" x14ac:dyDescent="0.45">
      <c r="A1243" s="17">
        <f>'[1]02. Matrix'!A1252</f>
        <v>1242</v>
      </c>
      <c r="B1243" s="18">
        <f>'[1]02. Matrix'!B1252</f>
        <v>1</v>
      </c>
      <c r="C1243" s="18" t="str">
        <f>'[1]02. Matrix'!C1252</f>
        <v>DEPRIVED SECTOR LOAN</v>
      </c>
      <c r="D1243" s="18">
        <f>'[1]02. Matrix'!D1252</f>
        <v>1</v>
      </c>
      <c r="E1243" s="19">
        <f>'[1]02. Matrix'!E1252</f>
        <v>0</v>
      </c>
      <c r="F1243" s="18" t="str">
        <f>_xlfn.XLOOKUP('01. Main'!$B1243,[1]Mapping!$D:$D,[1]Mapping!$A:$A,0,0)</f>
        <v>Asadh 76</v>
      </c>
      <c r="G1243" s="20">
        <f>_xlfn.XLOOKUP('01. Main'!$B1243,[1]Mapping!D$2:D$24,[1]Mapping!E$2:E$24,0,0)</f>
        <v>2019</v>
      </c>
    </row>
    <row r="1244" spans="1:7" x14ac:dyDescent="0.45">
      <c r="A1244" s="13">
        <f>'[1]02. Matrix'!A1253</f>
        <v>1243</v>
      </c>
      <c r="B1244" s="14">
        <f>'[1]02. Matrix'!B1253</f>
        <v>1</v>
      </c>
      <c r="C1244" s="14" t="str">
        <f>'[1]02. Matrix'!C1253</f>
        <v>EDUCATIONAL LOAN</v>
      </c>
      <c r="D1244" s="14">
        <f>'[1]02. Matrix'!D1253</f>
        <v>1</v>
      </c>
      <c r="E1244" s="15">
        <f>'[1]02. Matrix'!E1253</f>
        <v>0</v>
      </c>
      <c r="F1244" s="14" t="str">
        <f>_xlfn.XLOOKUP('01. Main'!$B1244,[1]Mapping!$D:$D,[1]Mapping!$A:$A,0,0)</f>
        <v>Asadh 76</v>
      </c>
      <c r="G1244" s="16">
        <f>_xlfn.XLOOKUP('01. Main'!$B1244,[1]Mapping!D$2:D$24,[1]Mapping!E$2:E$24,0,0)</f>
        <v>2019</v>
      </c>
    </row>
    <row r="1245" spans="1:7" x14ac:dyDescent="0.45">
      <c r="A1245" s="17">
        <f>'[1]02. Matrix'!A1254</f>
        <v>1244</v>
      </c>
      <c r="B1245" s="18">
        <f>'[1]02. Matrix'!B1254</f>
        <v>1</v>
      </c>
      <c r="C1245" s="18" t="str">
        <f>'[1]02. Matrix'!C1254</f>
        <v>AGRICULTURE LOAN</v>
      </c>
      <c r="D1245" s="18">
        <f>'[1]02. Matrix'!D1254</f>
        <v>1</v>
      </c>
      <c r="E1245" s="19">
        <f>'[1]02. Matrix'!E1254</f>
        <v>0</v>
      </c>
      <c r="F1245" s="18" t="str">
        <f>_xlfn.XLOOKUP('01. Main'!$B1245,[1]Mapping!$D:$D,[1]Mapping!$A:$A,0,0)</f>
        <v>Asadh 76</v>
      </c>
      <c r="G1245" s="20">
        <f>_xlfn.XLOOKUP('01. Main'!$B1245,[1]Mapping!D$2:D$24,[1]Mapping!E$2:E$24,0,0)</f>
        <v>2019</v>
      </c>
    </row>
    <row r="1246" spans="1:7" x14ac:dyDescent="0.45">
      <c r="A1246" s="13">
        <f>'[1]02. Matrix'!A1255</f>
        <v>1245</v>
      </c>
      <c r="B1246" s="14">
        <f>'[1]02. Matrix'!B1255</f>
        <v>1</v>
      </c>
      <c r="C1246" s="14" t="str">
        <f>'[1]02. Matrix'!C1255</f>
        <v>RESI PER.HOME-EMI</v>
      </c>
      <c r="D1246" s="14">
        <f>'[1]02. Matrix'!D1255</f>
        <v>1</v>
      </c>
      <c r="E1246" s="15">
        <f>'[1]02. Matrix'!E1255</f>
        <v>0</v>
      </c>
      <c r="F1246" s="14" t="str">
        <f>_xlfn.XLOOKUP('01. Main'!$B1246,[1]Mapping!$D:$D,[1]Mapping!$A:$A,0,0)</f>
        <v>Asadh 76</v>
      </c>
      <c r="G1246" s="16">
        <f>_xlfn.XLOOKUP('01. Main'!$B1246,[1]Mapping!D$2:D$24,[1]Mapping!E$2:E$24,0,0)</f>
        <v>2019</v>
      </c>
    </row>
    <row r="1247" spans="1:7" x14ac:dyDescent="0.45">
      <c r="A1247" s="17">
        <f>'[1]02. Matrix'!A1256</f>
        <v>1246</v>
      </c>
      <c r="B1247" s="18">
        <f>'[1]02. Matrix'!B1256</f>
        <v>1</v>
      </c>
      <c r="C1247" s="18" t="str">
        <f>'[1]02. Matrix'!C1256</f>
        <v>TERM LOAN - BUSINESS</v>
      </c>
      <c r="D1247" s="18">
        <f>'[1]02. Matrix'!D1256</f>
        <v>1</v>
      </c>
      <c r="E1247" s="19">
        <f>'[1]02. Matrix'!E1256</f>
        <v>0</v>
      </c>
      <c r="F1247" s="18" t="str">
        <f>_xlfn.XLOOKUP('01. Main'!$B1247,[1]Mapping!$D:$D,[1]Mapping!$A:$A,0,0)</f>
        <v>Asadh 76</v>
      </c>
      <c r="G1247" s="20">
        <f>_xlfn.XLOOKUP('01. Main'!$B1247,[1]Mapping!D$2:D$24,[1]Mapping!E$2:E$24,0,0)</f>
        <v>2019</v>
      </c>
    </row>
    <row r="1248" spans="1:7" x14ac:dyDescent="0.45">
      <c r="A1248" s="13">
        <f>'[1]02. Matrix'!A1257</f>
        <v>1247</v>
      </c>
      <c r="B1248" s="14">
        <f>'[1]02. Matrix'!B1257</f>
        <v>1</v>
      </c>
      <c r="C1248" s="14" t="str">
        <f>'[1]02. Matrix'!C1257</f>
        <v>CONS FIN BUSN TRM LO</v>
      </c>
      <c r="D1248" s="14">
        <f>'[1]02. Matrix'!D1257</f>
        <v>1</v>
      </c>
      <c r="E1248" s="15">
        <f>'[1]02. Matrix'!E1257</f>
        <v>0</v>
      </c>
      <c r="F1248" s="14" t="str">
        <f>_xlfn.XLOOKUP('01. Main'!$B1248,[1]Mapping!$D:$D,[1]Mapping!$A:$A,0,0)</f>
        <v>Asadh 76</v>
      </c>
      <c r="G1248" s="16">
        <f>_xlfn.XLOOKUP('01. Main'!$B1248,[1]Mapping!D$2:D$24,[1]Mapping!E$2:E$24,0,0)</f>
        <v>2019</v>
      </c>
    </row>
    <row r="1249" spans="1:7" x14ac:dyDescent="0.45">
      <c r="A1249" s="17">
        <f>'[1]02. Matrix'!A1258</f>
        <v>1248</v>
      </c>
      <c r="B1249" s="18">
        <f>'[1]02. Matrix'!B1258</f>
        <v>1</v>
      </c>
      <c r="C1249" s="18" t="str">
        <f>'[1]02. Matrix'!C1258</f>
        <v>BIS/PERHIRE PURCHASE</v>
      </c>
      <c r="D1249" s="18">
        <f>'[1]02. Matrix'!D1258</f>
        <v>1</v>
      </c>
      <c r="E1249" s="19">
        <f>'[1]02. Matrix'!E1258</f>
        <v>0</v>
      </c>
      <c r="F1249" s="18" t="str">
        <f>_xlfn.XLOOKUP('01. Main'!$B1249,[1]Mapping!$D:$D,[1]Mapping!$A:$A,0,0)</f>
        <v>Asadh 76</v>
      </c>
      <c r="G1249" s="20">
        <f>_xlfn.XLOOKUP('01. Main'!$B1249,[1]Mapping!D$2:D$24,[1]Mapping!E$2:E$24,0,0)</f>
        <v>2019</v>
      </c>
    </row>
    <row r="1250" spans="1:7" x14ac:dyDescent="0.45">
      <c r="A1250" s="13">
        <f>'[1]02. Matrix'!A1259</f>
        <v>1249</v>
      </c>
      <c r="B1250" s="14">
        <f>'[1]02. Matrix'!B1259</f>
        <v>1</v>
      </c>
      <c r="C1250" s="14" t="str">
        <f>'[1]02. Matrix'!C1259</f>
        <v xml:space="preserve">INT CAP TERM LOAN </v>
      </c>
      <c r="D1250" s="14">
        <f>'[1]02. Matrix'!D1259</f>
        <v>1</v>
      </c>
      <c r="E1250" s="15">
        <f>'[1]02. Matrix'!E1259</f>
        <v>0</v>
      </c>
      <c r="F1250" s="14" t="str">
        <f>_xlfn.XLOOKUP('01. Main'!$B1250,[1]Mapping!$D:$D,[1]Mapping!$A:$A,0,0)</f>
        <v>Asadh 76</v>
      </c>
      <c r="G1250" s="16">
        <f>_xlfn.XLOOKUP('01. Main'!$B1250,[1]Mapping!D$2:D$24,[1]Mapping!E$2:E$24,0,0)</f>
        <v>2019</v>
      </c>
    </row>
    <row r="1251" spans="1:7" x14ac:dyDescent="0.45">
      <c r="A1251" s="17">
        <f>'[1]02. Matrix'!A1260</f>
        <v>1250</v>
      </c>
      <c r="B1251" s="18">
        <f>'[1]02. Matrix'!B1260</f>
        <v>1</v>
      </c>
      <c r="C1251" s="18" t="str">
        <f>'[1]02. Matrix'!C1260</f>
        <v>PERSONAL LOAN</v>
      </c>
      <c r="D1251" s="18">
        <f>'[1]02. Matrix'!D1260</f>
        <v>1</v>
      </c>
      <c r="E1251" s="19">
        <f>'[1]02. Matrix'!E1260</f>
        <v>0</v>
      </c>
      <c r="F1251" s="18" t="str">
        <f>_xlfn.XLOOKUP('01. Main'!$B1251,[1]Mapping!$D:$D,[1]Mapping!$A:$A,0,0)</f>
        <v>Asadh 76</v>
      </c>
      <c r="G1251" s="20">
        <f>_xlfn.XLOOKUP('01. Main'!$B1251,[1]Mapping!D$2:D$24,[1]Mapping!E$2:E$24,0,0)</f>
        <v>2019</v>
      </c>
    </row>
    <row r="1252" spans="1:7" x14ac:dyDescent="0.45">
      <c r="A1252" s="13">
        <f>'[1]02. Matrix'!A1261</f>
        <v>1251</v>
      </c>
      <c r="B1252" s="14">
        <f>'[1]02. Matrix'!B1261</f>
        <v>1</v>
      </c>
      <c r="C1252" s="14" t="str">
        <f>'[1]02. Matrix'!C1261</f>
        <v>MORTGAGE LOAN</v>
      </c>
      <c r="D1252" s="14">
        <f>'[1]02. Matrix'!D1261</f>
        <v>1</v>
      </c>
      <c r="E1252" s="15">
        <f>'[1]02. Matrix'!E1261</f>
        <v>0</v>
      </c>
      <c r="F1252" s="14" t="str">
        <f>_xlfn.XLOOKUP('01. Main'!$B1252,[1]Mapping!$D:$D,[1]Mapping!$A:$A,0,0)</f>
        <v>Asadh 76</v>
      </c>
      <c r="G1252" s="16">
        <f>_xlfn.XLOOKUP('01. Main'!$B1252,[1]Mapping!D$2:D$24,[1]Mapping!E$2:E$24,0,0)</f>
        <v>2019</v>
      </c>
    </row>
    <row r="1253" spans="1:7" x14ac:dyDescent="0.45">
      <c r="A1253" s="17">
        <f>'[1]02. Matrix'!A1262</f>
        <v>1252</v>
      </c>
      <c r="B1253" s="18">
        <f>'[1]02. Matrix'!B1262</f>
        <v>1</v>
      </c>
      <c r="C1253" s="18" t="str">
        <f>'[1]02. Matrix'!C1262</f>
        <v>LOAN AGAINST FDR</v>
      </c>
      <c r="D1253" s="18">
        <f>'[1]02. Matrix'!D1262</f>
        <v>1</v>
      </c>
      <c r="E1253" s="19">
        <f>'[1]02. Matrix'!E1262</f>
        <v>0</v>
      </c>
      <c r="F1253" s="18" t="str">
        <f>_xlfn.XLOOKUP('01. Main'!$B1253,[1]Mapping!$D:$D,[1]Mapping!$A:$A,0,0)</f>
        <v>Asadh 76</v>
      </c>
      <c r="G1253" s="20">
        <f>_xlfn.XLOOKUP('01. Main'!$B1253,[1]Mapping!D$2:D$24,[1]Mapping!E$2:E$24,0,0)</f>
        <v>2019</v>
      </c>
    </row>
    <row r="1254" spans="1:7" x14ac:dyDescent="0.45">
      <c r="A1254" s="13">
        <f>'[1]02. Matrix'!A1263</f>
        <v>1253</v>
      </c>
      <c r="B1254" s="14">
        <f>'[1]02. Matrix'!B1263</f>
        <v>1</v>
      </c>
      <c r="C1254" s="14" t="str">
        <f>'[1]02. Matrix'!C1263</f>
        <v>RECEIVABLE LOAN</v>
      </c>
      <c r="D1254" s="14">
        <f>'[1]02. Matrix'!D1263</f>
        <v>1</v>
      </c>
      <c r="E1254" s="15">
        <f>'[1]02. Matrix'!E1263</f>
        <v>0</v>
      </c>
      <c r="F1254" s="14" t="str">
        <f>_xlfn.XLOOKUP('01. Main'!$B1254,[1]Mapping!$D:$D,[1]Mapping!$A:$A,0,0)</f>
        <v>Asadh 76</v>
      </c>
      <c r="G1254" s="16">
        <f>_xlfn.XLOOKUP('01. Main'!$B1254,[1]Mapping!D$2:D$24,[1]Mapping!E$2:E$24,0,0)</f>
        <v>2019</v>
      </c>
    </row>
    <row r="1255" spans="1:7" x14ac:dyDescent="0.45">
      <c r="A1255" s="17">
        <f>'[1]02. Matrix'!A1264</f>
        <v>1254</v>
      </c>
      <c r="B1255" s="18">
        <f>'[1]02. Matrix'!B1264</f>
        <v>1</v>
      </c>
      <c r="C1255" s="18" t="str">
        <f>'[1]02. Matrix'!C1264</f>
        <v>STAFF LOAN</v>
      </c>
      <c r="D1255" s="18">
        <f>'[1]02. Matrix'!D1264</f>
        <v>1</v>
      </c>
      <c r="E1255" s="19">
        <f>'[1]02. Matrix'!E1264</f>
        <v>0</v>
      </c>
      <c r="F1255" s="18" t="str">
        <f>_xlfn.XLOOKUP('01. Main'!$B1255,[1]Mapping!$D:$D,[1]Mapping!$A:$A,0,0)</f>
        <v>Asadh 76</v>
      </c>
      <c r="G1255" s="20">
        <f>_xlfn.XLOOKUP('01. Main'!$B1255,[1]Mapping!D$2:D$24,[1]Mapping!E$2:E$24,0,0)</f>
        <v>2019</v>
      </c>
    </row>
    <row r="1256" spans="1:7" x14ac:dyDescent="0.45">
      <c r="A1256" s="13">
        <f>'[1]02. Matrix'!A1265</f>
        <v>1255</v>
      </c>
      <c r="B1256" s="14">
        <f>'[1]02. Matrix'!B1265</f>
        <v>1</v>
      </c>
      <c r="C1256" s="14" t="str">
        <f>'[1]02. Matrix'!C1265</f>
        <v>AGRICULTURAL LOAN</v>
      </c>
      <c r="D1256" s="14">
        <f>'[1]02. Matrix'!D1265</f>
        <v>1</v>
      </c>
      <c r="E1256" s="15">
        <f>'[1]02. Matrix'!E1265</f>
        <v>0</v>
      </c>
      <c r="F1256" s="14" t="str">
        <f>_xlfn.XLOOKUP('01. Main'!$B1256,[1]Mapping!$D:$D,[1]Mapping!$A:$A,0,0)</f>
        <v>Asadh 76</v>
      </c>
      <c r="G1256" s="16">
        <f>_xlfn.XLOOKUP('01. Main'!$B1256,[1]Mapping!D$2:D$24,[1]Mapping!E$2:E$24,0,0)</f>
        <v>2019</v>
      </c>
    </row>
    <row r="1257" spans="1:7" x14ac:dyDescent="0.45">
      <c r="A1257" s="17">
        <f>'[1]02. Matrix'!A1266</f>
        <v>1256</v>
      </c>
      <c r="B1257" s="18">
        <f>'[1]02. Matrix'!B1266</f>
        <v>1</v>
      </c>
      <c r="C1257" s="18" t="str">
        <f>'[1]02. Matrix'!C1266</f>
        <v>EARTHQUAKE RELIEF LO</v>
      </c>
      <c r="D1257" s="18">
        <f>'[1]02. Matrix'!D1266</f>
        <v>1</v>
      </c>
      <c r="E1257" s="19">
        <f>'[1]02. Matrix'!E1266</f>
        <v>0</v>
      </c>
      <c r="F1257" s="18" t="str">
        <f>_xlfn.XLOOKUP('01. Main'!$B1257,[1]Mapping!$D:$D,[1]Mapping!$A:$A,0,0)</f>
        <v>Asadh 76</v>
      </c>
      <c r="G1257" s="20">
        <f>_xlfn.XLOOKUP('01. Main'!$B1257,[1]Mapping!D$2:D$24,[1]Mapping!E$2:E$24,0,0)</f>
        <v>2019</v>
      </c>
    </row>
    <row r="1258" spans="1:7" x14ac:dyDescent="0.45">
      <c r="A1258" s="13">
        <f>'[1]02. Matrix'!A1267</f>
        <v>1257</v>
      </c>
      <c r="B1258" s="14">
        <f>'[1]02. Matrix'!B1267</f>
        <v>1</v>
      </c>
      <c r="C1258" s="14" t="str">
        <f>'[1]02. Matrix'!C1267</f>
        <v>TOURISM SECTOR LOAN</v>
      </c>
      <c r="D1258" s="14">
        <f>'[1]02. Matrix'!D1267</f>
        <v>1</v>
      </c>
      <c r="E1258" s="15">
        <f>'[1]02. Matrix'!E1267</f>
        <v>0</v>
      </c>
      <c r="F1258" s="14" t="str">
        <f>_xlfn.XLOOKUP('01. Main'!$B1258,[1]Mapping!$D:$D,[1]Mapping!$A:$A,0,0)</f>
        <v>Asadh 76</v>
      </c>
      <c r="G1258" s="16">
        <f>_xlfn.XLOOKUP('01. Main'!$B1258,[1]Mapping!D$2:D$24,[1]Mapping!E$2:E$24,0,0)</f>
        <v>2019</v>
      </c>
    </row>
    <row r="1259" spans="1:7" x14ac:dyDescent="0.45">
      <c r="A1259" s="17">
        <f>'[1]02. Matrix'!A1268</f>
        <v>1258</v>
      </c>
      <c r="B1259" s="18">
        <f>'[1]02. Matrix'!B1268</f>
        <v>1</v>
      </c>
      <c r="C1259" s="18" t="str">
        <f>'[1]02. Matrix'!C1268</f>
        <v>SME LOAN</v>
      </c>
      <c r="D1259" s="18">
        <f>'[1]02. Matrix'!D1268</f>
        <v>1</v>
      </c>
      <c r="E1259" s="19">
        <f>'[1]02. Matrix'!E1268</f>
        <v>0</v>
      </c>
      <c r="F1259" s="18" t="str">
        <f>_xlfn.XLOOKUP('01. Main'!$B1259,[1]Mapping!$D:$D,[1]Mapping!$A:$A,0,0)</f>
        <v>Asadh 76</v>
      </c>
      <c r="G1259" s="20">
        <f>_xlfn.XLOOKUP('01. Main'!$B1259,[1]Mapping!D$2:D$24,[1]Mapping!E$2:E$24,0,0)</f>
        <v>2019</v>
      </c>
    </row>
    <row r="1260" spans="1:7" x14ac:dyDescent="0.45">
      <c r="A1260" s="13">
        <f>'[1]02. Matrix'!A1269</f>
        <v>1259</v>
      </c>
      <c r="B1260" s="14">
        <f>'[1]02. Matrix'!B1269</f>
        <v>1</v>
      </c>
      <c r="C1260" s="14" t="str">
        <f>'[1]02. Matrix'!C1269</f>
        <v>EDUCATIONAL LOAN EMI</v>
      </c>
      <c r="D1260" s="14">
        <f>'[1]02. Matrix'!D1269</f>
        <v>1</v>
      </c>
      <c r="E1260" s="15">
        <f>'[1]02. Matrix'!E1269</f>
        <v>0</v>
      </c>
      <c r="F1260" s="14" t="str">
        <f>_xlfn.XLOOKUP('01. Main'!$B1260,[1]Mapping!$D:$D,[1]Mapping!$A:$A,0,0)</f>
        <v>Asadh 76</v>
      </c>
      <c r="G1260" s="16">
        <f>_xlfn.XLOOKUP('01. Main'!$B1260,[1]Mapping!D$2:D$24,[1]Mapping!E$2:E$24,0,0)</f>
        <v>2019</v>
      </c>
    </row>
    <row r="1261" spans="1:7" x14ac:dyDescent="0.45">
      <c r="A1261" s="17">
        <f>'[1]02. Matrix'!A1270</f>
        <v>1260</v>
      </c>
      <c r="B1261" s="18">
        <f>'[1]02. Matrix'!B1270</f>
        <v>1</v>
      </c>
      <c r="C1261" s="18" t="str">
        <f>'[1]02. Matrix'!C1270</f>
        <v>OVERDRAFT PROFESSION</v>
      </c>
      <c r="D1261" s="18">
        <f>'[1]02. Matrix'!D1270</f>
        <v>1</v>
      </c>
      <c r="E1261" s="19">
        <f>'[1]02. Matrix'!E1270</f>
        <v>0</v>
      </c>
      <c r="F1261" s="18" t="str">
        <f>_xlfn.XLOOKUP('01. Main'!$B1261,[1]Mapping!$D:$D,[1]Mapping!$A:$A,0,0)</f>
        <v>Asadh 76</v>
      </c>
      <c r="G1261" s="20">
        <f>_xlfn.XLOOKUP('01. Main'!$B1261,[1]Mapping!D$2:D$24,[1]Mapping!E$2:E$24,0,0)</f>
        <v>2019</v>
      </c>
    </row>
    <row r="1262" spans="1:7" x14ac:dyDescent="0.45">
      <c r="A1262" s="13">
        <f>'[1]02. Matrix'!A1271</f>
        <v>1261</v>
      </c>
      <c r="B1262" s="14">
        <f>'[1]02. Matrix'!B1271</f>
        <v>1</v>
      </c>
      <c r="C1262" s="14" t="str">
        <f>'[1]02. Matrix'!C1271</f>
        <v>OD PERSONAL LOAN</v>
      </c>
      <c r="D1262" s="14">
        <f>'[1]02. Matrix'!D1271</f>
        <v>2</v>
      </c>
      <c r="E1262" s="15">
        <f>'[1]02. Matrix'!E1271</f>
        <v>0</v>
      </c>
      <c r="F1262" s="14" t="str">
        <f>_xlfn.XLOOKUP('01. Main'!$B1262,[1]Mapping!$D:$D,[1]Mapping!$A:$A,0,0)</f>
        <v>Asadh 76</v>
      </c>
      <c r="G1262" s="16">
        <f>_xlfn.XLOOKUP('01. Main'!$B1262,[1]Mapping!D$2:D$24,[1]Mapping!E$2:E$24,0,0)</f>
        <v>2019</v>
      </c>
    </row>
    <row r="1263" spans="1:7" x14ac:dyDescent="0.45">
      <c r="A1263" s="17">
        <f>'[1]02. Matrix'!A1272</f>
        <v>1262</v>
      </c>
      <c r="B1263" s="18">
        <f>'[1]02. Matrix'!B1272</f>
        <v>1</v>
      </c>
      <c r="C1263" s="18" t="str">
        <f>'[1]02. Matrix'!C1272</f>
        <v>OD BUSINESS LOAN</v>
      </c>
      <c r="D1263" s="18">
        <f>'[1]02. Matrix'!D1272</f>
        <v>2</v>
      </c>
      <c r="E1263" s="19">
        <f>'[1]02. Matrix'!E1272</f>
        <v>0</v>
      </c>
      <c r="F1263" s="18" t="str">
        <f>_xlfn.XLOOKUP('01. Main'!$B1263,[1]Mapping!$D:$D,[1]Mapping!$A:$A,0,0)</f>
        <v>Asadh 76</v>
      </c>
      <c r="G1263" s="20">
        <f>_xlfn.XLOOKUP('01. Main'!$B1263,[1]Mapping!D$2:D$24,[1]Mapping!E$2:E$24,0,0)</f>
        <v>2019</v>
      </c>
    </row>
    <row r="1264" spans="1:7" x14ac:dyDescent="0.45">
      <c r="A1264" s="13">
        <f>'[1]02. Matrix'!A1273</f>
        <v>1263</v>
      </c>
      <c r="B1264" s="14">
        <f>'[1]02. Matrix'!B1273</f>
        <v>1</v>
      </c>
      <c r="C1264" s="14" t="str">
        <f>'[1]02. Matrix'!C1273</f>
        <v>OD STAFF LOAN</v>
      </c>
      <c r="D1264" s="14">
        <f>'[1]02. Matrix'!D1273</f>
        <v>2</v>
      </c>
      <c r="E1264" s="15">
        <f>'[1]02. Matrix'!E1273</f>
        <v>0</v>
      </c>
      <c r="F1264" s="14" t="str">
        <f>_xlfn.XLOOKUP('01. Main'!$B1264,[1]Mapping!$D:$D,[1]Mapping!$A:$A,0,0)</f>
        <v>Asadh 76</v>
      </c>
      <c r="G1264" s="16">
        <f>_xlfn.XLOOKUP('01. Main'!$B1264,[1]Mapping!D$2:D$24,[1]Mapping!E$2:E$24,0,0)</f>
        <v>2019</v>
      </c>
    </row>
    <row r="1265" spans="1:7" x14ac:dyDescent="0.45">
      <c r="A1265" s="17">
        <f>'[1]02. Matrix'!A1274</f>
        <v>1264</v>
      </c>
      <c r="B1265" s="18">
        <f>'[1]02. Matrix'!B1274</f>
        <v>1</v>
      </c>
      <c r="C1265" s="18" t="str">
        <f>'[1]02. Matrix'!C1274</f>
        <v>TERM LOAN</v>
      </c>
      <c r="D1265" s="18">
        <f>'[1]02. Matrix'!D1274</f>
        <v>2</v>
      </c>
      <c r="E1265" s="19">
        <f>'[1]02. Matrix'!E1274</f>
        <v>0</v>
      </c>
      <c r="F1265" s="18" t="str">
        <f>_xlfn.XLOOKUP('01. Main'!$B1265,[1]Mapping!$D:$D,[1]Mapping!$A:$A,0,0)</f>
        <v>Asadh 76</v>
      </c>
      <c r="G1265" s="20">
        <f>_xlfn.XLOOKUP('01. Main'!$B1265,[1]Mapping!D$2:D$24,[1]Mapping!E$2:E$24,0,0)</f>
        <v>2019</v>
      </c>
    </row>
    <row r="1266" spans="1:7" x14ac:dyDescent="0.45">
      <c r="A1266" s="13">
        <f>'[1]02. Matrix'!A1275</f>
        <v>1265</v>
      </c>
      <c r="B1266" s="14">
        <f>'[1]02. Matrix'!B1275</f>
        <v>1</v>
      </c>
      <c r="C1266" s="14" t="str">
        <f>'[1]02. Matrix'!C1275</f>
        <v>WC TRADING/IND LOAN</v>
      </c>
      <c r="D1266" s="14">
        <f>'[1]02. Matrix'!D1275</f>
        <v>2</v>
      </c>
      <c r="E1266" s="15">
        <f>'[1]02. Matrix'!E1275</f>
        <v>0</v>
      </c>
      <c r="F1266" s="14" t="str">
        <f>_xlfn.XLOOKUP('01. Main'!$B1266,[1]Mapping!$D:$D,[1]Mapping!$A:$A,0,0)</f>
        <v>Asadh 76</v>
      </c>
      <c r="G1266" s="16">
        <f>_xlfn.XLOOKUP('01. Main'!$B1266,[1]Mapping!D$2:D$24,[1]Mapping!E$2:E$24,0,0)</f>
        <v>2019</v>
      </c>
    </row>
    <row r="1267" spans="1:7" x14ac:dyDescent="0.45">
      <c r="A1267" s="17">
        <f>'[1]02. Matrix'!A1276</f>
        <v>1266</v>
      </c>
      <c r="B1267" s="18">
        <f>'[1]02. Matrix'!B1276</f>
        <v>1</v>
      </c>
      <c r="C1267" s="18" t="str">
        <f>'[1]02. Matrix'!C1276</f>
        <v>HOUSING LOAN</v>
      </c>
      <c r="D1267" s="18">
        <f>'[1]02. Matrix'!D1276</f>
        <v>2</v>
      </c>
      <c r="E1267" s="19">
        <f>'[1]02. Matrix'!E1276</f>
        <v>0</v>
      </c>
      <c r="F1267" s="18" t="str">
        <f>_xlfn.XLOOKUP('01. Main'!$B1267,[1]Mapping!$D:$D,[1]Mapping!$A:$A,0,0)</f>
        <v>Asadh 76</v>
      </c>
      <c r="G1267" s="20">
        <f>_xlfn.XLOOKUP('01. Main'!$B1267,[1]Mapping!D$2:D$24,[1]Mapping!E$2:E$24,0,0)</f>
        <v>2019</v>
      </c>
    </row>
    <row r="1268" spans="1:7" x14ac:dyDescent="0.45">
      <c r="A1268" s="13">
        <f>'[1]02. Matrix'!A1277</f>
        <v>1267</v>
      </c>
      <c r="B1268" s="14">
        <f>'[1]02. Matrix'!B1277</f>
        <v>1</v>
      </c>
      <c r="C1268" s="14" t="str">
        <f>'[1]02. Matrix'!C1277</f>
        <v>RESI REAL EST LOAN</v>
      </c>
      <c r="D1268" s="14">
        <f>'[1]02. Matrix'!D1277</f>
        <v>2</v>
      </c>
      <c r="E1268" s="15">
        <f>'[1]02. Matrix'!E1277</f>
        <v>0</v>
      </c>
      <c r="F1268" s="14" t="str">
        <f>_xlfn.XLOOKUP('01. Main'!$B1268,[1]Mapping!$D:$D,[1]Mapping!$A:$A,0,0)</f>
        <v>Asadh 76</v>
      </c>
      <c r="G1268" s="16">
        <f>_xlfn.XLOOKUP('01. Main'!$B1268,[1]Mapping!D$2:D$24,[1]Mapping!E$2:E$24,0,0)</f>
        <v>2019</v>
      </c>
    </row>
    <row r="1269" spans="1:7" x14ac:dyDescent="0.45">
      <c r="A1269" s="17">
        <f>'[1]02. Matrix'!A1278</f>
        <v>1268</v>
      </c>
      <c r="B1269" s="18">
        <f>'[1]02. Matrix'!B1278</f>
        <v>1</v>
      </c>
      <c r="C1269" s="18" t="str">
        <f>'[1]02. Matrix'!C1278</f>
        <v>MARGIN NATURE LOAN</v>
      </c>
      <c r="D1269" s="18">
        <f>'[1]02. Matrix'!D1278</f>
        <v>2</v>
      </c>
      <c r="E1269" s="19">
        <f>'[1]02. Matrix'!E1278</f>
        <v>0</v>
      </c>
      <c r="F1269" s="18" t="str">
        <f>_xlfn.XLOOKUP('01. Main'!$B1269,[1]Mapping!$D:$D,[1]Mapping!$A:$A,0,0)</f>
        <v>Asadh 76</v>
      </c>
      <c r="G1269" s="20">
        <f>_xlfn.XLOOKUP('01. Main'!$B1269,[1]Mapping!D$2:D$24,[1]Mapping!E$2:E$24,0,0)</f>
        <v>2019</v>
      </c>
    </row>
    <row r="1270" spans="1:7" x14ac:dyDescent="0.45">
      <c r="A1270" s="13">
        <f>'[1]02. Matrix'!A1279</f>
        <v>1269</v>
      </c>
      <c r="B1270" s="14">
        <f>'[1]02. Matrix'!B1279</f>
        <v>1</v>
      </c>
      <c r="C1270" s="14" t="str">
        <f>'[1]02. Matrix'!C1279</f>
        <v>HIRE PURCHASE LOAN</v>
      </c>
      <c r="D1270" s="14">
        <f>'[1]02. Matrix'!D1279</f>
        <v>2</v>
      </c>
      <c r="E1270" s="15">
        <f>'[1]02. Matrix'!E1279</f>
        <v>0</v>
      </c>
      <c r="F1270" s="14" t="str">
        <f>_xlfn.XLOOKUP('01. Main'!$B1270,[1]Mapping!$D:$D,[1]Mapping!$A:$A,0,0)</f>
        <v>Asadh 76</v>
      </c>
      <c r="G1270" s="16">
        <f>_xlfn.XLOOKUP('01. Main'!$B1270,[1]Mapping!D$2:D$24,[1]Mapping!E$2:E$24,0,0)</f>
        <v>2019</v>
      </c>
    </row>
    <row r="1271" spans="1:7" x14ac:dyDescent="0.45">
      <c r="A1271" s="17">
        <f>'[1]02. Matrix'!A1280</f>
        <v>1270</v>
      </c>
      <c r="B1271" s="18">
        <f>'[1]02. Matrix'!B1280</f>
        <v>1</v>
      </c>
      <c r="C1271" s="18" t="str">
        <f>'[1]02. Matrix'!C1280</f>
        <v>DEPRIVED SECTOR LOAN</v>
      </c>
      <c r="D1271" s="18">
        <f>'[1]02. Matrix'!D1280</f>
        <v>2</v>
      </c>
      <c r="E1271" s="19">
        <f>'[1]02. Matrix'!E1280</f>
        <v>0</v>
      </c>
      <c r="F1271" s="18" t="str">
        <f>_xlfn.XLOOKUP('01. Main'!$B1271,[1]Mapping!$D:$D,[1]Mapping!$A:$A,0,0)</f>
        <v>Asadh 76</v>
      </c>
      <c r="G1271" s="20">
        <f>_xlfn.XLOOKUP('01. Main'!$B1271,[1]Mapping!D$2:D$24,[1]Mapping!E$2:E$24,0,0)</f>
        <v>2019</v>
      </c>
    </row>
    <row r="1272" spans="1:7" x14ac:dyDescent="0.45">
      <c r="A1272" s="13">
        <f>'[1]02. Matrix'!A1281</f>
        <v>1271</v>
      </c>
      <c r="B1272" s="14">
        <f>'[1]02. Matrix'!B1281</f>
        <v>1</v>
      </c>
      <c r="C1272" s="14" t="str">
        <f>'[1]02. Matrix'!C1281</f>
        <v>EDUCATIONAL LOAN</v>
      </c>
      <c r="D1272" s="14">
        <f>'[1]02. Matrix'!D1281</f>
        <v>2</v>
      </c>
      <c r="E1272" s="15">
        <f>'[1]02. Matrix'!E1281</f>
        <v>0</v>
      </c>
      <c r="F1272" s="14" t="str">
        <f>_xlfn.XLOOKUP('01. Main'!$B1272,[1]Mapping!$D:$D,[1]Mapping!$A:$A,0,0)</f>
        <v>Asadh 76</v>
      </c>
      <c r="G1272" s="16">
        <f>_xlfn.XLOOKUP('01. Main'!$B1272,[1]Mapping!D$2:D$24,[1]Mapping!E$2:E$24,0,0)</f>
        <v>2019</v>
      </c>
    </row>
    <row r="1273" spans="1:7" x14ac:dyDescent="0.45">
      <c r="A1273" s="17">
        <f>'[1]02. Matrix'!A1282</f>
        <v>1272</v>
      </c>
      <c r="B1273" s="18">
        <f>'[1]02. Matrix'!B1282</f>
        <v>1</v>
      </c>
      <c r="C1273" s="18" t="str">
        <f>'[1]02. Matrix'!C1282</f>
        <v>AGRICULTURE LOAN</v>
      </c>
      <c r="D1273" s="18">
        <f>'[1]02. Matrix'!D1282</f>
        <v>2</v>
      </c>
      <c r="E1273" s="19">
        <f>'[1]02. Matrix'!E1282</f>
        <v>0</v>
      </c>
      <c r="F1273" s="18" t="str">
        <f>_xlfn.XLOOKUP('01. Main'!$B1273,[1]Mapping!$D:$D,[1]Mapping!$A:$A,0,0)</f>
        <v>Asadh 76</v>
      </c>
      <c r="G1273" s="20">
        <f>_xlfn.XLOOKUP('01. Main'!$B1273,[1]Mapping!D$2:D$24,[1]Mapping!E$2:E$24,0,0)</f>
        <v>2019</v>
      </c>
    </row>
    <row r="1274" spans="1:7" x14ac:dyDescent="0.45">
      <c r="A1274" s="13">
        <f>'[1]02. Matrix'!A1283</f>
        <v>1273</v>
      </c>
      <c r="B1274" s="14">
        <f>'[1]02. Matrix'!B1283</f>
        <v>1</v>
      </c>
      <c r="C1274" s="14" t="str">
        <f>'[1]02. Matrix'!C1283</f>
        <v>RESI PER.HOME-EMI</v>
      </c>
      <c r="D1274" s="14">
        <f>'[1]02. Matrix'!D1283</f>
        <v>2</v>
      </c>
      <c r="E1274" s="15">
        <f>'[1]02. Matrix'!E1283</f>
        <v>0</v>
      </c>
      <c r="F1274" s="14" t="str">
        <f>_xlfn.XLOOKUP('01. Main'!$B1274,[1]Mapping!$D:$D,[1]Mapping!$A:$A,0,0)</f>
        <v>Asadh 76</v>
      </c>
      <c r="G1274" s="16">
        <f>_xlfn.XLOOKUP('01. Main'!$B1274,[1]Mapping!D$2:D$24,[1]Mapping!E$2:E$24,0,0)</f>
        <v>2019</v>
      </c>
    </row>
    <row r="1275" spans="1:7" x14ac:dyDescent="0.45">
      <c r="A1275" s="17">
        <f>'[1]02. Matrix'!A1284</f>
        <v>1274</v>
      </c>
      <c r="B1275" s="18">
        <f>'[1]02. Matrix'!B1284</f>
        <v>1</v>
      </c>
      <c r="C1275" s="18" t="str">
        <f>'[1]02. Matrix'!C1284</f>
        <v>TERM LOAN - BUSINESS</v>
      </c>
      <c r="D1275" s="18">
        <f>'[1]02. Matrix'!D1284</f>
        <v>2</v>
      </c>
      <c r="E1275" s="19">
        <f>'[1]02. Matrix'!E1284</f>
        <v>0</v>
      </c>
      <c r="F1275" s="18" t="str">
        <f>_xlfn.XLOOKUP('01. Main'!$B1275,[1]Mapping!$D:$D,[1]Mapping!$A:$A,0,0)</f>
        <v>Asadh 76</v>
      </c>
      <c r="G1275" s="20">
        <f>_xlfn.XLOOKUP('01. Main'!$B1275,[1]Mapping!D$2:D$24,[1]Mapping!E$2:E$24,0,0)</f>
        <v>2019</v>
      </c>
    </row>
    <row r="1276" spans="1:7" x14ac:dyDescent="0.45">
      <c r="A1276" s="13">
        <f>'[1]02. Matrix'!A1285</f>
        <v>1275</v>
      </c>
      <c r="B1276" s="14">
        <f>'[1]02. Matrix'!B1285</f>
        <v>1</v>
      </c>
      <c r="C1276" s="14" t="str">
        <f>'[1]02. Matrix'!C1285</f>
        <v>CONS FIN BUSN TRM LO</v>
      </c>
      <c r="D1276" s="14">
        <f>'[1]02. Matrix'!D1285</f>
        <v>2</v>
      </c>
      <c r="E1276" s="15">
        <f>'[1]02. Matrix'!E1285</f>
        <v>0</v>
      </c>
      <c r="F1276" s="14" t="str">
        <f>_xlfn.XLOOKUP('01. Main'!$B1276,[1]Mapping!$D:$D,[1]Mapping!$A:$A,0,0)</f>
        <v>Asadh 76</v>
      </c>
      <c r="G1276" s="16">
        <f>_xlfn.XLOOKUP('01. Main'!$B1276,[1]Mapping!D$2:D$24,[1]Mapping!E$2:E$24,0,0)</f>
        <v>2019</v>
      </c>
    </row>
    <row r="1277" spans="1:7" x14ac:dyDescent="0.45">
      <c r="A1277" s="17">
        <f>'[1]02. Matrix'!A1286</f>
        <v>1276</v>
      </c>
      <c r="B1277" s="18">
        <f>'[1]02. Matrix'!B1286</f>
        <v>1</v>
      </c>
      <c r="C1277" s="18" t="str">
        <f>'[1]02. Matrix'!C1286</f>
        <v>BIS/PERHIRE PURCHASE</v>
      </c>
      <c r="D1277" s="18">
        <f>'[1]02. Matrix'!D1286</f>
        <v>2</v>
      </c>
      <c r="E1277" s="19">
        <f>'[1]02. Matrix'!E1286</f>
        <v>0</v>
      </c>
      <c r="F1277" s="18" t="str">
        <f>_xlfn.XLOOKUP('01. Main'!$B1277,[1]Mapping!$D:$D,[1]Mapping!$A:$A,0,0)</f>
        <v>Asadh 76</v>
      </c>
      <c r="G1277" s="20">
        <f>_xlfn.XLOOKUP('01. Main'!$B1277,[1]Mapping!D$2:D$24,[1]Mapping!E$2:E$24,0,0)</f>
        <v>2019</v>
      </c>
    </row>
    <row r="1278" spans="1:7" x14ac:dyDescent="0.45">
      <c r="A1278" s="13">
        <f>'[1]02. Matrix'!A1287</f>
        <v>1277</v>
      </c>
      <c r="B1278" s="14">
        <f>'[1]02. Matrix'!B1287</f>
        <v>1</v>
      </c>
      <c r="C1278" s="14" t="str">
        <f>'[1]02. Matrix'!C1287</f>
        <v xml:space="preserve">INT CAP TERM LOAN </v>
      </c>
      <c r="D1278" s="14">
        <f>'[1]02. Matrix'!D1287</f>
        <v>2</v>
      </c>
      <c r="E1278" s="15">
        <f>'[1]02. Matrix'!E1287</f>
        <v>0</v>
      </c>
      <c r="F1278" s="14" t="str">
        <f>_xlfn.XLOOKUP('01. Main'!$B1278,[1]Mapping!$D:$D,[1]Mapping!$A:$A,0,0)</f>
        <v>Asadh 76</v>
      </c>
      <c r="G1278" s="16">
        <f>_xlfn.XLOOKUP('01. Main'!$B1278,[1]Mapping!D$2:D$24,[1]Mapping!E$2:E$24,0,0)</f>
        <v>2019</v>
      </c>
    </row>
    <row r="1279" spans="1:7" x14ac:dyDescent="0.45">
      <c r="A1279" s="17">
        <f>'[1]02. Matrix'!A1288</f>
        <v>1278</v>
      </c>
      <c r="B1279" s="18">
        <f>'[1]02. Matrix'!B1288</f>
        <v>1</v>
      </c>
      <c r="C1279" s="18" t="str">
        <f>'[1]02. Matrix'!C1288</f>
        <v>PERSONAL LOAN</v>
      </c>
      <c r="D1279" s="18">
        <f>'[1]02. Matrix'!D1288</f>
        <v>2</v>
      </c>
      <c r="E1279" s="19">
        <f>'[1]02. Matrix'!E1288</f>
        <v>0</v>
      </c>
      <c r="F1279" s="18" t="str">
        <f>_xlfn.XLOOKUP('01. Main'!$B1279,[1]Mapping!$D:$D,[1]Mapping!$A:$A,0,0)</f>
        <v>Asadh 76</v>
      </c>
      <c r="G1279" s="20">
        <f>_xlfn.XLOOKUP('01. Main'!$B1279,[1]Mapping!D$2:D$24,[1]Mapping!E$2:E$24,0,0)</f>
        <v>2019</v>
      </c>
    </row>
    <row r="1280" spans="1:7" x14ac:dyDescent="0.45">
      <c r="A1280" s="13">
        <f>'[1]02. Matrix'!A1289</f>
        <v>1279</v>
      </c>
      <c r="B1280" s="14">
        <f>'[1]02. Matrix'!B1289</f>
        <v>1</v>
      </c>
      <c r="C1280" s="14" t="str">
        <f>'[1]02. Matrix'!C1289</f>
        <v>MORTGAGE LOAN</v>
      </c>
      <c r="D1280" s="14">
        <f>'[1]02. Matrix'!D1289</f>
        <v>2</v>
      </c>
      <c r="E1280" s="15">
        <f>'[1]02. Matrix'!E1289</f>
        <v>0</v>
      </c>
      <c r="F1280" s="14" t="str">
        <f>_xlfn.XLOOKUP('01. Main'!$B1280,[1]Mapping!$D:$D,[1]Mapping!$A:$A,0,0)</f>
        <v>Asadh 76</v>
      </c>
      <c r="G1280" s="16">
        <f>_xlfn.XLOOKUP('01. Main'!$B1280,[1]Mapping!D$2:D$24,[1]Mapping!E$2:E$24,0,0)</f>
        <v>2019</v>
      </c>
    </row>
    <row r="1281" spans="1:7" x14ac:dyDescent="0.45">
      <c r="A1281" s="17">
        <f>'[1]02. Matrix'!A1290</f>
        <v>1280</v>
      </c>
      <c r="B1281" s="18">
        <f>'[1]02. Matrix'!B1290</f>
        <v>1</v>
      </c>
      <c r="C1281" s="18" t="str">
        <f>'[1]02. Matrix'!C1290</f>
        <v>LOAN AGAINST FDR</v>
      </c>
      <c r="D1281" s="18">
        <f>'[1]02. Matrix'!D1290</f>
        <v>2</v>
      </c>
      <c r="E1281" s="19">
        <f>'[1]02. Matrix'!E1290</f>
        <v>0</v>
      </c>
      <c r="F1281" s="18" t="str">
        <f>_xlfn.XLOOKUP('01. Main'!$B1281,[1]Mapping!$D:$D,[1]Mapping!$A:$A,0,0)</f>
        <v>Asadh 76</v>
      </c>
      <c r="G1281" s="20">
        <f>_xlfn.XLOOKUP('01. Main'!$B1281,[1]Mapping!D$2:D$24,[1]Mapping!E$2:E$24,0,0)</f>
        <v>2019</v>
      </c>
    </row>
    <row r="1282" spans="1:7" x14ac:dyDescent="0.45">
      <c r="A1282" s="13">
        <f>'[1]02. Matrix'!A1291</f>
        <v>1281</v>
      </c>
      <c r="B1282" s="14">
        <f>'[1]02. Matrix'!B1291</f>
        <v>1</v>
      </c>
      <c r="C1282" s="14" t="str">
        <f>'[1]02. Matrix'!C1291</f>
        <v>RECEIVABLE LOAN</v>
      </c>
      <c r="D1282" s="14">
        <f>'[1]02. Matrix'!D1291</f>
        <v>2</v>
      </c>
      <c r="E1282" s="15">
        <f>'[1]02. Matrix'!E1291</f>
        <v>0</v>
      </c>
      <c r="F1282" s="14" t="str">
        <f>_xlfn.XLOOKUP('01. Main'!$B1282,[1]Mapping!$D:$D,[1]Mapping!$A:$A,0,0)</f>
        <v>Asadh 76</v>
      </c>
      <c r="G1282" s="16">
        <f>_xlfn.XLOOKUP('01. Main'!$B1282,[1]Mapping!D$2:D$24,[1]Mapping!E$2:E$24,0,0)</f>
        <v>2019</v>
      </c>
    </row>
    <row r="1283" spans="1:7" x14ac:dyDescent="0.45">
      <c r="A1283" s="17">
        <f>'[1]02. Matrix'!A1292</f>
        <v>1282</v>
      </c>
      <c r="B1283" s="18">
        <f>'[1]02. Matrix'!B1292</f>
        <v>1</v>
      </c>
      <c r="C1283" s="18" t="str">
        <f>'[1]02. Matrix'!C1292</f>
        <v>STAFF LOAN</v>
      </c>
      <c r="D1283" s="18">
        <f>'[1]02. Matrix'!D1292</f>
        <v>2</v>
      </c>
      <c r="E1283" s="19">
        <f>'[1]02. Matrix'!E1292</f>
        <v>0</v>
      </c>
      <c r="F1283" s="18" t="str">
        <f>_xlfn.XLOOKUP('01. Main'!$B1283,[1]Mapping!$D:$D,[1]Mapping!$A:$A,0,0)</f>
        <v>Asadh 76</v>
      </c>
      <c r="G1283" s="20">
        <f>_xlfn.XLOOKUP('01. Main'!$B1283,[1]Mapping!D$2:D$24,[1]Mapping!E$2:E$24,0,0)</f>
        <v>2019</v>
      </c>
    </row>
    <row r="1284" spans="1:7" x14ac:dyDescent="0.45">
      <c r="A1284" s="13">
        <f>'[1]02. Matrix'!A1293</f>
        <v>1283</v>
      </c>
      <c r="B1284" s="14">
        <f>'[1]02. Matrix'!B1293</f>
        <v>1</v>
      </c>
      <c r="C1284" s="14" t="str">
        <f>'[1]02. Matrix'!C1293</f>
        <v>AGRICULTURAL LOAN</v>
      </c>
      <c r="D1284" s="14">
        <f>'[1]02. Matrix'!D1293</f>
        <v>2</v>
      </c>
      <c r="E1284" s="15">
        <f>'[1]02. Matrix'!E1293</f>
        <v>0</v>
      </c>
      <c r="F1284" s="14" t="str">
        <f>_xlfn.XLOOKUP('01. Main'!$B1284,[1]Mapping!$D:$D,[1]Mapping!$A:$A,0,0)</f>
        <v>Asadh 76</v>
      </c>
      <c r="G1284" s="16">
        <f>_xlfn.XLOOKUP('01. Main'!$B1284,[1]Mapping!D$2:D$24,[1]Mapping!E$2:E$24,0,0)</f>
        <v>2019</v>
      </c>
    </row>
    <row r="1285" spans="1:7" x14ac:dyDescent="0.45">
      <c r="A1285" s="17">
        <f>'[1]02. Matrix'!A1294</f>
        <v>1284</v>
      </c>
      <c r="B1285" s="18">
        <f>'[1]02. Matrix'!B1294</f>
        <v>1</v>
      </c>
      <c r="C1285" s="18" t="str">
        <f>'[1]02. Matrix'!C1294</f>
        <v>EARTHQUAKE RELIEF LO</v>
      </c>
      <c r="D1285" s="18">
        <f>'[1]02. Matrix'!D1294</f>
        <v>2</v>
      </c>
      <c r="E1285" s="19">
        <f>'[1]02. Matrix'!E1294</f>
        <v>0</v>
      </c>
      <c r="F1285" s="18" t="str">
        <f>_xlfn.XLOOKUP('01. Main'!$B1285,[1]Mapping!$D:$D,[1]Mapping!$A:$A,0,0)</f>
        <v>Asadh 76</v>
      </c>
      <c r="G1285" s="20">
        <f>_xlfn.XLOOKUP('01. Main'!$B1285,[1]Mapping!D$2:D$24,[1]Mapping!E$2:E$24,0,0)</f>
        <v>2019</v>
      </c>
    </row>
    <row r="1286" spans="1:7" x14ac:dyDescent="0.45">
      <c r="A1286" s="13">
        <f>'[1]02. Matrix'!A1295</f>
        <v>1285</v>
      </c>
      <c r="B1286" s="14">
        <f>'[1]02. Matrix'!B1295</f>
        <v>1</v>
      </c>
      <c r="C1286" s="14" t="str">
        <f>'[1]02. Matrix'!C1295</f>
        <v>TOURISM SECTOR LOAN</v>
      </c>
      <c r="D1286" s="14">
        <f>'[1]02. Matrix'!D1295</f>
        <v>2</v>
      </c>
      <c r="E1286" s="15">
        <f>'[1]02. Matrix'!E1295</f>
        <v>0</v>
      </c>
      <c r="F1286" s="14" t="str">
        <f>_xlfn.XLOOKUP('01. Main'!$B1286,[1]Mapping!$D:$D,[1]Mapping!$A:$A,0,0)</f>
        <v>Asadh 76</v>
      </c>
      <c r="G1286" s="16">
        <f>_xlfn.XLOOKUP('01. Main'!$B1286,[1]Mapping!D$2:D$24,[1]Mapping!E$2:E$24,0,0)</f>
        <v>2019</v>
      </c>
    </row>
    <row r="1287" spans="1:7" x14ac:dyDescent="0.45">
      <c r="A1287" s="17">
        <f>'[1]02. Matrix'!A1296</f>
        <v>1286</v>
      </c>
      <c r="B1287" s="18">
        <f>'[1]02. Matrix'!B1296</f>
        <v>1</v>
      </c>
      <c r="C1287" s="18" t="str">
        <f>'[1]02. Matrix'!C1296</f>
        <v>SME LOAN</v>
      </c>
      <c r="D1287" s="18">
        <f>'[1]02. Matrix'!D1296</f>
        <v>2</v>
      </c>
      <c r="E1287" s="19">
        <f>'[1]02. Matrix'!E1296</f>
        <v>0</v>
      </c>
      <c r="F1287" s="18" t="str">
        <f>_xlfn.XLOOKUP('01. Main'!$B1287,[1]Mapping!$D:$D,[1]Mapping!$A:$A,0,0)</f>
        <v>Asadh 76</v>
      </c>
      <c r="G1287" s="20">
        <f>_xlfn.XLOOKUP('01. Main'!$B1287,[1]Mapping!D$2:D$24,[1]Mapping!E$2:E$24,0,0)</f>
        <v>2019</v>
      </c>
    </row>
    <row r="1288" spans="1:7" x14ac:dyDescent="0.45">
      <c r="A1288" s="13">
        <f>'[1]02. Matrix'!A1297</f>
        <v>1287</v>
      </c>
      <c r="B1288" s="14">
        <f>'[1]02. Matrix'!B1297</f>
        <v>1</v>
      </c>
      <c r="C1288" s="14" t="str">
        <f>'[1]02. Matrix'!C1297</f>
        <v>EDUCATIONAL LOAN EMI</v>
      </c>
      <c r="D1288" s="14">
        <f>'[1]02. Matrix'!D1297</f>
        <v>2</v>
      </c>
      <c r="E1288" s="15">
        <f>'[1]02. Matrix'!E1297</f>
        <v>0</v>
      </c>
      <c r="F1288" s="14" t="str">
        <f>_xlfn.XLOOKUP('01. Main'!$B1288,[1]Mapping!$D:$D,[1]Mapping!$A:$A,0,0)</f>
        <v>Asadh 76</v>
      </c>
      <c r="G1288" s="16">
        <f>_xlfn.XLOOKUP('01. Main'!$B1288,[1]Mapping!D$2:D$24,[1]Mapping!E$2:E$24,0,0)</f>
        <v>2019</v>
      </c>
    </row>
    <row r="1289" spans="1:7" x14ac:dyDescent="0.45">
      <c r="A1289" s="21">
        <f>'[1]02. Matrix'!A1298</f>
        <v>1288</v>
      </c>
      <c r="B1289" s="22">
        <f>'[1]02. Matrix'!B1298</f>
        <v>1</v>
      </c>
      <c r="C1289" s="22" t="str">
        <f>'[1]02. Matrix'!C1298</f>
        <v>OVERDRAFT PROFESSION</v>
      </c>
      <c r="D1289" s="22">
        <f>'[1]02. Matrix'!D1298</f>
        <v>2</v>
      </c>
      <c r="E1289" s="23">
        <f>'[1]02. Matrix'!E1298</f>
        <v>0</v>
      </c>
      <c r="F1289" s="22" t="str">
        <f>_xlfn.XLOOKUP('01. Main'!$B1289,[1]Mapping!$D:$D,[1]Mapping!$A:$A,0,0)</f>
        <v>Asadh 76</v>
      </c>
      <c r="G1289" s="9">
        <f>_xlfn.XLOOKUP('01. Main'!$B1289,[1]Mapping!D$2:D$24,[1]Mapping!E$2:E$24,0,0)</f>
        <v>2019</v>
      </c>
    </row>
  </sheetData>
  <autoFilter ref="A1:G1289" xr:uid="{00000000-0001-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02559-D7D7-4E80-A857-C4BF4BCFAF53}">
  <sheetPr codeName="Sheet5"/>
  <dimension ref="B1:Y394"/>
  <sheetViews>
    <sheetView tabSelected="1" workbookViewId="0">
      <pane xSplit="6" ySplit="1" topLeftCell="G2" activePane="bottomRight" state="frozen"/>
      <selection activeCell="E1" sqref="E1"/>
      <selection pane="topRight" activeCell="F1" sqref="F1"/>
      <selection pane="bottomLeft" activeCell="E2" sqref="E2"/>
      <selection pane="bottomRight" activeCell="F4" sqref="F4"/>
    </sheetView>
  </sheetViews>
  <sheetFormatPr defaultRowHeight="14.25" x14ac:dyDescent="0.45"/>
  <cols>
    <col min="1" max="1" width="0.265625" customWidth="1"/>
    <col min="2" max="2" width="10.796875" customWidth="1"/>
    <col min="3" max="3" width="8.1328125" customWidth="1"/>
    <col min="4" max="4" width="7.3984375" customWidth="1"/>
    <col min="5" max="5" width="16.3984375" customWidth="1"/>
    <col min="6" max="6" width="0.796875" customWidth="1"/>
    <col min="7" max="7" width="7.46484375" bestFit="1" customWidth="1"/>
    <col min="8" max="8" width="20.73046875" bestFit="1" customWidth="1"/>
    <col min="9" max="9" width="5.19921875" bestFit="1" customWidth="1"/>
    <col min="10" max="10" width="16.3984375" bestFit="1" customWidth="1"/>
    <col min="12" max="12" width="12.06640625" bestFit="1" customWidth="1"/>
    <col min="13" max="13" width="25.86328125" bestFit="1" customWidth="1"/>
    <col min="14" max="14" width="11.3984375" bestFit="1" customWidth="1"/>
    <col min="15" max="15" width="12.06640625" bestFit="1" customWidth="1"/>
    <col min="16" max="16" width="1.33203125" customWidth="1"/>
    <col min="17" max="17" width="20.73046875" bestFit="1" customWidth="1"/>
    <col min="18" max="18" width="25.86328125" bestFit="1" customWidth="1"/>
    <col min="19" max="19" width="12.06640625" bestFit="1" customWidth="1"/>
    <col min="20" max="20" width="25.86328125" bestFit="1" customWidth="1"/>
    <col min="21" max="21" width="14.73046875" bestFit="1" customWidth="1"/>
    <col min="22" max="22" width="13" bestFit="1" customWidth="1"/>
    <col min="23" max="23" width="25.86328125" bestFit="1" customWidth="1"/>
    <col min="24" max="24" width="14.73046875" bestFit="1" customWidth="1"/>
    <col min="25" max="25" width="10.19921875" bestFit="1" customWidth="1"/>
  </cols>
  <sheetData>
    <row r="1" spans="2:25" x14ac:dyDescent="0.45">
      <c r="B1" s="2" t="s">
        <v>42</v>
      </c>
      <c r="C1" s="2" t="s">
        <v>0</v>
      </c>
      <c r="D1" s="2" t="s">
        <v>1</v>
      </c>
      <c r="E1" t="s">
        <v>33</v>
      </c>
      <c r="G1" s="3" t="s">
        <v>42</v>
      </c>
      <c r="H1" s="3" t="s">
        <v>0</v>
      </c>
      <c r="I1" s="3" t="s">
        <v>1</v>
      </c>
      <c r="J1" s="3" t="s">
        <v>33</v>
      </c>
      <c r="K1" s="8" t="s">
        <v>35</v>
      </c>
      <c r="L1" s="8" t="s">
        <v>36</v>
      </c>
      <c r="M1" s="8" t="s">
        <v>37</v>
      </c>
      <c r="N1" s="8" t="s">
        <v>39</v>
      </c>
      <c r="O1" s="8" t="s">
        <v>40</v>
      </c>
      <c r="Q1" s="2" t="s">
        <v>0</v>
      </c>
      <c r="R1" t="s">
        <v>25</v>
      </c>
      <c r="T1" t="s">
        <v>75</v>
      </c>
      <c r="Y1">
        <f>28*2</f>
        <v>56</v>
      </c>
    </row>
    <row r="2" spans="2:25" x14ac:dyDescent="0.45">
      <c r="B2">
        <v>2019</v>
      </c>
      <c r="C2" t="s">
        <v>25</v>
      </c>
      <c r="D2">
        <v>1</v>
      </c>
      <c r="E2" s="5">
        <v>0</v>
      </c>
      <c r="G2" cm="1">
        <f t="array" ref="G2:J393">_xlfn._xlws.SORT(_xlfn._xlws.SORT(_xlfn.GROUPBY(B2:D393,E2:E393,_xleta.AVERAGE,,0),2,1),3,1)</f>
        <v>2019</v>
      </c>
      <c r="H2" t="str">
        <v>AGRICULTURAL LOAN</v>
      </c>
      <c r="I2">
        <v>1</v>
      </c>
      <c r="J2" s="1">
        <v>0</v>
      </c>
      <c r="K2" s="25">
        <f>_xlfn.XLOOKUP($G2,'[2]1'!$A$11:$A$21,'[2]1'!C$11:C$21)</f>
        <v>7.6223761076818732</v>
      </c>
      <c r="L2" s="25">
        <f>_xlfn.XLOOKUP($G2,'[2]1'!$A$11:$A$21,'[2]1'!D$11:D$21)</f>
        <v>4.6399999999999997</v>
      </c>
      <c r="M2" s="25">
        <f>_xlfn.XLOOKUP($G2,'[2]1'!$A$11:$A$21,'[2]1'!E$11:E$21)</f>
        <v>10.64</v>
      </c>
      <c r="N2" s="25">
        <f>_xlfn.XLOOKUP($G2,'[2]1'!$A$11:$A$21,'[2]1'!F$11:F$21)</f>
        <v>12.134092700177552</v>
      </c>
      <c r="O2" s="25">
        <f>_xlfn.XLOOKUP($G2,'[2]1'!$A$11:$A$21,'[2]1'!G$11:G$21)</f>
        <v>1259.02</v>
      </c>
      <c r="Q2" s="2" t="s">
        <v>1</v>
      </c>
      <c r="R2" s="4">
        <v>1</v>
      </c>
    </row>
    <row r="3" spans="2:25" x14ac:dyDescent="0.45">
      <c r="B3">
        <v>2019</v>
      </c>
      <c r="C3" t="s">
        <v>25</v>
      </c>
      <c r="D3">
        <v>2</v>
      </c>
      <c r="E3" s="5">
        <v>0</v>
      </c>
      <c r="G3">
        <v>2020</v>
      </c>
      <c r="H3" t="str">
        <v>AGRICULTURAL LOAN</v>
      </c>
      <c r="I3">
        <v>1</v>
      </c>
      <c r="J3" s="1">
        <v>0</v>
      </c>
      <c r="K3" s="25">
        <f>_xlfn.XLOOKUP($G3,'[2]1'!$A$11:$A$21,'[2]1'!C$11:C$21)</f>
        <v>6.6570554280283449</v>
      </c>
      <c r="L3" s="25">
        <f>_xlfn.XLOOKUP($G3,'[2]1'!$A$11:$A$21,'[2]1'!D$11:D$21)</f>
        <v>6.15</v>
      </c>
      <c r="M3" s="25">
        <f>_xlfn.XLOOKUP($G3,'[2]1'!$A$11:$A$21,'[2]1'!E$11:E$21)</f>
        <v>13.119</v>
      </c>
      <c r="N3" s="25">
        <f>_xlfn.XLOOKUP($G3,'[2]1'!$A$11:$A$21,'[2]1'!F$11:F$21)</f>
        <v>10.109165203675886</v>
      </c>
      <c r="O3" s="25">
        <f>_xlfn.XLOOKUP($G3,'[2]1'!$A$11:$A$21,'[2]1'!G$11:G$21)</f>
        <v>1362.35</v>
      </c>
    </row>
    <row r="4" spans="2:25" x14ac:dyDescent="0.45">
      <c r="B4">
        <v>2019</v>
      </c>
      <c r="C4" t="s">
        <v>14</v>
      </c>
      <c r="D4">
        <v>1</v>
      </c>
      <c r="E4" s="5">
        <v>7.9225078221892578E-2</v>
      </c>
      <c r="G4">
        <v>2021</v>
      </c>
      <c r="H4" t="str">
        <v>AGRICULTURAL LOAN</v>
      </c>
      <c r="I4">
        <v>1</v>
      </c>
      <c r="J4" s="1">
        <v>0</v>
      </c>
      <c r="K4" s="25">
        <v>-2.3696206265287998</v>
      </c>
      <c r="L4" s="25">
        <v>3.6</v>
      </c>
      <c r="M4" s="25">
        <v>12.581</v>
      </c>
      <c r="N4" s="25">
        <v>8.4600000000000009</v>
      </c>
      <c r="O4" s="25">
        <v>2883.41</v>
      </c>
      <c r="Q4" s="2" t="s">
        <v>42</v>
      </c>
      <c r="R4" s="2" t="s">
        <v>35</v>
      </c>
      <c r="S4" s="2" t="s">
        <v>36</v>
      </c>
      <c r="T4" s="2" t="s">
        <v>37</v>
      </c>
      <c r="U4" s="2" t="s">
        <v>39</v>
      </c>
      <c r="V4" s="2" t="s">
        <v>40</v>
      </c>
      <c r="W4" t="s">
        <v>43</v>
      </c>
    </row>
    <row r="5" spans="2:25" x14ac:dyDescent="0.45">
      <c r="B5">
        <v>2019</v>
      </c>
      <c r="C5" t="s">
        <v>14</v>
      </c>
      <c r="D5">
        <v>2</v>
      </c>
      <c r="E5" s="5">
        <v>0.26940190012890297</v>
      </c>
      <c r="G5">
        <v>2022</v>
      </c>
      <c r="H5" t="str">
        <v>AGRICULTURAL LOAN</v>
      </c>
      <c r="I5">
        <v>1</v>
      </c>
      <c r="J5" s="1">
        <v>0</v>
      </c>
      <c r="K5" s="25">
        <v>4.8381498272749335</v>
      </c>
      <c r="L5" s="25">
        <v>6.26</v>
      </c>
      <c r="M5" s="25">
        <v>10.923</v>
      </c>
      <c r="N5" s="25">
        <v>11.620299693912473</v>
      </c>
      <c r="O5" s="25">
        <v>2009.47</v>
      </c>
      <c r="Q5">
        <v>2019</v>
      </c>
      <c r="R5" s="26">
        <v>7.6223761076818732</v>
      </c>
      <c r="S5" s="26">
        <v>4.6399999999999997</v>
      </c>
      <c r="T5" s="26">
        <v>10.64</v>
      </c>
      <c r="U5" s="26">
        <v>12.134092700177552</v>
      </c>
      <c r="V5" s="26">
        <v>1259.02</v>
      </c>
      <c r="W5" s="5">
        <v>0</v>
      </c>
    </row>
    <row r="6" spans="2:25" x14ac:dyDescent="0.45">
      <c r="B6">
        <v>2019</v>
      </c>
      <c r="C6" t="s">
        <v>18</v>
      </c>
      <c r="D6">
        <v>1</v>
      </c>
      <c r="E6" s="5">
        <v>2.1339507389423765E-2</v>
      </c>
      <c r="G6">
        <v>2023</v>
      </c>
      <c r="H6" t="str">
        <v>AGRICULTURAL LOAN</v>
      </c>
      <c r="I6">
        <v>1</v>
      </c>
      <c r="J6" s="1">
        <v>2.1133731634352424E-2</v>
      </c>
      <c r="K6" s="25">
        <v>5.6131931650736817</v>
      </c>
      <c r="L6" s="25">
        <v>7.84</v>
      </c>
      <c r="M6" s="25">
        <v>10.97</v>
      </c>
      <c r="N6" s="25">
        <v>12.2968211469067</v>
      </c>
      <c r="O6" s="25">
        <v>2097.1</v>
      </c>
      <c r="Q6">
        <v>2020</v>
      </c>
      <c r="R6" s="26">
        <v>6.6570554280283449</v>
      </c>
      <c r="S6" s="26">
        <v>6.15</v>
      </c>
      <c r="T6" s="26">
        <v>13.119</v>
      </c>
      <c r="U6" s="26">
        <v>10.109165203675886</v>
      </c>
      <c r="V6" s="26">
        <v>1362.35</v>
      </c>
      <c r="W6" s="5">
        <v>0</v>
      </c>
    </row>
    <row r="7" spans="2:25" x14ac:dyDescent="0.45">
      <c r="B7">
        <v>2019</v>
      </c>
      <c r="C7" t="s">
        <v>18</v>
      </c>
      <c r="D7">
        <v>2</v>
      </c>
      <c r="E7" s="5">
        <v>1.0842394860610177E-2</v>
      </c>
      <c r="G7">
        <v>2024</v>
      </c>
      <c r="H7" t="str">
        <v>AGRICULTURAL LOAN</v>
      </c>
      <c r="I7">
        <v>1</v>
      </c>
      <c r="J7" s="1">
        <v>0.14472344171274884</v>
      </c>
      <c r="K7" s="25">
        <v>3.3</v>
      </c>
      <c r="L7" s="25">
        <v>4.0999999999999996</v>
      </c>
      <c r="M7" s="25">
        <v>11.953800000000001</v>
      </c>
      <c r="N7" s="25">
        <v>9.9340099482150723</v>
      </c>
      <c r="O7" s="25">
        <v>2240.41</v>
      </c>
      <c r="Q7">
        <v>2021</v>
      </c>
      <c r="R7" s="26">
        <v>-2.3696206265287998</v>
      </c>
      <c r="S7" s="26">
        <v>3.6</v>
      </c>
      <c r="T7" s="26">
        <v>12.581</v>
      </c>
      <c r="U7" s="26">
        <v>8.4600000000000009</v>
      </c>
      <c r="V7" s="26">
        <v>2883.41</v>
      </c>
      <c r="W7" s="5">
        <v>0</v>
      </c>
    </row>
    <row r="8" spans="2:25" x14ac:dyDescent="0.45">
      <c r="B8">
        <v>2019</v>
      </c>
      <c r="C8" t="s">
        <v>17</v>
      </c>
      <c r="D8">
        <v>1</v>
      </c>
      <c r="E8" s="5">
        <v>0</v>
      </c>
      <c r="G8">
        <v>2025</v>
      </c>
      <c r="H8" t="str">
        <v>AGRICULTURAL LOAN</v>
      </c>
      <c r="I8">
        <v>1</v>
      </c>
      <c r="J8" s="1">
        <v>1.2675887527856542E-2</v>
      </c>
      <c r="K8" s="25">
        <v>3.9883664394333493</v>
      </c>
      <c r="L8" s="25">
        <v>5.6319999999999979</v>
      </c>
      <c r="M8" s="25">
        <v>10.726940000000013</v>
      </c>
      <c r="N8" s="25">
        <v>11.530012389337571</v>
      </c>
      <c r="O8" s="25">
        <v>2409.4910000000091</v>
      </c>
      <c r="Q8">
        <v>2022</v>
      </c>
      <c r="R8" s="26">
        <v>4.8381498272749335</v>
      </c>
      <c r="S8" s="26">
        <v>6.26</v>
      </c>
      <c r="T8" s="26">
        <v>10.923</v>
      </c>
      <c r="U8" s="26">
        <v>11.620299693912473</v>
      </c>
      <c r="V8" s="26">
        <v>2009.47</v>
      </c>
      <c r="W8" s="5">
        <v>0</v>
      </c>
    </row>
    <row r="9" spans="2:25" x14ac:dyDescent="0.45">
      <c r="B9">
        <v>2019</v>
      </c>
      <c r="C9" t="s">
        <v>17</v>
      </c>
      <c r="D9">
        <v>2</v>
      </c>
      <c r="E9" s="5">
        <v>0</v>
      </c>
      <c r="G9">
        <v>2019</v>
      </c>
      <c r="H9" t="str">
        <v>AGRICULTURE LOAN</v>
      </c>
      <c r="I9">
        <v>1</v>
      </c>
      <c r="J9" s="1">
        <v>7.9225078221892578E-2</v>
      </c>
      <c r="K9" s="25">
        <v>7.6223761076818732</v>
      </c>
      <c r="L9" s="25">
        <v>4.6399999999999997</v>
      </c>
      <c r="M9" s="25">
        <v>10.64</v>
      </c>
      <c r="N9" s="25">
        <v>12.134092700177552</v>
      </c>
      <c r="O9" s="25">
        <v>1259.02</v>
      </c>
      <c r="Q9">
        <v>2023</v>
      </c>
      <c r="R9" s="26">
        <v>5.6131931650736817</v>
      </c>
      <c r="S9" s="26">
        <v>7.84</v>
      </c>
      <c r="T9" s="26">
        <v>10.97</v>
      </c>
      <c r="U9" s="26">
        <v>12.2968211469067</v>
      </c>
      <c r="V9" s="26">
        <v>2097.1</v>
      </c>
      <c r="W9" s="5">
        <v>2.1133731634352424E-2</v>
      </c>
    </row>
    <row r="10" spans="2:25" x14ac:dyDescent="0.45">
      <c r="B10">
        <v>2019</v>
      </c>
      <c r="C10" t="s">
        <v>12</v>
      </c>
      <c r="D10">
        <v>1</v>
      </c>
      <c r="E10" s="5">
        <v>2.0263478941244081E-2</v>
      </c>
      <c r="G10">
        <v>2020</v>
      </c>
      <c r="H10" t="str">
        <v>AGRICULTURE LOAN</v>
      </c>
      <c r="I10">
        <v>1</v>
      </c>
      <c r="J10" s="1">
        <v>0.15993620991241203</v>
      </c>
      <c r="K10" s="25">
        <v>6.6570554280283449</v>
      </c>
      <c r="L10" s="25">
        <v>6.15</v>
      </c>
      <c r="M10" s="25">
        <v>13.119</v>
      </c>
      <c r="N10" s="25">
        <v>10.109165203675886</v>
      </c>
      <c r="O10" s="25">
        <v>1362.35</v>
      </c>
      <c r="Q10">
        <v>2024</v>
      </c>
      <c r="R10" s="26">
        <v>3.3</v>
      </c>
      <c r="S10" s="26">
        <v>4.0999999999999996</v>
      </c>
      <c r="T10" s="26">
        <v>11.953800000000001</v>
      </c>
      <c r="U10" s="26">
        <v>9.9340099482150723</v>
      </c>
      <c r="V10" s="26">
        <v>2240.41</v>
      </c>
      <c r="W10" s="5">
        <v>0.14472344171274884</v>
      </c>
    </row>
    <row r="11" spans="2:25" x14ac:dyDescent="0.45">
      <c r="B11">
        <v>2019</v>
      </c>
      <c r="C11" t="s">
        <v>12</v>
      </c>
      <c r="D11">
        <v>2</v>
      </c>
      <c r="E11" s="5">
        <v>9.4167576639656123E-2</v>
      </c>
      <c r="G11">
        <v>2021</v>
      </c>
      <c r="H11" t="str">
        <v>AGRICULTURE LOAN</v>
      </c>
      <c r="I11">
        <v>1</v>
      </c>
      <c r="J11" s="1">
        <v>9.5592595322526216E-2</v>
      </c>
      <c r="K11" s="25">
        <v>-2.3696206265287998</v>
      </c>
      <c r="L11" s="25">
        <v>3.6</v>
      </c>
      <c r="M11" s="25">
        <v>12.581</v>
      </c>
      <c r="N11" s="25">
        <v>8.4600000000000009</v>
      </c>
      <c r="O11" s="25">
        <v>2883.41</v>
      </c>
      <c r="Q11">
        <v>2025</v>
      </c>
      <c r="R11" s="26">
        <v>3.9883664394333493</v>
      </c>
      <c r="S11" s="26">
        <v>5.6319999999999979</v>
      </c>
      <c r="T11" s="26">
        <v>10.726940000000013</v>
      </c>
      <c r="U11" s="26">
        <v>11.530012389337571</v>
      </c>
      <c r="V11" s="26">
        <v>2409.4910000000091</v>
      </c>
      <c r="W11" s="5">
        <v>1.2675887527856542E-2</v>
      </c>
    </row>
    <row r="12" spans="2:25" x14ac:dyDescent="0.45">
      <c r="B12">
        <v>2019</v>
      </c>
      <c r="C12" t="s">
        <v>26</v>
      </c>
      <c r="D12">
        <v>1</v>
      </c>
      <c r="E12" s="5">
        <v>3.3597509575200427E-2</v>
      </c>
      <c r="G12">
        <v>2022</v>
      </c>
      <c r="H12" t="str">
        <v>AGRICULTURE LOAN</v>
      </c>
      <c r="I12">
        <v>1</v>
      </c>
      <c r="J12" s="1">
        <v>0.10466617365919911</v>
      </c>
      <c r="K12" s="25">
        <v>4.8381498272749335</v>
      </c>
      <c r="L12" s="25">
        <v>6.26</v>
      </c>
      <c r="M12" s="25">
        <v>10.923</v>
      </c>
      <c r="N12" s="25">
        <v>11.620299693912473</v>
      </c>
      <c r="O12" s="25">
        <v>2009.47</v>
      </c>
    </row>
    <row r="13" spans="2:25" x14ac:dyDescent="0.45">
      <c r="B13">
        <v>2019</v>
      </c>
      <c r="C13" t="s">
        <v>26</v>
      </c>
      <c r="D13">
        <v>2</v>
      </c>
      <c r="E13" s="5">
        <v>0</v>
      </c>
      <c r="G13">
        <v>2023</v>
      </c>
      <c r="H13" t="str">
        <v>AGRICULTURE LOAN</v>
      </c>
      <c r="I13">
        <v>1</v>
      </c>
      <c r="J13" s="1">
        <v>0.28768767215176849</v>
      </c>
      <c r="K13" s="25">
        <v>5.6131931650736817</v>
      </c>
      <c r="L13" s="25">
        <v>7.84</v>
      </c>
      <c r="M13" s="25">
        <v>10.97</v>
      </c>
      <c r="N13" s="25">
        <v>12.2968211469067</v>
      </c>
      <c r="O13" s="25">
        <v>2097.1</v>
      </c>
    </row>
    <row r="14" spans="2:25" x14ac:dyDescent="0.45">
      <c r="B14">
        <v>2019</v>
      </c>
      <c r="C14" t="s">
        <v>13</v>
      </c>
      <c r="D14">
        <v>1</v>
      </c>
      <c r="E14" s="5">
        <v>5.7458189138133831E-2</v>
      </c>
      <c r="G14">
        <v>2024</v>
      </c>
      <c r="H14" t="str">
        <v>AGRICULTURE LOAN</v>
      </c>
      <c r="I14">
        <v>1</v>
      </c>
      <c r="J14" s="1">
        <v>0.22294726439554771</v>
      </c>
      <c r="K14" s="25">
        <v>3.3</v>
      </c>
      <c r="L14" s="25">
        <v>4.0999999999999996</v>
      </c>
      <c r="M14" s="25">
        <v>11.953800000000001</v>
      </c>
      <c r="N14" s="25">
        <v>9.9340099482150723</v>
      </c>
      <c r="O14" s="25">
        <v>2240.41</v>
      </c>
    </row>
    <row r="15" spans="2:25" x14ac:dyDescent="0.45">
      <c r="B15">
        <v>2019</v>
      </c>
      <c r="C15" t="s">
        <v>13</v>
      </c>
      <c r="D15">
        <v>2</v>
      </c>
      <c r="E15" s="5">
        <v>0.11209341327543652</v>
      </c>
      <c r="G15">
        <v>2025</v>
      </c>
      <c r="H15" t="str">
        <v>AGRICULTURE LOAN</v>
      </c>
      <c r="I15">
        <v>1</v>
      </c>
      <c r="J15" s="1">
        <v>8.3882953150711342E-2</v>
      </c>
      <c r="K15" s="25">
        <v>3.9883664394333493</v>
      </c>
      <c r="L15" s="25">
        <v>5.6319999999999979</v>
      </c>
      <c r="M15" s="25">
        <v>10.726940000000013</v>
      </c>
      <c r="N15" s="25">
        <v>11.530012389337571</v>
      </c>
      <c r="O15" s="25">
        <v>2409.4910000000091</v>
      </c>
    </row>
    <row r="16" spans="2:25" x14ac:dyDescent="0.45">
      <c r="B16">
        <v>2019</v>
      </c>
      <c r="C16" t="s">
        <v>29</v>
      </c>
      <c r="D16">
        <v>1</v>
      </c>
      <c r="E16" s="5">
        <v>0</v>
      </c>
      <c r="G16">
        <v>2019</v>
      </c>
      <c r="H16" t="str">
        <v>BIS/PERHIRE PURCHASE</v>
      </c>
      <c r="I16">
        <v>1</v>
      </c>
      <c r="J16" s="1">
        <v>2.1339507389423765E-2</v>
      </c>
      <c r="K16" s="25">
        <v>7.6223761076818732</v>
      </c>
      <c r="L16" s="25">
        <v>4.6399999999999997</v>
      </c>
      <c r="M16" s="25">
        <v>10.64</v>
      </c>
      <c r="N16" s="25">
        <v>12.134092700177552</v>
      </c>
      <c r="O16" s="25">
        <v>1259.02</v>
      </c>
    </row>
    <row r="17" spans="2:15" x14ac:dyDescent="0.45">
      <c r="B17">
        <v>2019</v>
      </c>
      <c r="C17" t="s">
        <v>29</v>
      </c>
      <c r="D17">
        <v>2</v>
      </c>
      <c r="E17" s="5">
        <v>0</v>
      </c>
      <c r="G17">
        <v>2020</v>
      </c>
      <c r="H17" t="str">
        <v>BIS/PERHIRE PURCHASE</v>
      </c>
      <c r="I17">
        <v>1</v>
      </c>
      <c r="J17" s="1">
        <v>0.45842506055651472</v>
      </c>
      <c r="K17" s="25">
        <v>6.6570554280283449</v>
      </c>
      <c r="L17" s="25">
        <v>6.15</v>
      </c>
      <c r="M17" s="25">
        <v>13.119</v>
      </c>
      <c r="N17" s="25">
        <v>10.109165203675886</v>
      </c>
      <c r="O17" s="25">
        <v>1362.35</v>
      </c>
    </row>
    <row r="18" spans="2:15" x14ac:dyDescent="0.45">
      <c r="B18">
        <v>2019</v>
      </c>
      <c r="C18" t="s">
        <v>11</v>
      </c>
      <c r="D18">
        <v>1</v>
      </c>
      <c r="E18" s="5">
        <v>0.22448908935199494</v>
      </c>
      <c r="G18">
        <v>2021</v>
      </c>
      <c r="H18" t="str">
        <v>BIS/PERHIRE PURCHASE</v>
      </c>
      <c r="I18">
        <v>1</v>
      </c>
      <c r="J18" s="1">
        <v>0.15323737730266845</v>
      </c>
      <c r="K18" s="25">
        <v>-2.3696206265287998</v>
      </c>
      <c r="L18" s="25">
        <v>3.6</v>
      </c>
      <c r="M18" s="25">
        <v>12.581</v>
      </c>
      <c r="N18" s="25">
        <v>8.4600000000000009</v>
      </c>
      <c r="O18" s="25">
        <v>2883.41</v>
      </c>
    </row>
    <row r="19" spans="2:15" x14ac:dyDescent="0.45">
      <c r="B19">
        <v>2019</v>
      </c>
      <c r="C19" t="s">
        <v>11</v>
      </c>
      <c r="D19">
        <v>2</v>
      </c>
      <c r="E19" s="5">
        <v>0.30335198462458651</v>
      </c>
      <c r="G19">
        <v>2022</v>
      </c>
      <c r="H19" t="str">
        <v>BIS/PERHIRE PURCHASE</v>
      </c>
      <c r="I19">
        <v>1</v>
      </c>
      <c r="J19" s="1">
        <v>0.1735543428739382</v>
      </c>
      <c r="K19" s="25">
        <v>4.8381498272749335</v>
      </c>
      <c r="L19" s="25">
        <v>6.26</v>
      </c>
      <c r="M19" s="25">
        <v>10.923</v>
      </c>
      <c r="N19" s="25">
        <v>11.620299693912473</v>
      </c>
      <c r="O19" s="25">
        <v>2009.47</v>
      </c>
    </row>
    <row r="20" spans="2:15" x14ac:dyDescent="0.45">
      <c r="B20">
        <v>2019</v>
      </c>
      <c r="C20" t="s">
        <v>8</v>
      </c>
      <c r="D20">
        <v>1</v>
      </c>
      <c r="E20" s="5">
        <v>8.8018589863824062E-2</v>
      </c>
      <c r="G20">
        <v>2023</v>
      </c>
      <c r="H20" t="str">
        <v>BIS/PERHIRE PURCHASE</v>
      </c>
      <c r="I20">
        <v>1</v>
      </c>
      <c r="J20" s="1">
        <v>0.30109829177467595</v>
      </c>
      <c r="K20" s="25">
        <v>5.6131931650736817</v>
      </c>
      <c r="L20" s="25">
        <v>7.84</v>
      </c>
      <c r="M20" s="25">
        <v>10.97</v>
      </c>
      <c r="N20" s="25">
        <v>12.2968211469067</v>
      </c>
      <c r="O20" s="25">
        <v>2097.1</v>
      </c>
    </row>
    <row r="21" spans="2:15" x14ac:dyDescent="0.45">
      <c r="B21">
        <v>2019</v>
      </c>
      <c r="C21" t="s">
        <v>8</v>
      </c>
      <c r="D21">
        <v>2</v>
      </c>
      <c r="E21" s="5">
        <v>0.20300271676190143</v>
      </c>
      <c r="G21">
        <v>2024</v>
      </c>
      <c r="H21" t="str">
        <v>BIS/PERHIRE PURCHASE</v>
      </c>
      <c r="I21">
        <v>1</v>
      </c>
      <c r="J21" s="1">
        <v>0.37866741266462878</v>
      </c>
      <c r="K21" s="25">
        <v>3.3</v>
      </c>
      <c r="L21" s="25">
        <v>4.0999999999999996</v>
      </c>
      <c r="M21" s="25">
        <v>11.953800000000001</v>
      </c>
      <c r="N21" s="25">
        <v>9.9340099482150723</v>
      </c>
      <c r="O21" s="25">
        <v>2240.41</v>
      </c>
    </row>
    <row r="22" spans="2:15" x14ac:dyDescent="0.45">
      <c r="B22">
        <v>2019</v>
      </c>
      <c r="C22" t="s">
        <v>19</v>
      </c>
      <c r="D22">
        <v>1</v>
      </c>
      <c r="E22" s="5">
        <v>0</v>
      </c>
      <c r="G22">
        <v>2025</v>
      </c>
      <c r="H22" t="str">
        <v>BIS/PERHIRE PURCHASE</v>
      </c>
      <c r="I22">
        <v>1</v>
      </c>
      <c r="J22" s="1">
        <v>0.19528280506701479</v>
      </c>
      <c r="K22" s="25">
        <v>3.9883664394333493</v>
      </c>
      <c r="L22" s="25">
        <v>5.6319999999999979</v>
      </c>
      <c r="M22" s="25">
        <v>10.726940000000013</v>
      </c>
      <c r="N22" s="25">
        <v>11.530012389337571</v>
      </c>
      <c r="O22" s="25">
        <v>2409.4910000000091</v>
      </c>
    </row>
    <row r="23" spans="2:15" x14ac:dyDescent="0.45">
      <c r="B23">
        <v>2019</v>
      </c>
      <c r="C23" t="s">
        <v>19</v>
      </c>
      <c r="D23">
        <v>2</v>
      </c>
      <c r="E23" s="5">
        <v>0</v>
      </c>
      <c r="G23">
        <v>2019</v>
      </c>
      <c r="H23" t="str">
        <v>CONS FIN BUSN TRM LO</v>
      </c>
      <c r="I23">
        <v>1</v>
      </c>
      <c r="J23" s="1">
        <v>0</v>
      </c>
      <c r="K23" s="25">
        <v>7.6223761076818732</v>
      </c>
      <c r="L23" s="25">
        <v>4.6399999999999997</v>
      </c>
      <c r="M23" s="25">
        <v>10.64</v>
      </c>
      <c r="N23" s="25">
        <v>12.134092700177552</v>
      </c>
      <c r="O23" s="25">
        <v>1259.02</v>
      </c>
    </row>
    <row r="24" spans="2:15" x14ac:dyDescent="0.45">
      <c r="B24">
        <v>2019</v>
      </c>
      <c r="C24" t="s">
        <v>22</v>
      </c>
      <c r="D24">
        <v>1</v>
      </c>
      <c r="E24" s="5">
        <v>0</v>
      </c>
      <c r="G24">
        <v>2020</v>
      </c>
      <c r="H24" t="str">
        <v>CONS FIN BUSN TRM LO</v>
      </c>
      <c r="I24">
        <v>1</v>
      </c>
      <c r="J24" s="1">
        <v>0</v>
      </c>
      <c r="K24" s="25">
        <v>6.6570554280283449</v>
      </c>
      <c r="L24" s="25">
        <v>6.15</v>
      </c>
      <c r="M24" s="25">
        <v>13.119</v>
      </c>
      <c r="N24" s="25">
        <v>10.109165203675886</v>
      </c>
      <c r="O24" s="25">
        <v>1362.35</v>
      </c>
    </row>
    <row r="25" spans="2:15" x14ac:dyDescent="0.45">
      <c r="B25">
        <v>2019</v>
      </c>
      <c r="C25" t="s">
        <v>22</v>
      </c>
      <c r="D25">
        <v>2</v>
      </c>
      <c r="E25" s="5">
        <v>0</v>
      </c>
      <c r="G25">
        <v>2021</v>
      </c>
      <c r="H25" t="str">
        <v>CONS FIN BUSN TRM LO</v>
      </c>
      <c r="I25">
        <v>1</v>
      </c>
      <c r="J25" s="1">
        <v>0</v>
      </c>
      <c r="K25" s="25">
        <v>-2.3696206265287998</v>
      </c>
      <c r="L25" s="25">
        <v>3.6</v>
      </c>
      <c r="M25" s="25">
        <v>12.581</v>
      </c>
      <c r="N25" s="25">
        <v>8.4600000000000009</v>
      </c>
      <c r="O25" s="25">
        <v>2883.41</v>
      </c>
    </row>
    <row r="26" spans="2:15" x14ac:dyDescent="0.45">
      <c r="B26">
        <v>2019</v>
      </c>
      <c r="C26" t="s">
        <v>10</v>
      </c>
      <c r="D26">
        <v>1</v>
      </c>
      <c r="E26" s="5">
        <v>0</v>
      </c>
      <c r="G26">
        <v>2022</v>
      </c>
      <c r="H26" t="str">
        <v>CONS FIN BUSN TRM LO</v>
      </c>
      <c r="I26">
        <v>1</v>
      </c>
      <c r="J26" s="1">
        <v>0</v>
      </c>
      <c r="K26" s="25">
        <v>4.8381498272749335</v>
      </c>
      <c r="L26" s="25">
        <v>6.26</v>
      </c>
      <c r="M26" s="25">
        <v>10.923</v>
      </c>
      <c r="N26" s="25">
        <v>11.620299693912473</v>
      </c>
      <c r="O26" s="25">
        <v>2009.47</v>
      </c>
    </row>
    <row r="27" spans="2:15" x14ac:dyDescent="0.45">
      <c r="B27">
        <v>2019</v>
      </c>
      <c r="C27" t="s">
        <v>10</v>
      </c>
      <c r="D27">
        <v>2</v>
      </c>
      <c r="E27" s="5">
        <v>0</v>
      </c>
      <c r="G27">
        <v>2023</v>
      </c>
      <c r="H27" t="str">
        <v>CONS FIN BUSN TRM LO</v>
      </c>
      <c r="I27">
        <v>1</v>
      </c>
      <c r="J27" s="1">
        <v>0</v>
      </c>
      <c r="K27" s="25">
        <v>5.6131931650736817</v>
      </c>
      <c r="L27" s="25">
        <v>7.84</v>
      </c>
      <c r="M27" s="25">
        <v>10.97</v>
      </c>
      <c r="N27" s="25">
        <v>12.2968211469067</v>
      </c>
      <c r="O27" s="25">
        <v>2097.1</v>
      </c>
    </row>
    <row r="28" spans="2:15" x14ac:dyDescent="0.45">
      <c r="B28">
        <v>2019</v>
      </c>
      <c r="C28" t="s">
        <v>21</v>
      </c>
      <c r="D28">
        <v>1</v>
      </c>
      <c r="E28" s="5">
        <v>0</v>
      </c>
      <c r="G28">
        <v>2024</v>
      </c>
      <c r="H28" t="str">
        <v>CONS FIN BUSN TRM LO</v>
      </c>
      <c r="I28">
        <v>1</v>
      </c>
      <c r="J28" s="1">
        <v>0</v>
      </c>
      <c r="K28" s="25">
        <v>3.3</v>
      </c>
      <c r="L28" s="25">
        <v>4.0999999999999996</v>
      </c>
      <c r="M28" s="25">
        <v>11.953800000000001</v>
      </c>
      <c r="N28" s="25">
        <v>9.9340099482150723</v>
      </c>
      <c r="O28" s="25">
        <v>2240.41</v>
      </c>
    </row>
    <row r="29" spans="2:15" x14ac:dyDescent="0.45">
      <c r="B29">
        <v>2019</v>
      </c>
      <c r="C29" t="s">
        <v>21</v>
      </c>
      <c r="D29">
        <v>2</v>
      </c>
      <c r="E29" s="5">
        <v>0</v>
      </c>
      <c r="G29">
        <v>2025</v>
      </c>
      <c r="H29" t="str">
        <v>CONS FIN BUSN TRM LO</v>
      </c>
      <c r="I29">
        <v>1</v>
      </c>
      <c r="J29" s="1">
        <v>0</v>
      </c>
      <c r="K29" s="25">
        <v>3.9883664394333493</v>
      </c>
      <c r="L29" s="25">
        <v>5.6319999999999979</v>
      </c>
      <c r="M29" s="25">
        <v>10.726940000000013</v>
      </c>
      <c r="N29" s="25">
        <v>11.530012389337571</v>
      </c>
      <c r="O29" s="25">
        <v>2409.4910000000091</v>
      </c>
    </row>
    <row r="30" spans="2:15" x14ac:dyDescent="0.45">
      <c r="B30">
        <v>2019</v>
      </c>
      <c r="C30" t="s">
        <v>4</v>
      </c>
      <c r="D30">
        <v>1</v>
      </c>
      <c r="E30" s="5">
        <v>0</v>
      </c>
      <c r="G30">
        <v>2019</v>
      </c>
      <c r="H30" t="str">
        <v>DEPRIVED SECTOR LOAN</v>
      </c>
      <c r="I30">
        <v>1</v>
      </c>
      <c r="J30" s="1">
        <v>2.0263478941244081E-2</v>
      </c>
      <c r="K30" s="25">
        <v>7.6223761076818732</v>
      </c>
      <c r="L30" s="25">
        <v>4.6399999999999997</v>
      </c>
      <c r="M30" s="25">
        <v>10.64</v>
      </c>
      <c r="N30" s="25">
        <v>12.134092700177552</v>
      </c>
      <c r="O30" s="25">
        <v>1259.02</v>
      </c>
    </row>
    <row r="31" spans="2:15" x14ac:dyDescent="0.45">
      <c r="B31">
        <v>2019</v>
      </c>
      <c r="C31" t="s">
        <v>4</v>
      </c>
      <c r="D31">
        <v>2</v>
      </c>
      <c r="E31" s="5">
        <v>0</v>
      </c>
      <c r="G31">
        <v>2020</v>
      </c>
      <c r="H31" t="str">
        <v>DEPRIVED SECTOR LOAN</v>
      </c>
      <c r="I31">
        <v>1</v>
      </c>
      <c r="J31" s="1">
        <v>0.14907082860570955</v>
      </c>
      <c r="K31" s="25">
        <v>6.6570554280283449</v>
      </c>
      <c r="L31" s="25">
        <v>6.15</v>
      </c>
      <c r="M31" s="25">
        <v>13.119</v>
      </c>
      <c r="N31" s="25">
        <v>10.109165203675886</v>
      </c>
      <c r="O31" s="25">
        <v>1362.35</v>
      </c>
    </row>
    <row r="32" spans="2:15" x14ac:dyDescent="0.45">
      <c r="B32">
        <v>2019</v>
      </c>
      <c r="C32" t="s">
        <v>3</v>
      </c>
      <c r="D32">
        <v>1</v>
      </c>
      <c r="E32" s="5">
        <v>0</v>
      </c>
      <c r="G32">
        <v>2021</v>
      </c>
      <c r="H32" t="str">
        <v>DEPRIVED SECTOR LOAN</v>
      </c>
      <c r="I32">
        <v>1</v>
      </c>
      <c r="J32" s="1">
        <v>2.7663627090172452E-2</v>
      </c>
      <c r="K32" s="25">
        <v>-2.3696206265287998</v>
      </c>
      <c r="L32" s="25">
        <v>3.6</v>
      </c>
      <c r="M32" s="25">
        <v>12.581</v>
      </c>
      <c r="N32" s="25">
        <v>8.4600000000000009</v>
      </c>
      <c r="O32" s="25">
        <v>2883.41</v>
      </c>
    </row>
    <row r="33" spans="2:15" x14ac:dyDescent="0.45">
      <c r="B33">
        <v>2019</v>
      </c>
      <c r="C33" t="s">
        <v>3</v>
      </c>
      <c r="D33">
        <v>2</v>
      </c>
      <c r="E33" s="5">
        <v>0</v>
      </c>
      <c r="G33">
        <v>2022</v>
      </c>
      <c r="H33" t="str">
        <v>DEPRIVED SECTOR LOAN</v>
      </c>
      <c r="I33">
        <v>1</v>
      </c>
      <c r="J33" s="1">
        <v>5.8512520595660521E-3</v>
      </c>
      <c r="K33" s="25">
        <v>4.8381498272749335</v>
      </c>
      <c r="L33" s="25">
        <v>6.26</v>
      </c>
      <c r="M33" s="25">
        <v>10.923</v>
      </c>
      <c r="N33" s="25">
        <v>11.620299693912473</v>
      </c>
      <c r="O33" s="25">
        <v>2009.47</v>
      </c>
    </row>
    <row r="34" spans="2:15" x14ac:dyDescent="0.45">
      <c r="B34">
        <v>2019</v>
      </c>
      <c r="C34" t="s">
        <v>5</v>
      </c>
      <c r="D34">
        <v>1</v>
      </c>
      <c r="E34" s="5">
        <v>0</v>
      </c>
      <c r="G34">
        <v>2023</v>
      </c>
      <c r="H34" t="str">
        <v>DEPRIVED SECTOR LOAN</v>
      </c>
      <c r="I34">
        <v>1</v>
      </c>
      <c r="J34" s="1">
        <v>6.6635800989901003E-2</v>
      </c>
      <c r="K34" s="25">
        <v>5.6131931650736817</v>
      </c>
      <c r="L34" s="25">
        <v>7.84</v>
      </c>
      <c r="M34" s="25">
        <v>10.97</v>
      </c>
      <c r="N34" s="25">
        <v>12.2968211469067</v>
      </c>
      <c r="O34" s="25">
        <v>2097.1</v>
      </c>
    </row>
    <row r="35" spans="2:15" x14ac:dyDescent="0.45">
      <c r="B35">
        <v>2019</v>
      </c>
      <c r="C35" t="s">
        <v>5</v>
      </c>
      <c r="D35">
        <v>2</v>
      </c>
      <c r="E35" s="5">
        <v>0</v>
      </c>
      <c r="G35">
        <v>2024</v>
      </c>
      <c r="H35" t="str">
        <v>DEPRIVED SECTOR LOAN</v>
      </c>
      <c r="I35">
        <v>1</v>
      </c>
      <c r="J35" s="1">
        <v>7.0712497491678579E-3</v>
      </c>
      <c r="K35" s="25">
        <v>3.3</v>
      </c>
      <c r="L35" s="25">
        <v>4.0999999999999996</v>
      </c>
      <c r="M35" s="25">
        <v>11.953800000000001</v>
      </c>
      <c r="N35" s="25">
        <v>9.9340099482150723</v>
      </c>
      <c r="O35" s="25">
        <v>2240.41</v>
      </c>
    </row>
    <row r="36" spans="2:15" x14ac:dyDescent="0.45">
      <c r="B36">
        <v>2019</v>
      </c>
      <c r="C36" t="s">
        <v>30</v>
      </c>
      <c r="D36">
        <v>1</v>
      </c>
      <c r="E36" s="5">
        <v>0</v>
      </c>
      <c r="G36">
        <v>2025</v>
      </c>
      <c r="H36" t="str">
        <v>DEPRIVED SECTOR LOAN</v>
      </c>
      <c r="I36">
        <v>1</v>
      </c>
      <c r="J36" s="1">
        <v>2.8464920153483124E-3</v>
      </c>
      <c r="K36" s="25">
        <v>3.9883664394333493</v>
      </c>
      <c r="L36" s="25">
        <v>5.6319999999999979</v>
      </c>
      <c r="M36" s="25">
        <v>10.726940000000013</v>
      </c>
      <c r="N36" s="25">
        <v>11.530012389337571</v>
      </c>
      <c r="O36" s="25">
        <v>2409.4910000000091</v>
      </c>
    </row>
    <row r="37" spans="2:15" x14ac:dyDescent="0.45">
      <c r="B37">
        <v>2019</v>
      </c>
      <c r="C37" t="s">
        <v>30</v>
      </c>
      <c r="D37">
        <v>2</v>
      </c>
      <c r="E37" s="5">
        <v>0</v>
      </c>
      <c r="G37">
        <v>2019</v>
      </c>
      <c r="H37" t="str">
        <v>EARTHQUAKE RELIEF LO</v>
      </c>
      <c r="I37">
        <v>1</v>
      </c>
      <c r="J37" s="1">
        <v>3.3597509575200427E-2</v>
      </c>
      <c r="K37" s="25">
        <v>7.6223761076818732</v>
      </c>
      <c r="L37" s="25">
        <v>4.6399999999999997</v>
      </c>
      <c r="M37" s="25">
        <v>10.64</v>
      </c>
      <c r="N37" s="25">
        <v>12.134092700177552</v>
      </c>
      <c r="O37" s="25">
        <v>1259.02</v>
      </c>
    </row>
    <row r="38" spans="2:15" x14ac:dyDescent="0.45">
      <c r="B38">
        <v>2019</v>
      </c>
      <c r="C38" t="s">
        <v>20</v>
      </c>
      <c r="D38">
        <v>1</v>
      </c>
      <c r="E38" s="5">
        <v>6.501302881848188E-2</v>
      </c>
      <c r="G38">
        <v>2020</v>
      </c>
      <c r="H38" t="str">
        <v>EARTHQUAKE RELIEF LO</v>
      </c>
      <c r="I38">
        <v>1</v>
      </c>
      <c r="J38" s="1">
        <v>0</v>
      </c>
      <c r="K38" s="25">
        <v>6.6570554280283449</v>
      </c>
      <c r="L38" s="25">
        <v>6.15</v>
      </c>
      <c r="M38" s="25">
        <v>13.119</v>
      </c>
      <c r="N38" s="25">
        <v>10.109165203675886</v>
      </c>
      <c r="O38" s="25">
        <v>1362.35</v>
      </c>
    </row>
    <row r="39" spans="2:15" x14ac:dyDescent="0.45">
      <c r="B39">
        <v>2019</v>
      </c>
      <c r="C39" t="s">
        <v>20</v>
      </c>
      <c r="D39">
        <v>2</v>
      </c>
      <c r="E39" s="5">
        <v>7.3251769492074056E-2</v>
      </c>
      <c r="G39">
        <v>2021</v>
      </c>
      <c r="H39" t="str">
        <v>EARTHQUAKE RELIEF LO</v>
      </c>
      <c r="I39">
        <v>1</v>
      </c>
      <c r="J39" s="1">
        <v>0</v>
      </c>
      <c r="K39" s="25">
        <v>-2.3696206265287998</v>
      </c>
      <c r="L39" s="25">
        <v>3.6</v>
      </c>
      <c r="M39" s="25">
        <v>12.581</v>
      </c>
      <c r="N39" s="25">
        <v>8.4600000000000009</v>
      </c>
      <c r="O39" s="25">
        <v>2883.41</v>
      </c>
    </row>
    <row r="40" spans="2:15" x14ac:dyDescent="0.45">
      <c r="B40">
        <v>2019</v>
      </c>
      <c r="C40" t="s">
        <v>23</v>
      </c>
      <c r="D40">
        <v>1</v>
      </c>
      <c r="E40" s="5">
        <v>0</v>
      </c>
      <c r="G40">
        <v>2022</v>
      </c>
      <c r="H40" t="str">
        <v>EARTHQUAKE RELIEF LO</v>
      </c>
      <c r="I40">
        <v>1</v>
      </c>
      <c r="J40" s="1">
        <v>0</v>
      </c>
      <c r="K40" s="25">
        <v>4.8381498272749335</v>
      </c>
      <c r="L40" s="25">
        <v>6.26</v>
      </c>
      <c r="M40" s="25">
        <v>10.923</v>
      </c>
      <c r="N40" s="25">
        <v>11.620299693912473</v>
      </c>
      <c r="O40" s="25">
        <v>2009.47</v>
      </c>
    </row>
    <row r="41" spans="2:15" x14ac:dyDescent="0.45">
      <c r="B41">
        <v>2019</v>
      </c>
      <c r="C41" t="s">
        <v>23</v>
      </c>
      <c r="D41">
        <v>2</v>
      </c>
      <c r="E41" s="5">
        <v>0</v>
      </c>
      <c r="G41">
        <v>2023</v>
      </c>
      <c r="H41" t="str">
        <v>EARTHQUAKE RELIEF LO</v>
      </c>
      <c r="I41">
        <v>1</v>
      </c>
      <c r="J41" s="1">
        <v>0</v>
      </c>
      <c r="K41" s="25">
        <v>5.6131931650736817</v>
      </c>
      <c r="L41" s="25">
        <v>7.84</v>
      </c>
      <c r="M41" s="25">
        <v>10.97</v>
      </c>
      <c r="N41" s="25">
        <v>12.2968211469067</v>
      </c>
      <c r="O41" s="25">
        <v>2097.1</v>
      </c>
    </row>
    <row r="42" spans="2:15" x14ac:dyDescent="0.45">
      <c r="B42">
        <v>2019</v>
      </c>
      <c r="C42" t="s">
        <v>15</v>
      </c>
      <c r="D42">
        <v>1</v>
      </c>
      <c r="E42" s="5">
        <v>2.5229453847217184E-3</v>
      </c>
      <c r="G42">
        <v>2024</v>
      </c>
      <c r="H42" t="str">
        <v>EARTHQUAKE RELIEF LO</v>
      </c>
      <c r="I42">
        <v>1</v>
      </c>
      <c r="J42" s="1">
        <v>0</v>
      </c>
      <c r="K42" s="25">
        <v>3.3</v>
      </c>
      <c r="L42" s="25">
        <v>4.0999999999999996</v>
      </c>
      <c r="M42" s="25">
        <v>11.953800000000001</v>
      </c>
      <c r="N42" s="25">
        <v>9.9340099482150723</v>
      </c>
      <c r="O42" s="25">
        <v>2240.41</v>
      </c>
    </row>
    <row r="43" spans="2:15" x14ac:dyDescent="0.45">
      <c r="B43">
        <v>2019</v>
      </c>
      <c r="C43" t="s">
        <v>15</v>
      </c>
      <c r="D43">
        <v>2</v>
      </c>
      <c r="E43" s="5">
        <v>2.0923988910437619E-3</v>
      </c>
      <c r="G43">
        <v>2025</v>
      </c>
      <c r="H43" t="str">
        <v>EARTHQUAKE RELIEF LO</v>
      </c>
      <c r="I43">
        <v>1</v>
      </c>
      <c r="J43" s="1">
        <v>0</v>
      </c>
      <c r="K43" s="25">
        <v>3.9883664394333493</v>
      </c>
      <c r="L43" s="25">
        <v>5.6319999999999979</v>
      </c>
      <c r="M43" s="25">
        <v>10.726940000000013</v>
      </c>
      <c r="N43" s="25">
        <v>11.530012389337571</v>
      </c>
      <c r="O43" s="25">
        <v>2409.4910000000091</v>
      </c>
    </row>
    <row r="44" spans="2:15" x14ac:dyDescent="0.45">
      <c r="B44">
        <v>2019</v>
      </c>
      <c r="C44" t="s">
        <v>9</v>
      </c>
      <c r="D44">
        <v>1</v>
      </c>
      <c r="E44" s="5">
        <v>4.7726487469854188E-2</v>
      </c>
      <c r="G44">
        <v>2019</v>
      </c>
      <c r="H44" t="str">
        <v>EDUCATIONAL LOAN</v>
      </c>
      <c r="I44">
        <v>1</v>
      </c>
      <c r="J44" s="1">
        <v>5.7458189138133831E-2</v>
      </c>
      <c r="K44" s="25">
        <v>7.6223761076818732</v>
      </c>
      <c r="L44" s="25">
        <v>4.6399999999999997</v>
      </c>
      <c r="M44" s="25">
        <v>10.64</v>
      </c>
      <c r="N44" s="25">
        <v>12.134092700177552</v>
      </c>
      <c r="O44" s="25">
        <v>1259.02</v>
      </c>
    </row>
    <row r="45" spans="2:15" x14ac:dyDescent="0.45">
      <c r="B45">
        <v>2019</v>
      </c>
      <c r="C45" t="s">
        <v>9</v>
      </c>
      <c r="D45">
        <v>2</v>
      </c>
      <c r="E45" s="5">
        <v>0.32165960507151431</v>
      </c>
      <c r="G45">
        <v>2020</v>
      </c>
      <c r="H45" t="str">
        <v>EDUCATIONAL LOAN</v>
      </c>
      <c r="I45">
        <v>1</v>
      </c>
      <c r="J45" s="1">
        <v>0.29137561987876953</v>
      </c>
      <c r="K45" s="25">
        <v>6.6570554280283449</v>
      </c>
      <c r="L45" s="25">
        <v>6.15</v>
      </c>
      <c r="M45" s="25">
        <v>13.119</v>
      </c>
      <c r="N45" s="25">
        <v>10.109165203675886</v>
      </c>
      <c r="O45" s="25">
        <v>1362.35</v>
      </c>
    </row>
    <row r="46" spans="2:15" x14ac:dyDescent="0.45">
      <c r="B46">
        <v>2019</v>
      </c>
      <c r="C46" t="s">
        <v>28</v>
      </c>
      <c r="D46">
        <v>1</v>
      </c>
      <c r="E46" s="5">
        <v>0</v>
      </c>
      <c r="G46">
        <v>2021</v>
      </c>
      <c r="H46" t="str">
        <v>EDUCATIONAL LOAN</v>
      </c>
      <c r="I46">
        <v>1</v>
      </c>
      <c r="J46" s="1">
        <v>0.17205597797903788</v>
      </c>
      <c r="K46" s="25">
        <v>-2.3696206265287998</v>
      </c>
      <c r="L46" s="25">
        <v>3.6</v>
      </c>
      <c r="M46" s="25">
        <v>12.581</v>
      </c>
      <c r="N46" s="25">
        <v>8.4600000000000009</v>
      </c>
      <c r="O46" s="25">
        <v>2883.41</v>
      </c>
    </row>
    <row r="47" spans="2:15" x14ac:dyDescent="0.45">
      <c r="B47">
        <v>2019</v>
      </c>
      <c r="C47" t="s">
        <v>28</v>
      </c>
      <c r="D47">
        <v>2</v>
      </c>
      <c r="E47" s="5">
        <v>0</v>
      </c>
      <c r="G47">
        <v>2022</v>
      </c>
      <c r="H47" t="str">
        <v>EDUCATIONAL LOAN</v>
      </c>
      <c r="I47">
        <v>1</v>
      </c>
      <c r="J47" s="1">
        <v>4.12954314668907E-2</v>
      </c>
      <c r="K47" s="25">
        <v>4.8381498272749335</v>
      </c>
      <c r="L47" s="25">
        <v>6.26</v>
      </c>
      <c r="M47" s="25">
        <v>10.923</v>
      </c>
      <c r="N47" s="25">
        <v>11.620299693912473</v>
      </c>
      <c r="O47" s="25">
        <v>2009.47</v>
      </c>
    </row>
    <row r="48" spans="2:15" x14ac:dyDescent="0.45">
      <c r="B48">
        <v>2019</v>
      </c>
      <c r="C48" t="s">
        <v>24</v>
      </c>
      <c r="D48">
        <v>1</v>
      </c>
      <c r="E48" s="5">
        <v>0</v>
      </c>
      <c r="G48">
        <v>2023</v>
      </c>
      <c r="H48" t="str">
        <v>EDUCATIONAL LOAN</v>
      </c>
      <c r="I48">
        <v>1</v>
      </c>
      <c r="J48" s="1">
        <v>2.6765036035065533E-2</v>
      </c>
      <c r="K48" s="25">
        <v>5.6131931650736817</v>
      </c>
      <c r="L48" s="25">
        <v>7.84</v>
      </c>
      <c r="M48" s="25">
        <v>10.97</v>
      </c>
      <c r="N48" s="25">
        <v>12.2968211469067</v>
      </c>
      <c r="O48" s="25">
        <v>2097.1</v>
      </c>
    </row>
    <row r="49" spans="2:15" x14ac:dyDescent="0.45">
      <c r="B49">
        <v>2019</v>
      </c>
      <c r="C49" t="s">
        <v>24</v>
      </c>
      <c r="D49">
        <v>2</v>
      </c>
      <c r="E49" s="5">
        <v>0.33333333333333331</v>
      </c>
      <c r="G49">
        <v>2024</v>
      </c>
      <c r="H49" t="str">
        <v>EDUCATIONAL LOAN</v>
      </c>
      <c r="I49">
        <v>1</v>
      </c>
      <c r="J49" s="1">
        <v>0.11667191856915597</v>
      </c>
      <c r="K49" s="25">
        <v>3.3</v>
      </c>
      <c r="L49" s="25">
        <v>4.0999999999999996</v>
      </c>
      <c r="M49" s="25">
        <v>11.953800000000001</v>
      </c>
      <c r="N49" s="25">
        <v>9.9340099482150723</v>
      </c>
      <c r="O49" s="25">
        <v>2240.41</v>
      </c>
    </row>
    <row r="50" spans="2:15" x14ac:dyDescent="0.45">
      <c r="B50">
        <v>2019</v>
      </c>
      <c r="C50" t="s">
        <v>6</v>
      </c>
      <c r="D50">
        <v>1</v>
      </c>
      <c r="E50" s="5">
        <v>4.5730533704456712E-2</v>
      </c>
      <c r="G50">
        <v>2025</v>
      </c>
      <c r="H50" t="str">
        <v>EDUCATIONAL LOAN</v>
      </c>
      <c r="I50">
        <v>1</v>
      </c>
      <c r="J50" s="1">
        <v>0</v>
      </c>
      <c r="K50" s="25">
        <v>3.9883664394333493</v>
      </c>
      <c r="L50" s="25">
        <v>5.6319999999999979</v>
      </c>
      <c r="M50" s="25">
        <v>10.726940000000013</v>
      </c>
      <c r="N50" s="25">
        <v>11.530012389337571</v>
      </c>
      <c r="O50" s="25">
        <v>2409.4910000000091</v>
      </c>
    </row>
    <row r="51" spans="2:15" x14ac:dyDescent="0.45">
      <c r="B51">
        <v>2019</v>
      </c>
      <c r="C51" t="s">
        <v>6</v>
      </c>
      <c r="D51">
        <v>2</v>
      </c>
      <c r="E51" s="5">
        <v>6.7846084998254189E-2</v>
      </c>
      <c r="G51">
        <v>2019</v>
      </c>
      <c r="H51" t="str">
        <v>EDUCATIONAL LOAN EMI</v>
      </c>
      <c r="I51">
        <v>1</v>
      </c>
      <c r="J51" s="1">
        <v>0</v>
      </c>
      <c r="K51" s="25">
        <v>7.6223761076818732</v>
      </c>
      <c r="L51" s="25">
        <v>4.6399999999999997</v>
      </c>
      <c r="M51" s="25">
        <v>10.64</v>
      </c>
      <c r="N51" s="25">
        <v>12.134092700177552</v>
      </c>
      <c r="O51" s="25">
        <v>1259.02</v>
      </c>
    </row>
    <row r="52" spans="2:15" x14ac:dyDescent="0.45">
      <c r="B52">
        <v>2019</v>
      </c>
      <c r="C52" t="s">
        <v>16</v>
      </c>
      <c r="D52">
        <v>1</v>
      </c>
      <c r="E52" s="5">
        <v>0</v>
      </c>
      <c r="G52">
        <v>2020</v>
      </c>
      <c r="H52" t="str">
        <v>EDUCATIONAL LOAN EMI</v>
      </c>
      <c r="I52">
        <v>1</v>
      </c>
      <c r="J52" s="1">
        <v>0</v>
      </c>
      <c r="K52" s="25">
        <v>6.6570554280283449</v>
      </c>
      <c r="L52" s="25">
        <v>6.15</v>
      </c>
      <c r="M52" s="25">
        <v>13.119</v>
      </c>
      <c r="N52" s="25">
        <v>10.109165203675886</v>
      </c>
      <c r="O52" s="25">
        <v>1362.35</v>
      </c>
    </row>
    <row r="53" spans="2:15" x14ac:dyDescent="0.45">
      <c r="B53">
        <v>2019</v>
      </c>
      <c r="C53" t="s">
        <v>16</v>
      </c>
      <c r="D53">
        <v>2</v>
      </c>
      <c r="E53" s="5">
        <v>0</v>
      </c>
      <c r="G53">
        <v>2021</v>
      </c>
      <c r="H53" t="str">
        <v>EDUCATIONAL LOAN EMI</v>
      </c>
      <c r="I53">
        <v>1</v>
      </c>
      <c r="J53" s="1">
        <v>0</v>
      </c>
      <c r="K53" s="25">
        <v>-2.3696206265287998</v>
      </c>
      <c r="L53" s="25">
        <v>3.6</v>
      </c>
      <c r="M53" s="25">
        <v>12.581</v>
      </c>
      <c r="N53" s="25">
        <v>8.4600000000000009</v>
      </c>
      <c r="O53" s="25">
        <v>2883.41</v>
      </c>
    </row>
    <row r="54" spans="2:15" x14ac:dyDescent="0.45">
      <c r="B54">
        <v>2019</v>
      </c>
      <c r="C54" t="s">
        <v>27</v>
      </c>
      <c r="D54">
        <v>1</v>
      </c>
      <c r="E54" s="5">
        <v>0</v>
      </c>
      <c r="G54">
        <v>2022</v>
      </c>
      <c r="H54" t="str">
        <v>EDUCATIONAL LOAN EMI</v>
      </c>
      <c r="I54">
        <v>1</v>
      </c>
      <c r="J54" s="1">
        <v>0</v>
      </c>
      <c r="K54" s="25">
        <v>4.8381498272749335</v>
      </c>
      <c r="L54" s="25">
        <v>6.26</v>
      </c>
      <c r="M54" s="25">
        <v>10.923</v>
      </c>
      <c r="N54" s="25">
        <v>11.620299693912473</v>
      </c>
      <c r="O54" s="25">
        <v>2009.47</v>
      </c>
    </row>
    <row r="55" spans="2:15" x14ac:dyDescent="0.45">
      <c r="B55">
        <v>2019</v>
      </c>
      <c r="C55" t="s">
        <v>27</v>
      </c>
      <c r="D55">
        <v>2</v>
      </c>
      <c r="E55" s="5">
        <v>0</v>
      </c>
      <c r="G55">
        <v>2023</v>
      </c>
      <c r="H55" t="str">
        <v>EDUCATIONAL LOAN EMI</v>
      </c>
      <c r="I55">
        <v>1</v>
      </c>
      <c r="J55" s="1">
        <v>0</v>
      </c>
      <c r="K55" s="25">
        <v>5.6131931650736817</v>
      </c>
      <c r="L55" s="25">
        <v>7.84</v>
      </c>
      <c r="M55" s="25">
        <v>10.97</v>
      </c>
      <c r="N55" s="25">
        <v>12.2968211469067</v>
      </c>
      <c r="O55" s="25">
        <v>2097.1</v>
      </c>
    </row>
    <row r="56" spans="2:15" x14ac:dyDescent="0.45">
      <c r="B56">
        <v>2019</v>
      </c>
      <c r="C56" t="s">
        <v>7</v>
      </c>
      <c r="D56">
        <v>1</v>
      </c>
      <c r="E56" s="5">
        <v>7.9603378677291503E-2</v>
      </c>
      <c r="G56">
        <v>2024</v>
      </c>
      <c r="H56" t="str">
        <v>EDUCATIONAL LOAN EMI</v>
      </c>
      <c r="I56">
        <v>1</v>
      </c>
      <c r="J56" s="1">
        <v>0</v>
      </c>
      <c r="K56" s="25">
        <v>3.3</v>
      </c>
      <c r="L56" s="25">
        <v>4.0999999999999996</v>
      </c>
      <c r="M56" s="25">
        <v>11.953800000000001</v>
      </c>
      <c r="N56" s="25">
        <v>9.9340099482150723</v>
      </c>
      <c r="O56" s="25">
        <v>2240.41</v>
      </c>
    </row>
    <row r="57" spans="2:15" x14ac:dyDescent="0.45">
      <c r="B57">
        <v>2019</v>
      </c>
      <c r="C57" t="s">
        <v>7</v>
      </c>
      <c r="D57">
        <v>2</v>
      </c>
      <c r="E57" s="5">
        <v>0.10891980534962335</v>
      </c>
      <c r="G57">
        <v>2025</v>
      </c>
      <c r="H57" t="str">
        <v>EDUCATIONAL LOAN EMI</v>
      </c>
      <c r="I57">
        <v>1</v>
      </c>
      <c r="J57" s="1">
        <v>0</v>
      </c>
      <c r="K57" s="25">
        <v>3.9883664394333493</v>
      </c>
      <c r="L57" s="25">
        <v>5.6319999999999979</v>
      </c>
      <c r="M57" s="25">
        <v>10.726940000000013</v>
      </c>
      <c r="N57" s="25">
        <v>11.530012389337571</v>
      </c>
      <c r="O57" s="25">
        <v>2409.4910000000091</v>
      </c>
    </row>
    <row r="58" spans="2:15" x14ac:dyDescent="0.45">
      <c r="B58">
        <v>2020</v>
      </c>
      <c r="C58" t="s">
        <v>25</v>
      </c>
      <c r="D58">
        <v>1</v>
      </c>
      <c r="E58" s="5">
        <v>0</v>
      </c>
      <c r="G58">
        <v>2019</v>
      </c>
      <c r="H58" t="str">
        <v>HIRE PURCHASE LOAN</v>
      </c>
      <c r="I58">
        <v>1</v>
      </c>
      <c r="J58" s="1">
        <v>0.22448908935199494</v>
      </c>
      <c r="K58" s="25">
        <v>7.6223761076818732</v>
      </c>
      <c r="L58" s="25">
        <v>4.6399999999999997</v>
      </c>
      <c r="M58" s="25">
        <v>10.64</v>
      </c>
      <c r="N58" s="25">
        <v>12.134092700177552</v>
      </c>
      <c r="O58" s="25">
        <v>1259.02</v>
      </c>
    </row>
    <row r="59" spans="2:15" x14ac:dyDescent="0.45">
      <c r="B59">
        <v>2020</v>
      </c>
      <c r="C59" t="s">
        <v>25</v>
      </c>
      <c r="D59">
        <v>2</v>
      </c>
      <c r="E59" s="5">
        <v>0</v>
      </c>
      <c r="G59">
        <v>2020</v>
      </c>
      <c r="H59" t="str">
        <v>HIRE PURCHASE LOAN</v>
      </c>
      <c r="I59">
        <v>1</v>
      </c>
      <c r="J59" s="1">
        <v>0.47170918417797886</v>
      </c>
      <c r="K59" s="25">
        <v>6.6570554280283449</v>
      </c>
      <c r="L59" s="25">
        <v>6.15</v>
      </c>
      <c r="M59" s="25">
        <v>13.119</v>
      </c>
      <c r="N59" s="25">
        <v>10.109165203675886</v>
      </c>
      <c r="O59" s="25">
        <v>1362.35</v>
      </c>
    </row>
    <row r="60" spans="2:15" x14ac:dyDescent="0.45">
      <c r="B60">
        <v>2020</v>
      </c>
      <c r="C60" t="s">
        <v>14</v>
      </c>
      <c r="D60">
        <v>1</v>
      </c>
      <c r="E60" s="5">
        <v>0.15993620991241203</v>
      </c>
      <c r="G60">
        <v>2021</v>
      </c>
      <c r="H60" t="str">
        <v>HIRE PURCHASE LOAN</v>
      </c>
      <c r="I60">
        <v>1</v>
      </c>
      <c r="J60" s="1">
        <v>0.32627245128621429</v>
      </c>
      <c r="K60" s="25">
        <v>-2.3696206265287998</v>
      </c>
      <c r="L60" s="25">
        <v>3.6</v>
      </c>
      <c r="M60" s="25">
        <v>12.581</v>
      </c>
      <c r="N60" s="25">
        <v>8.4600000000000009</v>
      </c>
      <c r="O60" s="25">
        <v>2883.41</v>
      </c>
    </row>
    <row r="61" spans="2:15" x14ac:dyDescent="0.45">
      <c r="B61">
        <v>2020</v>
      </c>
      <c r="C61" t="s">
        <v>14</v>
      </c>
      <c r="D61">
        <v>2</v>
      </c>
      <c r="E61" s="5">
        <v>0.1882914301471687</v>
      </c>
      <c r="G61">
        <v>2022</v>
      </c>
      <c r="H61" t="str">
        <v>HIRE PURCHASE LOAN</v>
      </c>
      <c r="I61">
        <v>1</v>
      </c>
      <c r="J61" s="1">
        <v>0.27753161152393002</v>
      </c>
      <c r="K61" s="25">
        <v>4.8381498272749335</v>
      </c>
      <c r="L61" s="25">
        <v>6.26</v>
      </c>
      <c r="M61" s="25">
        <v>10.923</v>
      </c>
      <c r="N61" s="25">
        <v>11.620299693912473</v>
      </c>
      <c r="O61" s="25">
        <v>2009.47</v>
      </c>
    </row>
    <row r="62" spans="2:15" x14ac:dyDescent="0.45">
      <c r="B62">
        <v>2020</v>
      </c>
      <c r="C62" t="s">
        <v>18</v>
      </c>
      <c r="D62">
        <v>1</v>
      </c>
      <c r="E62" s="5">
        <v>0.45842506055651472</v>
      </c>
      <c r="G62">
        <v>2023</v>
      </c>
      <c r="H62" t="str">
        <v>HIRE PURCHASE LOAN</v>
      </c>
      <c r="I62">
        <v>1</v>
      </c>
      <c r="J62" s="1">
        <v>0.42676222143559295</v>
      </c>
      <c r="K62" s="25">
        <v>5.6131931650736817</v>
      </c>
      <c r="L62" s="25">
        <v>7.84</v>
      </c>
      <c r="M62" s="25">
        <v>10.97</v>
      </c>
      <c r="N62" s="25">
        <v>12.2968211469067</v>
      </c>
      <c r="O62" s="25">
        <v>2097.1</v>
      </c>
    </row>
    <row r="63" spans="2:15" x14ac:dyDescent="0.45">
      <c r="B63">
        <v>2020</v>
      </c>
      <c r="C63" t="s">
        <v>18</v>
      </c>
      <c r="D63">
        <v>2</v>
      </c>
      <c r="E63" s="5">
        <v>0.57768309702662424</v>
      </c>
      <c r="G63">
        <v>2024</v>
      </c>
      <c r="H63" t="str">
        <v>HIRE PURCHASE LOAN</v>
      </c>
      <c r="I63">
        <v>1</v>
      </c>
      <c r="J63" s="1">
        <v>0.11785169085988705</v>
      </c>
      <c r="K63" s="25">
        <v>3.3</v>
      </c>
      <c r="L63" s="25">
        <v>4.0999999999999996</v>
      </c>
      <c r="M63" s="25">
        <v>11.953800000000001</v>
      </c>
      <c r="N63" s="25">
        <v>9.9340099482150723</v>
      </c>
      <c r="O63" s="25">
        <v>2240.41</v>
      </c>
    </row>
    <row r="64" spans="2:15" x14ac:dyDescent="0.45">
      <c r="B64">
        <v>2020</v>
      </c>
      <c r="C64" t="s">
        <v>17</v>
      </c>
      <c r="D64">
        <v>1</v>
      </c>
      <c r="E64" s="5">
        <v>0</v>
      </c>
      <c r="G64">
        <v>2025</v>
      </c>
      <c r="H64" t="str">
        <v>HIRE PURCHASE LOAN</v>
      </c>
      <c r="I64">
        <v>1</v>
      </c>
      <c r="J64" s="1">
        <v>4.6706172782707431E-2</v>
      </c>
      <c r="K64" s="25">
        <v>3.9883664394333493</v>
      </c>
      <c r="L64" s="25">
        <v>5.6319999999999979</v>
      </c>
      <c r="M64" s="25">
        <v>10.726940000000013</v>
      </c>
      <c r="N64" s="25">
        <v>11.530012389337571</v>
      </c>
      <c r="O64" s="25">
        <v>2409.4910000000091</v>
      </c>
    </row>
    <row r="65" spans="2:15" x14ac:dyDescent="0.45">
      <c r="B65">
        <v>2020</v>
      </c>
      <c r="C65" t="s">
        <v>17</v>
      </c>
      <c r="D65">
        <v>2</v>
      </c>
      <c r="E65" s="5">
        <v>0</v>
      </c>
      <c r="G65">
        <v>2019</v>
      </c>
      <c r="H65" t="str">
        <v>HOUSING LOAN</v>
      </c>
      <c r="I65">
        <v>1</v>
      </c>
      <c r="J65" s="1">
        <v>8.8018589863824062E-2</v>
      </c>
      <c r="K65" s="25">
        <v>7.6223761076818732</v>
      </c>
      <c r="L65" s="25">
        <v>4.6399999999999997</v>
      </c>
      <c r="M65" s="25">
        <v>10.64</v>
      </c>
      <c r="N65" s="25">
        <v>12.134092700177552</v>
      </c>
      <c r="O65" s="25">
        <v>1259.02</v>
      </c>
    </row>
    <row r="66" spans="2:15" x14ac:dyDescent="0.45">
      <c r="B66">
        <v>2020</v>
      </c>
      <c r="C66" t="s">
        <v>12</v>
      </c>
      <c r="D66">
        <v>1</v>
      </c>
      <c r="E66" s="5">
        <v>0.14907082860570955</v>
      </c>
      <c r="G66">
        <v>2020</v>
      </c>
      <c r="H66" t="str">
        <v>HOUSING LOAN</v>
      </c>
      <c r="I66">
        <v>1</v>
      </c>
      <c r="J66" s="1">
        <v>0.26385258369805747</v>
      </c>
      <c r="K66" s="25">
        <v>6.6570554280283449</v>
      </c>
      <c r="L66" s="25">
        <v>6.15</v>
      </c>
      <c r="M66" s="25">
        <v>13.119</v>
      </c>
      <c r="N66" s="25">
        <v>10.109165203675886</v>
      </c>
      <c r="O66" s="25">
        <v>1362.35</v>
      </c>
    </row>
    <row r="67" spans="2:15" x14ac:dyDescent="0.45">
      <c r="B67">
        <v>2020</v>
      </c>
      <c r="C67" t="s">
        <v>12</v>
      </c>
      <c r="D67">
        <v>2</v>
      </c>
      <c r="E67" s="5">
        <v>0.22405303661824258</v>
      </c>
      <c r="G67">
        <v>2021</v>
      </c>
      <c r="H67" t="str">
        <v>HOUSING LOAN</v>
      </c>
      <c r="I67">
        <v>1</v>
      </c>
      <c r="J67" s="1">
        <v>0.1330176158216978</v>
      </c>
      <c r="K67" s="25">
        <v>-2.3696206265287998</v>
      </c>
      <c r="L67" s="25">
        <v>3.6</v>
      </c>
      <c r="M67" s="25">
        <v>12.581</v>
      </c>
      <c r="N67" s="25">
        <v>8.4600000000000009</v>
      </c>
      <c r="O67" s="25">
        <v>2883.41</v>
      </c>
    </row>
    <row r="68" spans="2:15" x14ac:dyDescent="0.45">
      <c r="B68">
        <v>2020</v>
      </c>
      <c r="C68" t="s">
        <v>26</v>
      </c>
      <c r="D68">
        <v>1</v>
      </c>
      <c r="E68" s="5">
        <v>0</v>
      </c>
      <c r="G68">
        <v>2022</v>
      </c>
      <c r="H68" t="str">
        <v>HOUSING LOAN</v>
      </c>
      <c r="I68">
        <v>1</v>
      </c>
      <c r="J68" s="1">
        <v>9.9870110783791294E-2</v>
      </c>
      <c r="K68" s="25">
        <v>4.8381498272749335</v>
      </c>
      <c r="L68" s="25">
        <v>6.26</v>
      </c>
      <c r="M68" s="25">
        <v>10.923</v>
      </c>
      <c r="N68" s="25">
        <v>11.620299693912473</v>
      </c>
      <c r="O68" s="25">
        <v>2009.47</v>
      </c>
    </row>
    <row r="69" spans="2:15" x14ac:dyDescent="0.45">
      <c r="B69">
        <v>2020</v>
      </c>
      <c r="C69" t="s">
        <v>26</v>
      </c>
      <c r="D69">
        <v>2</v>
      </c>
      <c r="E69" s="5">
        <v>0</v>
      </c>
      <c r="G69">
        <v>2023</v>
      </c>
      <c r="H69" t="str">
        <v>HOUSING LOAN</v>
      </c>
      <c r="I69">
        <v>1</v>
      </c>
      <c r="J69" s="1">
        <v>0.21854454902791648</v>
      </c>
      <c r="K69" s="25">
        <v>5.6131931650736817</v>
      </c>
      <c r="L69" s="25">
        <v>7.84</v>
      </c>
      <c r="M69" s="25">
        <v>10.97</v>
      </c>
      <c r="N69" s="25">
        <v>12.2968211469067</v>
      </c>
      <c r="O69" s="25">
        <v>2097.1</v>
      </c>
    </row>
    <row r="70" spans="2:15" x14ac:dyDescent="0.45">
      <c r="B70">
        <v>2020</v>
      </c>
      <c r="C70" t="s">
        <v>13</v>
      </c>
      <c r="D70">
        <v>1</v>
      </c>
      <c r="E70" s="5">
        <v>0.29137561987876953</v>
      </c>
      <c r="G70">
        <v>2024</v>
      </c>
      <c r="H70" t="str">
        <v>HOUSING LOAN</v>
      </c>
      <c r="I70">
        <v>1</v>
      </c>
      <c r="J70" s="1">
        <v>0.15998676350772478</v>
      </c>
      <c r="K70" s="25">
        <v>3.3</v>
      </c>
      <c r="L70" s="25">
        <v>4.0999999999999996</v>
      </c>
      <c r="M70" s="25">
        <v>11.953800000000001</v>
      </c>
      <c r="N70" s="25">
        <v>9.9340099482150723</v>
      </c>
      <c r="O70" s="25">
        <v>2240.41</v>
      </c>
    </row>
    <row r="71" spans="2:15" x14ac:dyDescent="0.45">
      <c r="B71">
        <v>2020</v>
      </c>
      <c r="C71" t="s">
        <v>13</v>
      </c>
      <c r="D71">
        <v>2</v>
      </c>
      <c r="E71" s="5">
        <v>0.34475279132864672</v>
      </c>
      <c r="G71">
        <v>2025</v>
      </c>
      <c r="H71" t="str">
        <v>HOUSING LOAN</v>
      </c>
      <c r="I71">
        <v>1</v>
      </c>
      <c r="J71" s="1">
        <v>0.19430909865599366</v>
      </c>
      <c r="K71" s="25">
        <v>3.9883664394333493</v>
      </c>
      <c r="L71" s="25">
        <v>5.6319999999999979</v>
      </c>
      <c r="M71" s="25">
        <v>10.726940000000013</v>
      </c>
      <c r="N71" s="25">
        <v>11.530012389337571</v>
      </c>
      <c r="O71" s="25">
        <v>2409.4910000000091</v>
      </c>
    </row>
    <row r="72" spans="2:15" x14ac:dyDescent="0.45">
      <c r="B72">
        <v>2020</v>
      </c>
      <c r="C72" t="s">
        <v>29</v>
      </c>
      <c r="D72">
        <v>1</v>
      </c>
      <c r="E72" s="5">
        <v>0</v>
      </c>
      <c r="G72">
        <v>2019</v>
      </c>
      <c r="H72" t="str">
        <v xml:space="preserve">INT CAP TERM LOAN </v>
      </c>
      <c r="I72">
        <v>1</v>
      </c>
      <c r="J72" s="1">
        <v>0</v>
      </c>
      <c r="K72" s="25">
        <v>7.6223761076818732</v>
      </c>
      <c r="L72" s="25">
        <v>4.6399999999999997</v>
      </c>
      <c r="M72" s="25">
        <v>10.64</v>
      </c>
      <c r="N72" s="25">
        <v>12.134092700177552</v>
      </c>
      <c r="O72" s="25">
        <v>1259.02</v>
      </c>
    </row>
    <row r="73" spans="2:15" x14ac:dyDescent="0.45">
      <c r="B73">
        <v>2020</v>
      </c>
      <c r="C73" t="s">
        <v>29</v>
      </c>
      <c r="D73">
        <v>2</v>
      </c>
      <c r="E73" s="5">
        <v>0</v>
      </c>
      <c r="G73">
        <v>2020</v>
      </c>
      <c r="H73" t="str">
        <v xml:space="preserve">INT CAP TERM LOAN </v>
      </c>
      <c r="I73">
        <v>1</v>
      </c>
      <c r="J73" s="1">
        <v>0</v>
      </c>
      <c r="K73" s="25">
        <v>6.6570554280283449</v>
      </c>
      <c r="L73" s="25">
        <v>6.15</v>
      </c>
      <c r="M73" s="25">
        <v>13.119</v>
      </c>
      <c r="N73" s="25">
        <v>10.109165203675886</v>
      </c>
      <c r="O73" s="25">
        <v>1362.35</v>
      </c>
    </row>
    <row r="74" spans="2:15" x14ac:dyDescent="0.45">
      <c r="B74">
        <v>2020</v>
      </c>
      <c r="C74" t="s">
        <v>11</v>
      </c>
      <c r="D74">
        <v>1</v>
      </c>
      <c r="E74" s="5">
        <v>0.47170918417797886</v>
      </c>
      <c r="G74">
        <v>2021</v>
      </c>
      <c r="H74" t="str">
        <v xml:space="preserve">INT CAP TERM LOAN </v>
      </c>
      <c r="I74">
        <v>1</v>
      </c>
      <c r="J74" s="1">
        <v>0</v>
      </c>
      <c r="K74" s="25">
        <v>-2.3696206265287998</v>
      </c>
      <c r="L74" s="25">
        <v>3.6</v>
      </c>
      <c r="M74" s="25">
        <v>12.581</v>
      </c>
      <c r="N74" s="25">
        <v>8.4600000000000009</v>
      </c>
      <c r="O74" s="25">
        <v>2883.41</v>
      </c>
    </row>
    <row r="75" spans="2:15" x14ac:dyDescent="0.45">
      <c r="B75">
        <v>2020</v>
      </c>
      <c r="C75" t="s">
        <v>11</v>
      </c>
      <c r="D75">
        <v>2</v>
      </c>
      <c r="E75" s="5">
        <v>0.56436265905655247</v>
      </c>
      <c r="G75">
        <v>2022</v>
      </c>
      <c r="H75" t="str">
        <v xml:space="preserve">INT CAP TERM LOAN </v>
      </c>
      <c r="I75">
        <v>1</v>
      </c>
      <c r="J75" s="1">
        <v>0</v>
      </c>
      <c r="K75" s="25">
        <v>4.8381498272749335</v>
      </c>
      <c r="L75" s="25">
        <v>6.26</v>
      </c>
      <c r="M75" s="25">
        <v>10.923</v>
      </c>
      <c r="N75" s="25">
        <v>11.620299693912473</v>
      </c>
      <c r="O75" s="25">
        <v>2009.47</v>
      </c>
    </row>
    <row r="76" spans="2:15" x14ac:dyDescent="0.45">
      <c r="B76">
        <v>2020</v>
      </c>
      <c r="C76" t="s">
        <v>8</v>
      </c>
      <c r="D76">
        <v>1</v>
      </c>
      <c r="E76" s="5">
        <v>0.26385258369805747</v>
      </c>
      <c r="G76">
        <v>2023</v>
      </c>
      <c r="H76" t="str">
        <v xml:space="preserve">INT CAP TERM LOAN </v>
      </c>
      <c r="I76">
        <v>1</v>
      </c>
      <c r="J76" s="1">
        <v>0</v>
      </c>
      <c r="K76" s="25">
        <v>5.6131931650736817</v>
      </c>
      <c r="L76" s="25">
        <v>7.84</v>
      </c>
      <c r="M76" s="25">
        <v>10.97</v>
      </c>
      <c r="N76" s="25">
        <v>12.2968211469067</v>
      </c>
      <c r="O76" s="25">
        <v>2097.1</v>
      </c>
    </row>
    <row r="77" spans="2:15" x14ac:dyDescent="0.45">
      <c r="B77">
        <v>2020</v>
      </c>
      <c r="C77" t="s">
        <v>8</v>
      </c>
      <c r="D77">
        <v>2</v>
      </c>
      <c r="E77" s="5">
        <v>0.39810564918448504</v>
      </c>
      <c r="G77">
        <v>2024</v>
      </c>
      <c r="H77" t="str">
        <v xml:space="preserve">INT CAP TERM LOAN </v>
      </c>
      <c r="I77">
        <v>1</v>
      </c>
      <c r="J77" s="1">
        <v>0</v>
      </c>
      <c r="K77" s="25">
        <v>3.3</v>
      </c>
      <c r="L77" s="25">
        <v>4.0999999999999996</v>
      </c>
      <c r="M77" s="25">
        <v>11.953800000000001</v>
      </c>
      <c r="N77" s="25">
        <v>9.9340099482150723</v>
      </c>
      <c r="O77" s="25">
        <v>2240.41</v>
      </c>
    </row>
    <row r="78" spans="2:15" x14ac:dyDescent="0.45">
      <c r="B78">
        <v>2020</v>
      </c>
      <c r="C78" t="s">
        <v>19</v>
      </c>
      <c r="D78">
        <v>1</v>
      </c>
      <c r="E78" s="5">
        <v>0</v>
      </c>
      <c r="G78">
        <v>2025</v>
      </c>
      <c r="H78" t="str">
        <v xml:space="preserve">INT CAP TERM LOAN </v>
      </c>
      <c r="I78">
        <v>1</v>
      </c>
      <c r="J78" s="1">
        <v>0</v>
      </c>
      <c r="K78" s="25">
        <v>3.9883664394333493</v>
      </c>
      <c r="L78" s="25">
        <v>5.6319999999999979</v>
      </c>
      <c r="M78" s="25">
        <v>10.726940000000013</v>
      </c>
      <c r="N78" s="25">
        <v>11.530012389337571</v>
      </c>
      <c r="O78" s="25">
        <v>2409.4910000000091</v>
      </c>
    </row>
    <row r="79" spans="2:15" x14ac:dyDescent="0.45">
      <c r="B79">
        <v>2020</v>
      </c>
      <c r="C79" t="s">
        <v>19</v>
      </c>
      <c r="D79">
        <v>2</v>
      </c>
      <c r="E79" s="5">
        <v>0</v>
      </c>
      <c r="G79">
        <v>2019</v>
      </c>
      <c r="H79" t="str">
        <v>LOAN AGAINST FDR</v>
      </c>
      <c r="I79">
        <v>1</v>
      </c>
      <c r="J79" s="1">
        <v>0</v>
      </c>
      <c r="K79" s="25">
        <v>7.6223761076818732</v>
      </c>
      <c r="L79" s="25">
        <v>4.6399999999999997</v>
      </c>
      <c r="M79" s="25">
        <v>10.64</v>
      </c>
      <c r="N79" s="25">
        <v>12.134092700177552</v>
      </c>
      <c r="O79" s="25">
        <v>1259.02</v>
      </c>
    </row>
    <row r="80" spans="2:15" x14ac:dyDescent="0.45">
      <c r="B80">
        <v>2020</v>
      </c>
      <c r="C80" t="s">
        <v>22</v>
      </c>
      <c r="D80">
        <v>1</v>
      </c>
      <c r="E80" s="5">
        <v>0</v>
      </c>
      <c r="G80">
        <v>2020</v>
      </c>
      <c r="H80" t="str">
        <v>LOAN AGAINST FDR</v>
      </c>
      <c r="I80">
        <v>1</v>
      </c>
      <c r="J80" s="1">
        <v>0</v>
      </c>
      <c r="K80" s="25">
        <v>6.6570554280283449</v>
      </c>
      <c r="L80" s="25">
        <v>6.15</v>
      </c>
      <c r="M80" s="25">
        <v>13.119</v>
      </c>
      <c r="N80" s="25">
        <v>10.109165203675886</v>
      </c>
      <c r="O80" s="25">
        <v>1362.35</v>
      </c>
    </row>
    <row r="81" spans="2:15" x14ac:dyDescent="0.45">
      <c r="B81">
        <v>2020</v>
      </c>
      <c r="C81" t="s">
        <v>22</v>
      </c>
      <c r="D81">
        <v>2</v>
      </c>
      <c r="E81" s="5">
        <v>0</v>
      </c>
      <c r="G81">
        <v>2021</v>
      </c>
      <c r="H81" t="str">
        <v>LOAN AGAINST FDR</v>
      </c>
      <c r="I81">
        <v>1</v>
      </c>
      <c r="J81" s="1">
        <v>0</v>
      </c>
      <c r="K81" s="25">
        <v>-2.3696206265287998</v>
      </c>
      <c r="L81" s="25">
        <v>3.6</v>
      </c>
      <c r="M81" s="25">
        <v>12.581</v>
      </c>
      <c r="N81" s="25">
        <v>8.4600000000000009</v>
      </c>
      <c r="O81" s="25">
        <v>2883.41</v>
      </c>
    </row>
    <row r="82" spans="2:15" x14ac:dyDescent="0.45">
      <c r="B82">
        <v>2020</v>
      </c>
      <c r="C82" t="s">
        <v>10</v>
      </c>
      <c r="D82">
        <v>1</v>
      </c>
      <c r="E82" s="5">
        <v>0.10411803562201404</v>
      </c>
      <c r="G82">
        <v>2022</v>
      </c>
      <c r="H82" t="str">
        <v>LOAN AGAINST FDR</v>
      </c>
      <c r="I82">
        <v>1</v>
      </c>
      <c r="J82" s="1">
        <v>0</v>
      </c>
      <c r="K82" s="25">
        <v>4.8381498272749335</v>
      </c>
      <c r="L82" s="25">
        <v>6.26</v>
      </c>
      <c r="M82" s="25">
        <v>10.923</v>
      </c>
      <c r="N82" s="25">
        <v>11.620299693912473</v>
      </c>
      <c r="O82" s="25">
        <v>2009.47</v>
      </c>
    </row>
    <row r="83" spans="2:15" x14ac:dyDescent="0.45">
      <c r="B83">
        <v>2020</v>
      </c>
      <c r="C83" t="s">
        <v>10</v>
      </c>
      <c r="D83">
        <v>2</v>
      </c>
      <c r="E83" s="5">
        <v>0.25402897339851827</v>
      </c>
      <c r="G83">
        <v>2023</v>
      </c>
      <c r="H83" t="str">
        <v>LOAN AGAINST FDR</v>
      </c>
      <c r="I83">
        <v>1</v>
      </c>
      <c r="J83" s="1">
        <v>0</v>
      </c>
      <c r="K83" s="25">
        <v>5.6131931650736817</v>
      </c>
      <c r="L83" s="25">
        <v>7.84</v>
      </c>
      <c r="M83" s="25">
        <v>10.97</v>
      </c>
      <c r="N83" s="25">
        <v>12.2968211469067</v>
      </c>
      <c r="O83" s="25">
        <v>2097.1</v>
      </c>
    </row>
    <row r="84" spans="2:15" x14ac:dyDescent="0.45">
      <c r="B84">
        <v>2020</v>
      </c>
      <c r="C84" t="s">
        <v>21</v>
      </c>
      <c r="D84">
        <v>1</v>
      </c>
      <c r="E84" s="5">
        <v>0</v>
      </c>
      <c r="G84">
        <v>2024</v>
      </c>
      <c r="H84" t="str">
        <v>LOAN AGAINST FDR</v>
      </c>
      <c r="I84">
        <v>1</v>
      </c>
      <c r="J84" s="1">
        <v>0</v>
      </c>
      <c r="K84" s="25">
        <v>3.3</v>
      </c>
      <c r="L84" s="25">
        <v>4.0999999999999996</v>
      </c>
      <c r="M84" s="25">
        <v>11.953800000000001</v>
      </c>
      <c r="N84" s="25">
        <v>9.9340099482150723</v>
      </c>
      <c r="O84" s="25">
        <v>2240.41</v>
      </c>
    </row>
    <row r="85" spans="2:15" x14ac:dyDescent="0.45">
      <c r="B85">
        <v>2020</v>
      </c>
      <c r="C85" t="s">
        <v>21</v>
      </c>
      <c r="D85">
        <v>2</v>
      </c>
      <c r="E85" s="5">
        <v>0</v>
      </c>
      <c r="G85">
        <v>2025</v>
      </c>
      <c r="H85" t="str">
        <v>LOAN AGAINST FDR</v>
      </c>
      <c r="I85">
        <v>1</v>
      </c>
      <c r="J85" s="1">
        <v>0</v>
      </c>
      <c r="K85" s="25">
        <v>3.9883664394333493</v>
      </c>
      <c r="L85" s="25">
        <v>5.6319999999999979</v>
      </c>
      <c r="M85" s="25">
        <v>10.726940000000013</v>
      </c>
      <c r="N85" s="25">
        <v>11.530012389337571</v>
      </c>
      <c r="O85" s="25">
        <v>2409.4910000000091</v>
      </c>
    </row>
    <row r="86" spans="2:15" x14ac:dyDescent="0.45">
      <c r="B86">
        <v>2020</v>
      </c>
      <c r="C86" t="s">
        <v>4</v>
      </c>
      <c r="D86">
        <v>1</v>
      </c>
      <c r="E86" s="5">
        <v>0</v>
      </c>
      <c r="G86">
        <v>2019</v>
      </c>
      <c r="H86" t="str">
        <v>MARGIN NATURE LOAN</v>
      </c>
      <c r="I86">
        <v>1</v>
      </c>
      <c r="J86" s="1">
        <v>0</v>
      </c>
      <c r="K86" s="25">
        <v>7.6223761076818732</v>
      </c>
      <c r="L86" s="25">
        <v>4.6399999999999997</v>
      </c>
      <c r="M86" s="25">
        <v>10.64</v>
      </c>
      <c r="N86" s="25">
        <v>12.134092700177552</v>
      </c>
      <c r="O86" s="25">
        <v>1259.02</v>
      </c>
    </row>
    <row r="87" spans="2:15" x14ac:dyDescent="0.45">
      <c r="B87">
        <v>2020</v>
      </c>
      <c r="C87" t="s">
        <v>4</v>
      </c>
      <c r="D87">
        <v>2</v>
      </c>
      <c r="E87" s="5">
        <v>0</v>
      </c>
      <c r="G87">
        <v>2020</v>
      </c>
      <c r="H87" t="str">
        <v>MARGIN NATURE LOAN</v>
      </c>
      <c r="I87">
        <v>1</v>
      </c>
      <c r="J87" s="1">
        <v>0.10411803562201404</v>
      </c>
      <c r="K87" s="25">
        <v>6.6570554280283449</v>
      </c>
      <c r="L87" s="25">
        <v>6.15</v>
      </c>
      <c r="M87" s="25">
        <v>13.119</v>
      </c>
      <c r="N87" s="25">
        <v>10.109165203675886</v>
      </c>
      <c r="O87" s="25">
        <v>1362.35</v>
      </c>
    </row>
    <row r="88" spans="2:15" x14ac:dyDescent="0.45">
      <c r="B88">
        <v>2020</v>
      </c>
      <c r="C88" t="s">
        <v>3</v>
      </c>
      <c r="D88">
        <v>1</v>
      </c>
      <c r="E88" s="5">
        <v>0</v>
      </c>
      <c r="G88">
        <v>2021</v>
      </c>
      <c r="H88" t="str">
        <v>MARGIN NATURE LOAN</v>
      </c>
      <c r="I88">
        <v>1</v>
      </c>
      <c r="J88" s="1">
        <v>0</v>
      </c>
      <c r="K88" s="25">
        <v>-2.3696206265287998</v>
      </c>
      <c r="L88" s="25">
        <v>3.6</v>
      </c>
      <c r="M88" s="25">
        <v>12.581</v>
      </c>
      <c r="N88" s="25">
        <v>8.4600000000000009</v>
      </c>
      <c r="O88" s="25">
        <v>2883.41</v>
      </c>
    </row>
    <row r="89" spans="2:15" x14ac:dyDescent="0.45">
      <c r="B89">
        <v>2020</v>
      </c>
      <c r="C89" t="s">
        <v>3</v>
      </c>
      <c r="D89">
        <v>2</v>
      </c>
      <c r="E89" s="5">
        <v>0</v>
      </c>
      <c r="G89">
        <v>2022</v>
      </c>
      <c r="H89" t="str">
        <v>MARGIN NATURE LOAN</v>
      </c>
      <c r="I89">
        <v>1</v>
      </c>
      <c r="J89" s="1">
        <v>0</v>
      </c>
      <c r="K89" s="25">
        <v>4.8381498272749335</v>
      </c>
      <c r="L89" s="25">
        <v>6.26</v>
      </c>
      <c r="M89" s="25">
        <v>10.923</v>
      </c>
      <c r="N89" s="25">
        <v>11.620299693912473</v>
      </c>
      <c r="O89" s="25">
        <v>2009.47</v>
      </c>
    </row>
    <row r="90" spans="2:15" x14ac:dyDescent="0.45">
      <c r="B90">
        <v>2020</v>
      </c>
      <c r="C90" t="s">
        <v>5</v>
      </c>
      <c r="D90">
        <v>1</v>
      </c>
      <c r="E90" s="5">
        <v>0</v>
      </c>
      <c r="G90">
        <v>2023</v>
      </c>
      <c r="H90" t="str">
        <v>MARGIN NATURE LOAN</v>
      </c>
      <c r="I90">
        <v>1</v>
      </c>
      <c r="J90" s="1">
        <v>0</v>
      </c>
      <c r="K90" s="25">
        <v>5.6131931650736817</v>
      </c>
      <c r="L90" s="25">
        <v>7.84</v>
      </c>
      <c r="M90" s="25">
        <v>10.97</v>
      </c>
      <c r="N90" s="25">
        <v>12.2968211469067</v>
      </c>
      <c r="O90" s="25">
        <v>2097.1</v>
      </c>
    </row>
    <row r="91" spans="2:15" x14ac:dyDescent="0.45">
      <c r="B91">
        <v>2020</v>
      </c>
      <c r="C91" t="s">
        <v>5</v>
      </c>
      <c r="D91">
        <v>2</v>
      </c>
      <c r="E91" s="5">
        <v>0</v>
      </c>
      <c r="G91">
        <v>2024</v>
      </c>
      <c r="H91" t="str">
        <v>MARGIN NATURE LOAN</v>
      </c>
      <c r="I91">
        <v>1</v>
      </c>
      <c r="J91" s="1">
        <v>0</v>
      </c>
      <c r="K91" s="25">
        <v>3.3</v>
      </c>
      <c r="L91" s="25">
        <v>4.0999999999999996</v>
      </c>
      <c r="M91" s="25">
        <v>11.953800000000001</v>
      </c>
      <c r="N91" s="25">
        <v>9.9340099482150723</v>
      </c>
      <c r="O91" s="25">
        <v>2240.41</v>
      </c>
    </row>
    <row r="92" spans="2:15" x14ac:dyDescent="0.45">
      <c r="B92">
        <v>2020</v>
      </c>
      <c r="C92" t="s">
        <v>30</v>
      </c>
      <c r="D92">
        <v>1</v>
      </c>
      <c r="E92" s="5">
        <v>0</v>
      </c>
      <c r="G92">
        <v>2025</v>
      </c>
      <c r="H92" t="str">
        <v>MARGIN NATURE LOAN</v>
      </c>
      <c r="I92">
        <v>1</v>
      </c>
      <c r="J92" s="1">
        <v>0</v>
      </c>
      <c r="K92" s="25">
        <v>3.9883664394333493</v>
      </c>
      <c r="L92" s="25">
        <v>5.6319999999999979</v>
      </c>
      <c r="M92" s="25">
        <v>10.726940000000013</v>
      </c>
      <c r="N92" s="25">
        <v>11.530012389337571</v>
      </c>
      <c r="O92" s="25">
        <v>2409.4910000000091</v>
      </c>
    </row>
    <row r="93" spans="2:15" x14ac:dyDescent="0.45">
      <c r="B93">
        <v>2020</v>
      </c>
      <c r="C93" t="s">
        <v>30</v>
      </c>
      <c r="D93">
        <v>2</v>
      </c>
      <c r="E93" s="5">
        <v>0</v>
      </c>
      <c r="G93">
        <v>2019</v>
      </c>
      <c r="H93" t="str">
        <v>MORTGAGE LOAN</v>
      </c>
      <c r="I93">
        <v>1</v>
      </c>
      <c r="J93" s="1">
        <v>0</v>
      </c>
      <c r="K93" s="25">
        <v>7.6223761076818732</v>
      </c>
      <c r="L93" s="25">
        <v>4.6399999999999997</v>
      </c>
      <c r="M93" s="25">
        <v>10.64</v>
      </c>
      <c r="N93" s="25">
        <v>12.134092700177552</v>
      </c>
      <c r="O93" s="25">
        <v>1259.02</v>
      </c>
    </row>
    <row r="94" spans="2:15" x14ac:dyDescent="0.45">
      <c r="B94">
        <v>2020</v>
      </c>
      <c r="C94" t="s">
        <v>20</v>
      </c>
      <c r="D94">
        <v>1</v>
      </c>
      <c r="E94" s="5">
        <v>0.15035602477906523</v>
      </c>
      <c r="G94">
        <v>2020</v>
      </c>
      <c r="H94" t="str">
        <v>MORTGAGE LOAN</v>
      </c>
      <c r="I94">
        <v>1</v>
      </c>
      <c r="J94" s="1">
        <v>0</v>
      </c>
      <c r="K94" s="25">
        <v>6.6570554280283449</v>
      </c>
      <c r="L94" s="25">
        <v>6.15</v>
      </c>
      <c r="M94" s="25">
        <v>13.119</v>
      </c>
      <c r="N94" s="25">
        <v>10.109165203675886</v>
      </c>
      <c r="O94" s="25">
        <v>1362.35</v>
      </c>
    </row>
    <row r="95" spans="2:15" x14ac:dyDescent="0.45">
      <c r="B95">
        <v>2020</v>
      </c>
      <c r="C95" t="s">
        <v>20</v>
      </c>
      <c r="D95">
        <v>2</v>
      </c>
      <c r="E95" s="5">
        <v>0.18215687205808556</v>
      </c>
      <c r="G95">
        <v>2021</v>
      </c>
      <c r="H95" t="str">
        <v>MORTGAGE LOAN</v>
      </c>
      <c r="I95">
        <v>1</v>
      </c>
      <c r="J95" s="1">
        <v>0</v>
      </c>
      <c r="K95" s="25">
        <v>-2.3696206265287998</v>
      </c>
      <c r="L95" s="25">
        <v>3.6</v>
      </c>
      <c r="M95" s="25">
        <v>12.581</v>
      </c>
      <c r="N95" s="25">
        <v>8.4600000000000009</v>
      </c>
      <c r="O95" s="25">
        <v>2883.41</v>
      </c>
    </row>
    <row r="96" spans="2:15" x14ac:dyDescent="0.45">
      <c r="B96">
        <v>2020</v>
      </c>
      <c r="C96" t="s">
        <v>23</v>
      </c>
      <c r="D96">
        <v>1</v>
      </c>
      <c r="E96" s="5">
        <v>0</v>
      </c>
      <c r="G96">
        <v>2022</v>
      </c>
      <c r="H96" t="str">
        <v>MORTGAGE LOAN</v>
      </c>
      <c r="I96">
        <v>1</v>
      </c>
      <c r="J96" s="1">
        <v>3.3166940206409284E-2</v>
      </c>
      <c r="K96" s="25">
        <v>4.8381498272749335</v>
      </c>
      <c r="L96" s="25">
        <v>6.26</v>
      </c>
      <c r="M96" s="25">
        <v>10.923</v>
      </c>
      <c r="N96" s="25">
        <v>11.620299693912473</v>
      </c>
      <c r="O96" s="25">
        <v>2009.47</v>
      </c>
    </row>
    <row r="97" spans="2:15" x14ac:dyDescent="0.45">
      <c r="B97">
        <v>2020</v>
      </c>
      <c r="C97" t="s">
        <v>23</v>
      </c>
      <c r="D97">
        <v>2</v>
      </c>
      <c r="E97" s="5">
        <v>0</v>
      </c>
      <c r="G97">
        <v>2023</v>
      </c>
      <c r="H97" t="str">
        <v>MORTGAGE LOAN</v>
      </c>
      <c r="I97">
        <v>1</v>
      </c>
      <c r="J97" s="1">
        <v>0.18811576190334744</v>
      </c>
      <c r="K97" s="25">
        <v>5.6131931650736817</v>
      </c>
      <c r="L97" s="25">
        <v>7.84</v>
      </c>
      <c r="M97" s="25">
        <v>10.97</v>
      </c>
      <c r="N97" s="25">
        <v>12.2968211469067</v>
      </c>
      <c r="O97" s="25">
        <v>2097.1</v>
      </c>
    </row>
    <row r="98" spans="2:15" x14ac:dyDescent="0.45">
      <c r="B98">
        <v>2020</v>
      </c>
      <c r="C98" t="s">
        <v>15</v>
      </c>
      <c r="D98">
        <v>1</v>
      </c>
      <c r="E98" s="5">
        <v>0.38177851859925466</v>
      </c>
      <c r="G98">
        <v>2024</v>
      </c>
      <c r="H98" t="str">
        <v>MORTGAGE LOAN</v>
      </c>
      <c r="I98">
        <v>1</v>
      </c>
      <c r="J98" s="1">
        <v>0.17546000581415266</v>
      </c>
      <c r="K98" s="25">
        <v>3.3</v>
      </c>
      <c r="L98" s="25">
        <v>4.0999999999999996</v>
      </c>
      <c r="M98" s="25">
        <v>11.953800000000001</v>
      </c>
      <c r="N98" s="25">
        <v>9.9340099482150723</v>
      </c>
      <c r="O98" s="25">
        <v>2240.41</v>
      </c>
    </row>
    <row r="99" spans="2:15" x14ac:dyDescent="0.45">
      <c r="B99">
        <v>2020</v>
      </c>
      <c r="C99" t="s">
        <v>15</v>
      </c>
      <c r="D99">
        <v>2</v>
      </c>
      <c r="E99" s="5">
        <v>0.35237763459580679</v>
      </c>
      <c r="G99">
        <v>2025</v>
      </c>
      <c r="H99" t="str">
        <v>MORTGAGE LOAN</v>
      </c>
      <c r="I99">
        <v>1</v>
      </c>
      <c r="J99" s="1">
        <v>2.7180805999842732E-2</v>
      </c>
      <c r="K99" s="25">
        <v>3.9883664394333493</v>
      </c>
      <c r="L99" s="25">
        <v>5.6319999999999979</v>
      </c>
      <c r="M99" s="25">
        <v>10.726940000000013</v>
      </c>
      <c r="N99" s="25">
        <v>11.530012389337571</v>
      </c>
      <c r="O99" s="25">
        <v>2409.4910000000091</v>
      </c>
    </row>
    <row r="100" spans="2:15" x14ac:dyDescent="0.45">
      <c r="B100">
        <v>2020</v>
      </c>
      <c r="C100" t="s">
        <v>9</v>
      </c>
      <c r="D100">
        <v>1</v>
      </c>
      <c r="E100" s="5">
        <v>0.18445744147970461</v>
      </c>
      <c r="G100">
        <v>2019</v>
      </c>
      <c r="H100" t="str">
        <v>OD BUSINESS LOAN</v>
      </c>
      <c r="I100">
        <v>1</v>
      </c>
      <c r="J100" s="1">
        <v>0</v>
      </c>
      <c r="K100" s="25">
        <v>7.6223761076818732</v>
      </c>
      <c r="L100" s="25">
        <v>4.6399999999999997</v>
      </c>
      <c r="M100" s="25">
        <v>10.64</v>
      </c>
      <c r="N100" s="25">
        <v>12.134092700177552</v>
      </c>
      <c r="O100" s="25">
        <v>1259.02</v>
      </c>
    </row>
    <row r="101" spans="2:15" x14ac:dyDescent="0.45">
      <c r="B101">
        <v>2020</v>
      </c>
      <c r="C101" t="s">
        <v>9</v>
      </c>
      <c r="D101">
        <v>2</v>
      </c>
      <c r="E101" s="5">
        <v>0.53484864935222987</v>
      </c>
      <c r="G101">
        <v>2020</v>
      </c>
      <c r="H101" t="str">
        <v>OD BUSINESS LOAN</v>
      </c>
      <c r="I101">
        <v>1</v>
      </c>
      <c r="J101" s="1">
        <v>0</v>
      </c>
      <c r="K101" s="25">
        <v>6.6570554280283449</v>
      </c>
      <c r="L101" s="25">
        <v>6.15</v>
      </c>
      <c r="M101" s="25">
        <v>13.119</v>
      </c>
      <c r="N101" s="25">
        <v>10.109165203675886</v>
      </c>
      <c r="O101" s="25">
        <v>1362.35</v>
      </c>
    </row>
    <row r="102" spans="2:15" x14ac:dyDescent="0.45">
      <c r="B102">
        <v>2020</v>
      </c>
      <c r="C102" t="s">
        <v>28</v>
      </c>
      <c r="D102">
        <v>1</v>
      </c>
      <c r="E102" s="5">
        <v>0.20763445232321687</v>
      </c>
      <c r="G102">
        <v>2021</v>
      </c>
      <c r="H102" t="str">
        <v>OD BUSINESS LOAN</v>
      </c>
      <c r="I102">
        <v>1</v>
      </c>
      <c r="J102" s="1">
        <v>0</v>
      </c>
      <c r="K102" s="25">
        <v>-2.3696206265287998</v>
      </c>
      <c r="L102" s="25">
        <v>3.6</v>
      </c>
      <c r="M102" s="25">
        <v>12.581</v>
      </c>
      <c r="N102" s="25">
        <v>8.4600000000000009</v>
      </c>
      <c r="O102" s="25">
        <v>2883.41</v>
      </c>
    </row>
    <row r="103" spans="2:15" x14ac:dyDescent="0.45">
      <c r="B103">
        <v>2020</v>
      </c>
      <c r="C103" t="s">
        <v>28</v>
      </c>
      <c r="D103">
        <v>2</v>
      </c>
      <c r="E103" s="5">
        <v>0</v>
      </c>
      <c r="G103">
        <v>2022</v>
      </c>
      <c r="H103" t="str">
        <v>OD BUSINESS LOAN</v>
      </c>
      <c r="I103">
        <v>1</v>
      </c>
      <c r="J103" s="1">
        <v>3.482095781542861E-3</v>
      </c>
      <c r="K103" s="25">
        <v>4.8381498272749335</v>
      </c>
      <c r="L103" s="25">
        <v>6.26</v>
      </c>
      <c r="M103" s="25">
        <v>10.923</v>
      </c>
      <c r="N103" s="25">
        <v>11.620299693912473</v>
      </c>
      <c r="O103" s="25">
        <v>2009.47</v>
      </c>
    </row>
    <row r="104" spans="2:15" x14ac:dyDescent="0.45">
      <c r="B104">
        <v>2020</v>
      </c>
      <c r="C104" t="s">
        <v>24</v>
      </c>
      <c r="D104">
        <v>1</v>
      </c>
      <c r="E104" s="5">
        <v>4.8438389025198522E-2</v>
      </c>
      <c r="G104">
        <v>2023</v>
      </c>
      <c r="H104" t="str">
        <v>OD BUSINESS LOAN</v>
      </c>
      <c r="I104">
        <v>1</v>
      </c>
      <c r="J104" s="1">
        <v>0.12091994364682179</v>
      </c>
      <c r="K104" s="25">
        <v>5.6131931650736817</v>
      </c>
      <c r="L104" s="25">
        <v>7.84</v>
      </c>
      <c r="M104" s="25">
        <v>10.97</v>
      </c>
      <c r="N104" s="25">
        <v>12.2968211469067</v>
      </c>
      <c r="O104" s="25">
        <v>2097.1</v>
      </c>
    </row>
    <row r="105" spans="2:15" x14ac:dyDescent="0.45">
      <c r="B105">
        <v>2020</v>
      </c>
      <c r="C105" t="s">
        <v>24</v>
      </c>
      <c r="D105">
        <v>2</v>
      </c>
      <c r="E105" s="5">
        <v>0.27223742209731377</v>
      </c>
      <c r="G105">
        <v>2024</v>
      </c>
      <c r="H105" t="str">
        <v>OD BUSINESS LOAN</v>
      </c>
      <c r="I105">
        <v>1</v>
      </c>
      <c r="J105" s="1">
        <v>0.23836661218759905</v>
      </c>
      <c r="K105" s="25">
        <v>3.3</v>
      </c>
      <c r="L105" s="25">
        <v>4.0999999999999996</v>
      </c>
      <c r="M105" s="25">
        <v>11.953800000000001</v>
      </c>
      <c r="N105" s="25">
        <v>9.9340099482150723</v>
      </c>
      <c r="O105" s="25">
        <v>2240.41</v>
      </c>
    </row>
    <row r="106" spans="2:15" x14ac:dyDescent="0.45">
      <c r="B106">
        <v>2020</v>
      </c>
      <c r="C106" t="s">
        <v>6</v>
      </c>
      <c r="D106">
        <v>1</v>
      </c>
      <c r="E106" s="5">
        <v>0.29342167390737123</v>
      </c>
      <c r="G106">
        <v>2025</v>
      </c>
      <c r="H106" t="str">
        <v>OD BUSINESS LOAN</v>
      </c>
      <c r="I106">
        <v>1</v>
      </c>
      <c r="J106" s="1">
        <v>0</v>
      </c>
      <c r="K106" s="25">
        <v>3.9883664394333493</v>
      </c>
      <c r="L106" s="25">
        <v>5.6319999999999979</v>
      </c>
      <c r="M106" s="25">
        <v>10.726940000000013</v>
      </c>
      <c r="N106" s="25">
        <v>11.530012389337571</v>
      </c>
      <c r="O106" s="25">
        <v>2409.4910000000091</v>
      </c>
    </row>
    <row r="107" spans="2:15" x14ac:dyDescent="0.45">
      <c r="B107">
        <v>2020</v>
      </c>
      <c r="C107" t="s">
        <v>6</v>
      </c>
      <c r="D107">
        <v>2</v>
      </c>
      <c r="E107" s="5">
        <v>0.38149963750209342</v>
      </c>
      <c r="G107">
        <v>2019</v>
      </c>
      <c r="H107" t="str">
        <v>OD PERSONAL LOAN</v>
      </c>
      <c r="I107">
        <v>1</v>
      </c>
      <c r="J107" s="1">
        <v>0</v>
      </c>
      <c r="K107" s="25">
        <v>7.6223761076818732</v>
      </c>
      <c r="L107" s="25">
        <v>4.6399999999999997</v>
      </c>
      <c r="M107" s="25">
        <v>10.64</v>
      </c>
      <c r="N107" s="25">
        <v>12.134092700177552</v>
      </c>
      <c r="O107" s="25">
        <v>1259.02</v>
      </c>
    </row>
    <row r="108" spans="2:15" x14ac:dyDescent="0.45">
      <c r="B108">
        <v>2020</v>
      </c>
      <c r="C108" t="s">
        <v>16</v>
      </c>
      <c r="D108">
        <v>1</v>
      </c>
      <c r="E108" s="5">
        <v>0</v>
      </c>
      <c r="G108">
        <v>2020</v>
      </c>
      <c r="H108" t="str">
        <v>OD PERSONAL LOAN</v>
      </c>
      <c r="I108">
        <v>1</v>
      </c>
      <c r="J108" s="1">
        <v>0</v>
      </c>
      <c r="K108" s="25">
        <v>6.6570554280283449</v>
      </c>
      <c r="L108" s="25">
        <v>6.15</v>
      </c>
      <c r="M108" s="25">
        <v>13.119</v>
      </c>
      <c r="N108" s="25">
        <v>10.109165203675886</v>
      </c>
      <c r="O108" s="25">
        <v>1362.35</v>
      </c>
    </row>
    <row r="109" spans="2:15" x14ac:dyDescent="0.45">
      <c r="B109">
        <v>2020</v>
      </c>
      <c r="C109" t="s">
        <v>16</v>
      </c>
      <c r="D109">
        <v>2</v>
      </c>
      <c r="E109" s="5">
        <v>0</v>
      </c>
      <c r="G109">
        <v>2021</v>
      </c>
      <c r="H109" t="str">
        <v>OD PERSONAL LOAN</v>
      </c>
      <c r="I109">
        <v>1</v>
      </c>
      <c r="J109" s="1">
        <v>4.940094266887198E-3</v>
      </c>
      <c r="K109" s="25">
        <v>-2.3696206265287998</v>
      </c>
      <c r="L109" s="25">
        <v>3.6</v>
      </c>
      <c r="M109" s="25">
        <v>12.581</v>
      </c>
      <c r="N109" s="25">
        <v>8.4600000000000009</v>
      </c>
      <c r="O109" s="25">
        <v>2883.41</v>
      </c>
    </row>
    <row r="110" spans="2:15" x14ac:dyDescent="0.45">
      <c r="B110">
        <v>2020</v>
      </c>
      <c r="C110" t="s">
        <v>27</v>
      </c>
      <c r="D110">
        <v>1</v>
      </c>
      <c r="E110" s="5">
        <v>0</v>
      </c>
      <c r="G110">
        <v>2022</v>
      </c>
      <c r="H110" t="str">
        <v>OD PERSONAL LOAN</v>
      </c>
      <c r="I110">
        <v>1</v>
      </c>
      <c r="J110" s="1">
        <v>6.7568953424299825E-3</v>
      </c>
      <c r="K110" s="25">
        <v>4.8381498272749335</v>
      </c>
      <c r="L110" s="25">
        <v>6.26</v>
      </c>
      <c r="M110" s="25">
        <v>10.923</v>
      </c>
      <c r="N110" s="25">
        <v>11.620299693912473</v>
      </c>
      <c r="O110" s="25">
        <v>2009.47</v>
      </c>
    </row>
    <row r="111" spans="2:15" x14ac:dyDescent="0.45">
      <c r="B111">
        <v>2020</v>
      </c>
      <c r="C111" t="s">
        <v>27</v>
      </c>
      <c r="D111">
        <v>2</v>
      </c>
      <c r="E111" s="5">
        <v>0</v>
      </c>
      <c r="G111">
        <v>2023</v>
      </c>
      <c r="H111" t="str">
        <v>OD PERSONAL LOAN</v>
      </c>
      <c r="I111">
        <v>1</v>
      </c>
      <c r="J111" s="1">
        <v>0.16665472768086309</v>
      </c>
      <c r="K111" s="25">
        <v>5.6131931650736817</v>
      </c>
      <c r="L111" s="25">
        <v>7.84</v>
      </c>
      <c r="M111" s="25">
        <v>10.97</v>
      </c>
      <c r="N111" s="25">
        <v>12.2968211469067</v>
      </c>
      <c r="O111" s="25">
        <v>2097.1</v>
      </c>
    </row>
    <row r="112" spans="2:15" x14ac:dyDescent="0.45">
      <c r="B112">
        <v>2020</v>
      </c>
      <c r="C112" t="s">
        <v>7</v>
      </c>
      <c r="D112">
        <v>1</v>
      </c>
      <c r="E112" s="5">
        <v>0.2602857868811711</v>
      </c>
      <c r="G112">
        <v>2024</v>
      </c>
      <c r="H112" t="str">
        <v>OD PERSONAL LOAN</v>
      </c>
      <c r="I112">
        <v>1</v>
      </c>
      <c r="J112" s="1">
        <v>0.28641942115702823</v>
      </c>
      <c r="K112" s="25">
        <v>3.3</v>
      </c>
      <c r="L112" s="25">
        <v>4.0999999999999996</v>
      </c>
      <c r="M112" s="25">
        <v>11.953800000000001</v>
      </c>
      <c r="N112" s="25">
        <v>9.9340099482150723</v>
      </c>
      <c r="O112" s="25">
        <v>2240.41</v>
      </c>
    </row>
    <row r="113" spans="2:15" x14ac:dyDescent="0.45">
      <c r="B113">
        <v>2020</v>
      </c>
      <c r="C113" t="s">
        <v>7</v>
      </c>
      <c r="D113">
        <v>2</v>
      </c>
      <c r="E113" s="5">
        <v>0.33482358547960628</v>
      </c>
      <c r="G113">
        <v>2025</v>
      </c>
      <c r="H113" t="str">
        <v>OD PERSONAL LOAN</v>
      </c>
      <c r="I113">
        <v>1</v>
      </c>
      <c r="J113" s="1">
        <v>0.12892252146601907</v>
      </c>
      <c r="K113" s="25">
        <v>3.9883664394333493</v>
      </c>
      <c r="L113" s="25">
        <v>5.6319999999999979</v>
      </c>
      <c r="M113" s="25">
        <v>10.726940000000013</v>
      </c>
      <c r="N113" s="25">
        <v>11.530012389337571</v>
      </c>
      <c r="O113" s="25">
        <v>2409.4910000000091</v>
      </c>
    </row>
    <row r="114" spans="2:15" x14ac:dyDescent="0.45">
      <c r="B114">
        <v>2021</v>
      </c>
      <c r="C114" t="s">
        <v>25</v>
      </c>
      <c r="D114">
        <v>1</v>
      </c>
      <c r="E114" s="5">
        <v>0</v>
      </c>
      <c r="G114">
        <v>2019</v>
      </c>
      <c r="H114" t="str">
        <v>OD STAFF LOAN</v>
      </c>
      <c r="I114">
        <v>1</v>
      </c>
      <c r="J114" s="1">
        <v>0</v>
      </c>
      <c r="K114" s="25">
        <v>7.6223761076818732</v>
      </c>
      <c r="L114" s="25">
        <v>4.6399999999999997</v>
      </c>
      <c r="M114" s="25">
        <v>10.64</v>
      </c>
      <c r="N114" s="25">
        <v>12.134092700177552</v>
      </c>
      <c r="O114" s="25">
        <v>1259.02</v>
      </c>
    </row>
    <row r="115" spans="2:15" x14ac:dyDescent="0.45">
      <c r="B115">
        <v>2021</v>
      </c>
      <c r="C115" t="s">
        <v>25</v>
      </c>
      <c r="D115">
        <v>2</v>
      </c>
      <c r="E115" s="5">
        <v>0</v>
      </c>
      <c r="G115">
        <v>2020</v>
      </c>
      <c r="H115" t="str">
        <v>OD STAFF LOAN</v>
      </c>
      <c r="I115">
        <v>1</v>
      </c>
      <c r="J115" s="1">
        <v>0</v>
      </c>
      <c r="K115" s="25">
        <v>6.6570554280283449</v>
      </c>
      <c r="L115" s="25">
        <v>6.15</v>
      </c>
      <c r="M115" s="25">
        <v>13.119</v>
      </c>
      <c r="N115" s="25">
        <v>10.109165203675886</v>
      </c>
      <c r="O115" s="25">
        <v>1362.35</v>
      </c>
    </row>
    <row r="116" spans="2:15" x14ac:dyDescent="0.45">
      <c r="B116">
        <v>2021</v>
      </c>
      <c r="C116" t="s">
        <v>14</v>
      </c>
      <c r="D116">
        <v>1</v>
      </c>
      <c r="E116" s="5">
        <v>9.5592595322526216E-2</v>
      </c>
      <c r="G116">
        <v>2021</v>
      </c>
      <c r="H116" t="str">
        <v>OD STAFF LOAN</v>
      </c>
      <c r="I116">
        <v>1</v>
      </c>
      <c r="J116" s="1">
        <v>0</v>
      </c>
      <c r="K116" s="25">
        <v>-2.3696206265287998</v>
      </c>
      <c r="L116" s="25">
        <v>3.6</v>
      </c>
      <c r="M116" s="25">
        <v>12.581</v>
      </c>
      <c r="N116" s="25">
        <v>8.4600000000000009</v>
      </c>
      <c r="O116" s="25">
        <v>2883.41</v>
      </c>
    </row>
    <row r="117" spans="2:15" x14ac:dyDescent="0.45">
      <c r="B117">
        <v>2021</v>
      </c>
      <c r="C117" t="s">
        <v>14</v>
      </c>
      <c r="D117">
        <v>2</v>
      </c>
      <c r="E117" s="5">
        <v>0.18043206454135891</v>
      </c>
      <c r="G117">
        <v>2022</v>
      </c>
      <c r="H117" t="str">
        <v>OD STAFF LOAN</v>
      </c>
      <c r="I117">
        <v>1</v>
      </c>
      <c r="J117" s="1">
        <v>0</v>
      </c>
      <c r="K117" s="25">
        <v>4.8381498272749335</v>
      </c>
      <c r="L117" s="25">
        <v>6.26</v>
      </c>
      <c r="M117" s="25">
        <v>10.923</v>
      </c>
      <c r="N117" s="25">
        <v>11.620299693912473</v>
      </c>
      <c r="O117" s="25">
        <v>2009.47</v>
      </c>
    </row>
    <row r="118" spans="2:15" x14ac:dyDescent="0.45">
      <c r="B118">
        <v>2021</v>
      </c>
      <c r="C118" t="s">
        <v>18</v>
      </c>
      <c r="D118">
        <v>1</v>
      </c>
      <c r="E118" s="5">
        <v>0.15323737730266845</v>
      </c>
      <c r="G118">
        <v>2023</v>
      </c>
      <c r="H118" t="str">
        <v>OD STAFF LOAN</v>
      </c>
      <c r="I118">
        <v>1</v>
      </c>
      <c r="J118" s="1">
        <v>0</v>
      </c>
      <c r="K118" s="25">
        <v>5.6131931650736817</v>
      </c>
      <c r="L118" s="25">
        <v>7.84</v>
      </c>
      <c r="M118" s="25">
        <v>10.97</v>
      </c>
      <c r="N118" s="25">
        <v>12.2968211469067</v>
      </c>
      <c r="O118" s="25">
        <v>2097.1</v>
      </c>
    </row>
    <row r="119" spans="2:15" x14ac:dyDescent="0.45">
      <c r="B119">
        <v>2021</v>
      </c>
      <c r="C119" t="s">
        <v>18</v>
      </c>
      <c r="D119">
        <v>2</v>
      </c>
      <c r="E119" s="5">
        <v>0.20807450377980333</v>
      </c>
      <c r="G119">
        <v>2024</v>
      </c>
      <c r="H119" t="str">
        <v>OD STAFF LOAN</v>
      </c>
      <c r="I119">
        <v>1</v>
      </c>
      <c r="J119" s="1">
        <v>0</v>
      </c>
      <c r="K119" s="25">
        <v>3.3</v>
      </c>
      <c r="L119" s="25">
        <v>4.0999999999999996</v>
      </c>
      <c r="M119" s="25">
        <v>11.953800000000001</v>
      </c>
      <c r="N119" s="25">
        <v>9.9340099482150723</v>
      </c>
      <c r="O119" s="25">
        <v>2240.41</v>
      </c>
    </row>
    <row r="120" spans="2:15" x14ac:dyDescent="0.45">
      <c r="B120">
        <v>2021</v>
      </c>
      <c r="C120" t="s">
        <v>17</v>
      </c>
      <c r="D120">
        <v>1</v>
      </c>
      <c r="E120" s="5">
        <v>0</v>
      </c>
      <c r="G120">
        <v>2025</v>
      </c>
      <c r="H120" t="str">
        <v>OD STAFF LOAN</v>
      </c>
      <c r="I120">
        <v>1</v>
      </c>
      <c r="J120" s="1">
        <v>0</v>
      </c>
      <c r="K120" s="25">
        <v>3.9883664394333493</v>
      </c>
      <c r="L120" s="25">
        <v>5.6319999999999979</v>
      </c>
      <c r="M120" s="25">
        <v>10.726940000000013</v>
      </c>
      <c r="N120" s="25">
        <v>11.530012389337571</v>
      </c>
      <c r="O120" s="25">
        <v>2409.4910000000091</v>
      </c>
    </row>
    <row r="121" spans="2:15" x14ac:dyDescent="0.45">
      <c r="B121">
        <v>2021</v>
      </c>
      <c r="C121" t="s">
        <v>17</v>
      </c>
      <c r="D121">
        <v>2</v>
      </c>
      <c r="E121" s="5">
        <v>0</v>
      </c>
      <c r="G121">
        <v>2019</v>
      </c>
      <c r="H121" t="str">
        <v>OVERDRAFT PROFESSION</v>
      </c>
      <c r="I121">
        <v>1</v>
      </c>
      <c r="J121" s="1">
        <v>0</v>
      </c>
      <c r="K121" s="25">
        <v>7.6223761076818732</v>
      </c>
      <c r="L121" s="25">
        <v>4.6399999999999997</v>
      </c>
      <c r="M121" s="25">
        <v>10.64</v>
      </c>
      <c r="N121" s="25">
        <v>12.134092700177552</v>
      </c>
      <c r="O121" s="25">
        <v>1259.02</v>
      </c>
    </row>
    <row r="122" spans="2:15" x14ac:dyDescent="0.45">
      <c r="B122">
        <v>2021</v>
      </c>
      <c r="C122" t="s">
        <v>12</v>
      </c>
      <c r="D122">
        <v>1</v>
      </c>
      <c r="E122" s="5">
        <v>2.7663627090172452E-2</v>
      </c>
      <c r="G122">
        <v>2020</v>
      </c>
      <c r="H122" t="str">
        <v>OVERDRAFT PROFESSION</v>
      </c>
      <c r="I122">
        <v>1</v>
      </c>
      <c r="J122" s="1">
        <v>0</v>
      </c>
      <c r="K122" s="25">
        <v>6.6570554280283449</v>
      </c>
      <c r="L122" s="25">
        <v>6.15</v>
      </c>
      <c r="M122" s="25">
        <v>13.119</v>
      </c>
      <c r="N122" s="25">
        <v>10.109165203675886</v>
      </c>
      <c r="O122" s="25">
        <v>1362.35</v>
      </c>
    </row>
    <row r="123" spans="2:15" x14ac:dyDescent="0.45">
      <c r="B123">
        <v>2021</v>
      </c>
      <c r="C123" t="s">
        <v>12</v>
      </c>
      <c r="D123">
        <v>2</v>
      </c>
      <c r="E123" s="5">
        <v>0.22743088548496421</v>
      </c>
      <c r="G123">
        <v>2021</v>
      </c>
      <c r="H123" t="str">
        <v>OVERDRAFT PROFESSION</v>
      </c>
      <c r="I123">
        <v>1</v>
      </c>
      <c r="J123" s="1">
        <v>0</v>
      </c>
      <c r="K123" s="25">
        <v>-2.3696206265287998</v>
      </c>
      <c r="L123" s="25">
        <v>3.6</v>
      </c>
      <c r="M123" s="25">
        <v>12.581</v>
      </c>
      <c r="N123" s="25">
        <v>8.4600000000000009</v>
      </c>
      <c r="O123" s="25">
        <v>2883.41</v>
      </c>
    </row>
    <row r="124" spans="2:15" x14ac:dyDescent="0.45">
      <c r="B124">
        <v>2021</v>
      </c>
      <c r="C124" t="s">
        <v>26</v>
      </c>
      <c r="D124">
        <v>1</v>
      </c>
      <c r="E124" s="5">
        <v>0</v>
      </c>
      <c r="G124">
        <v>2022</v>
      </c>
      <c r="H124" t="str">
        <v>OVERDRAFT PROFESSION</v>
      </c>
      <c r="I124">
        <v>1</v>
      </c>
      <c r="J124" s="1">
        <v>0</v>
      </c>
      <c r="K124" s="25">
        <v>4.8381498272749335</v>
      </c>
      <c r="L124" s="25">
        <v>6.26</v>
      </c>
      <c r="M124" s="25">
        <v>10.923</v>
      </c>
      <c r="N124" s="25">
        <v>11.620299693912473</v>
      </c>
      <c r="O124" s="25">
        <v>2009.47</v>
      </c>
    </row>
    <row r="125" spans="2:15" x14ac:dyDescent="0.45">
      <c r="B125">
        <v>2021</v>
      </c>
      <c r="C125" t="s">
        <v>26</v>
      </c>
      <c r="D125">
        <v>2</v>
      </c>
      <c r="E125" s="5">
        <v>0</v>
      </c>
      <c r="G125">
        <v>2023</v>
      </c>
      <c r="H125" t="str">
        <v>OVERDRAFT PROFESSION</v>
      </c>
      <c r="I125">
        <v>1</v>
      </c>
      <c r="J125" s="1">
        <v>0</v>
      </c>
      <c r="K125" s="25">
        <v>5.6131931650736817</v>
      </c>
      <c r="L125" s="25">
        <v>7.84</v>
      </c>
      <c r="M125" s="25">
        <v>10.97</v>
      </c>
      <c r="N125" s="25">
        <v>12.2968211469067</v>
      </c>
      <c r="O125" s="25">
        <v>2097.1</v>
      </c>
    </row>
    <row r="126" spans="2:15" x14ac:dyDescent="0.45">
      <c r="B126">
        <v>2021</v>
      </c>
      <c r="C126" t="s">
        <v>13</v>
      </c>
      <c r="D126">
        <v>1</v>
      </c>
      <c r="E126" s="5">
        <v>0.17205597797903788</v>
      </c>
      <c r="G126">
        <v>2024</v>
      </c>
      <c r="H126" t="str">
        <v>OVERDRAFT PROFESSION</v>
      </c>
      <c r="I126">
        <v>1</v>
      </c>
      <c r="J126" s="1">
        <v>0</v>
      </c>
      <c r="K126" s="25">
        <v>3.3</v>
      </c>
      <c r="L126" s="25">
        <v>4.0999999999999996</v>
      </c>
      <c r="M126" s="25">
        <v>11.953800000000001</v>
      </c>
      <c r="N126" s="25">
        <v>9.9340099482150723</v>
      </c>
      <c r="O126" s="25">
        <v>2240.41</v>
      </c>
    </row>
    <row r="127" spans="2:15" x14ac:dyDescent="0.45">
      <c r="B127">
        <v>2021</v>
      </c>
      <c r="C127" t="s">
        <v>13</v>
      </c>
      <c r="D127">
        <v>2</v>
      </c>
      <c r="E127" s="5">
        <v>0.26563434445094042</v>
      </c>
      <c r="G127">
        <v>2025</v>
      </c>
      <c r="H127" t="str">
        <v>OVERDRAFT PROFESSION</v>
      </c>
      <c r="I127">
        <v>1</v>
      </c>
      <c r="J127" s="1">
        <v>0</v>
      </c>
      <c r="K127" s="25">
        <v>3.9883664394333493</v>
      </c>
      <c r="L127" s="25">
        <v>5.6319999999999979</v>
      </c>
      <c r="M127" s="25">
        <v>10.726940000000013</v>
      </c>
      <c r="N127" s="25">
        <v>11.530012389337571</v>
      </c>
      <c r="O127" s="25">
        <v>2409.4910000000091</v>
      </c>
    </row>
    <row r="128" spans="2:15" x14ac:dyDescent="0.45">
      <c r="B128">
        <v>2021</v>
      </c>
      <c r="C128" t="s">
        <v>29</v>
      </c>
      <c r="D128">
        <v>1</v>
      </c>
      <c r="E128" s="5">
        <v>0</v>
      </c>
      <c r="G128">
        <v>2019</v>
      </c>
      <c r="H128" t="str">
        <v>PERSONAL LOAN</v>
      </c>
      <c r="I128">
        <v>1</v>
      </c>
      <c r="J128" s="1">
        <v>6.501302881848188E-2</v>
      </c>
      <c r="K128" s="25">
        <v>7.6223761076818732</v>
      </c>
      <c r="L128" s="25">
        <v>4.6399999999999997</v>
      </c>
      <c r="M128" s="25">
        <v>10.64</v>
      </c>
      <c r="N128" s="25">
        <v>12.134092700177552</v>
      </c>
      <c r="O128" s="25">
        <v>1259.02</v>
      </c>
    </row>
    <row r="129" spans="2:15" x14ac:dyDescent="0.45">
      <c r="B129">
        <v>2021</v>
      </c>
      <c r="C129" t="s">
        <v>29</v>
      </c>
      <c r="D129">
        <v>2</v>
      </c>
      <c r="E129" s="5">
        <v>0</v>
      </c>
      <c r="G129">
        <v>2020</v>
      </c>
      <c r="H129" t="str">
        <v>PERSONAL LOAN</v>
      </c>
      <c r="I129">
        <v>1</v>
      </c>
      <c r="J129" s="1">
        <v>0.15035602477906523</v>
      </c>
      <c r="K129" s="25">
        <v>6.6570554280283449</v>
      </c>
      <c r="L129" s="25">
        <v>6.15</v>
      </c>
      <c r="M129" s="25">
        <v>13.119</v>
      </c>
      <c r="N129" s="25">
        <v>10.109165203675886</v>
      </c>
      <c r="O129" s="25">
        <v>1362.35</v>
      </c>
    </row>
    <row r="130" spans="2:15" x14ac:dyDescent="0.45">
      <c r="B130">
        <v>2021</v>
      </c>
      <c r="C130" t="s">
        <v>11</v>
      </c>
      <c r="D130">
        <v>1</v>
      </c>
      <c r="E130" s="5">
        <v>0.32627245128621429</v>
      </c>
      <c r="G130">
        <v>2021</v>
      </c>
      <c r="H130" t="str">
        <v>PERSONAL LOAN</v>
      </c>
      <c r="I130">
        <v>1</v>
      </c>
      <c r="J130" s="1">
        <v>7.8771121675305242E-2</v>
      </c>
      <c r="K130" s="25">
        <v>-2.3696206265287998</v>
      </c>
      <c r="L130" s="25">
        <v>3.6</v>
      </c>
      <c r="M130" s="25">
        <v>12.581</v>
      </c>
      <c r="N130" s="25">
        <v>8.4600000000000009</v>
      </c>
      <c r="O130" s="25">
        <v>2883.41</v>
      </c>
    </row>
    <row r="131" spans="2:15" x14ac:dyDescent="0.45">
      <c r="B131">
        <v>2021</v>
      </c>
      <c r="C131" t="s">
        <v>11</v>
      </c>
      <c r="D131">
        <v>2</v>
      </c>
      <c r="E131" s="5">
        <v>0.49031437818168894</v>
      </c>
      <c r="G131">
        <v>2022</v>
      </c>
      <c r="H131" t="str">
        <v>PERSONAL LOAN</v>
      </c>
      <c r="I131">
        <v>1</v>
      </c>
      <c r="J131" s="1">
        <v>8.4517565553394902E-2</v>
      </c>
      <c r="K131" s="25">
        <v>4.8381498272749335</v>
      </c>
      <c r="L131" s="25">
        <v>6.26</v>
      </c>
      <c r="M131" s="25">
        <v>10.923</v>
      </c>
      <c r="N131" s="25">
        <v>11.620299693912473</v>
      </c>
      <c r="O131" s="25">
        <v>2009.47</v>
      </c>
    </row>
    <row r="132" spans="2:15" x14ac:dyDescent="0.45">
      <c r="B132">
        <v>2021</v>
      </c>
      <c r="C132" t="s">
        <v>8</v>
      </c>
      <c r="D132">
        <v>1</v>
      </c>
      <c r="E132" s="5">
        <v>0.1330176158216978</v>
      </c>
      <c r="G132">
        <v>2023</v>
      </c>
      <c r="H132" t="str">
        <v>PERSONAL LOAN</v>
      </c>
      <c r="I132">
        <v>1</v>
      </c>
      <c r="J132" s="1">
        <v>0.18214208240061883</v>
      </c>
      <c r="K132" s="25">
        <v>5.6131931650736817</v>
      </c>
      <c r="L132" s="25">
        <v>7.84</v>
      </c>
      <c r="M132" s="25">
        <v>10.97</v>
      </c>
      <c r="N132" s="25">
        <v>12.2968211469067</v>
      </c>
      <c r="O132" s="25">
        <v>2097.1</v>
      </c>
    </row>
    <row r="133" spans="2:15" x14ac:dyDescent="0.45">
      <c r="B133">
        <v>2021</v>
      </c>
      <c r="C133" t="s">
        <v>8</v>
      </c>
      <c r="D133">
        <v>2</v>
      </c>
      <c r="E133" s="5">
        <v>0.22178724761086549</v>
      </c>
      <c r="G133">
        <v>2024</v>
      </c>
      <c r="H133" t="str">
        <v>PERSONAL LOAN</v>
      </c>
      <c r="I133">
        <v>1</v>
      </c>
      <c r="J133" s="1">
        <v>0.21333142207339639</v>
      </c>
      <c r="K133" s="25">
        <v>3.3</v>
      </c>
      <c r="L133" s="25">
        <v>4.0999999999999996</v>
      </c>
      <c r="M133" s="25">
        <v>11.953800000000001</v>
      </c>
      <c r="N133" s="25">
        <v>9.9340099482150723</v>
      </c>
      <c r="O133" s="25">
        <v>2240.41</v>
      </c>
    </row>
    <row r="134" spans="2:15" x14ac:dyDescent="0.45">
      <c r="B134">
        <v>2021</v>
      </c>
      <c r="C134" t="s">
        <v>19</v>
      </c>
      <c r="D134">
        <v>1</v>
      </c>
      <c r="E134" s="5">
        <v>0</v>
      </c>
      <c r="G134">
        <v>2025</v>
      </c>
      <c r="H134" t="str">
        <v>PERSONAL LOAN</v>
      </c>
      <c r="I134">
        <v>1</v>
      </c>
      <c r="J134" s="1">
        <v>7.5862093206630316E-2</v>
      </c>
      <c r="K134" s="25">
        <v>3.9883664394333493</v>
      </c>
      <c r="L134" s="25">
        <v>5.6319999999999979</v>
      </c>
      <c r="M134" s="25">
        <v>10.726940000000013</v>
      </c>
      <c r="N134" s="25">
        <v>11.530012389337571</v>
      </c>
      <c r="O134" s="25">
        <v>2409.4910000000091</v>
      </c>
    </row>
    <row r="135" spans="2:15" x14ac:dyDescent="0.45">
      <c r="B135">
        <v>2021</v>
      </c>
      <c r="C135" t="s">
        <v>19</v>
      </c>
      <c r="D135">
        <v>2</v>
      </c>
      <c r="E135" s="5">
        <v>0</v>
      </c>
      <c r="G135">
        <v>2019</v>
      </c>
      <c r="H135" t="str">
        <v>RECEIVABLE LOAN</v>
      </c>
      <c r="I135">
        <v>1</v>
      </c>
      <c r="J135" s="1">
        <v>0</v>
      </c>
      <c r="K135" s="25">
        <v>7.6223761076818732</v>
      </c>
      <c r="L135" s="25">
        <v>4.6399999999999997</v>
      </c>
      <c r="M135" s="25">
        <v>10.64</v>
      </c>
      <c r="N135" s="25">
        <v>12.134092700177552</v>
      </c>
      <c r="O135" s="25">
        <v>1259.02</v>
      </c>
    </row>
    <row r="136" spans="2:15" x14ac:dyDescent="0.45">
      <c r="B136">
        <v>2021</v>
      </c>
      <c r="C136" t="s">
        <v>22</v>
      </c>
      <c r="D136">
        <v>1</v>
      </c>
      <c r="E136" s="5">
        <v>0</v>
      </c>
      <c r="G136">
        <v>2020</v>
      </c>
      <c r="H136" t="str">
        <v>RECEIVABLE LOAN</v>
      </c>
      <c r="I136">
        <v>1</v>
      </c>
      <c r="J136" s="1">
        <v>0</v>
      </c>
      <c r="K136" s="25">
        <v>6.6570554280283449</v>
      </c>
      <c r="L136" s="25">
        <v>6.15</v>
      </c>
      <c r="M136" s="25">
        <v>13.119</v>
      </c>
      <c r="N136" s="25">
        <v>10.109165203675886</v>
      </c>
      <c r="O136" s="25">
        <v>1362.35</v>
      </c>
    </row>
    <row r="137" spans="2:15" x14ac:dyDescent="0.45">
      <c r="B137">
        <v>2021</v>
      </c>
      <c r="C137" t="s">
        <v>22</v>
      </c>
      <c r="D137">
        <v>2</v>
      </c>
      <c r="E137" s="5">
        <v>0</v>
      </c>
      <c r="G137">
        <v>2021</v>
      </c>
      <c r="H137" t="str">
        <v>RECEIVABLE LOAN</v>
      </c>
      <c r="I137">
        <v>1</v>
      </c>
      <c r="J137" s="1">
        <v>0.21288416831326806</v>
      </c>
      <c r="K137" s="25">
        <v>-2.3696206265287998</v>
      </c>
      <c r="L137" s="25">
        <v>3.6</v>
      </c>
      <c r="M137" s="25">
        <v>12.581</v>
      </c>
      <c r="N137" s="25">
        <v>8.4600000000000009</v>
      </c>
      <c r="O137" s="25">
        <v>2883.41</v>
      </c>
    </row>
    <row r="138" spans="2:15" x14ac:dyDescent="0.45">
      <c r="B138">
        <v>2021</v>
      </c>
      <c r="C138" t="s">
        <v>10</v>
      </c>
      <c r="D138">
        <v>1</v>
      </c>
      <c r="E138" s="5">
        <v>0</v>
      </c>
      <c r="G138">
        <v>2022</v>
      </c>
      <c r="H138" t="str">
        <v>RECEIVABLE LOAN</v>
      </c>
      <c r="I138">
        <v>1</v>
      </c>
      <c r="J138" s="1">
        <v>0</v>
      </c>
      <c r="K138" s="25">
        <v>4.8381498272749335</v>
      </c>
      <c r="L138" s="25">
        <v>6.26</v>
      </c>
      <c r="M138" s="25">
        <v>10.923</v>
      </c>
      <c r="N138" s="25">
        <v>11.620299693912473</v>
      </c>
      <c r="O138" s="25">
        <v>2009.47</v>
      </c>
    </row>
    <row r="139" spans="2:15" x14ac:dyDescent="0.45">
      <c r="B139">
        <v>2021</v>
      </c>
      <c r="C139" t="s">
        <v>10</v>
      </c>
      <c r="D139">
        <v>2</v>
      </c>
      <c r="E139" s="5">
        <v>0</v>
      </c>
      <c r="G139">
        <v>2023</v>
      </c>
      <c r="H139" t="str">
        <v>RECEIVABLE LOAN</v>
      </c>
      <c r="I139">
        <v>1</v>
      </c>
      <c r="J139" s="1">
        <v>0</v>
      </c>
      <c r="K139" s="25">
        <v>5.6131931650736817</v>
      </c>
      <c r="L139" s="25">
        <v>7.84</v>
      </c>
      <c r="M139" s="25">
        <v>10.97</v>
      </c>
      <c r="N139" s="25">
        <v>12.2968211469067</v>
      </c>
      <c r="O139" s="25">
        <v>2097.1</v>
      </c>
    </row>
    <row r="140" spans="2:15" x14ac:dyDescent="0.45">
      <c r="B140">
        <v>2021</v>
      </c>
      <c r="C140" t="s">
        <v>21</v>
      </c>
      <c r="D140">
        <v>1</v>
      </c>
      <c r="E140" s="5">
        <v>0</v>
      </c>
      <c r="G140">
        <v>2024</v>
      </c>
      <c r="H140" t="str">
        <v>RECEIVABLE LOAN</v>
      </c>
      <c r="I140">
        <v>1</v>
      </c>
      <c r="J140" s="1">
        <v>4.7992074098114075E-2</v>
      </c>
      <c r="K140" s="25">
        <v>3.3</v>
      </c>
      <c r="L140" s="25">
        <v>4.0999999999999996</v>
      </c>
      <c r="M140" s="25">
        <v>11.953800000000001</v>
      </c>
      <c r="N140" s="25">
        <v>9.9340099482150723</v>
      </c>
      <c r="O140" s="25">
        <v>2240.41</v>
      </c>
    </row>
    <row r="141" spans="2:15" x14ac:dyDescent="0.45">
      <c r="B141">
        <v>2021</v>
      </c>
      <c r="C141" t="s">
        <v>21</v>
      </c>
      <c r="D141">
        <v>2</v>
      </c>
      <c r="E141" s="5">
        <v>0</v>
      </c>
      <c r="G141">
        <v>2025</v>
      </c>
      <c r="H141" t="str">
        <v>RECEIVABLE LOAN</v>
      </c>
      <c r="I141">
        <v>1</v>
      </c>
      <c r="J141" s="1">
        <v>0</v>
      </c>
      <c r="K141" s="25">
        <v>3.9883664394333493</v>
      </c>
      <c r="L141" s="25">
        <v>5.6319999999999979</v>
      </c>
      <c r="M141" s="25">
        <v>10.726940000000013</v>
      </c>
      <c r="N141" s="25">
        <v>11.530012389337571</v>
      </c>
      <c r="O141" s="25">
        <v>2409.4910000000091</v>
      </c>
    </row>
    <row r="142" spans="2:15" x14ac:dyDescent="0.45">
      <c r="B142">
        <v>2021</v>
      </c>
      <c r="C142" t="s">
        <v>4</v>
      </c>
      <c r="D142">
        <v>1</v>
      </c>
      <c r="E142" s="5">
        <v>0</v>
      </c>
      <c r="G142">
        <v>2019</v>
      </c>
      <c r="H142" t="str">
        <v>RESI PER.HOME-EMI</v>
      </c>
      <c r="I142">
        <v>1</v>
      </c>
      <c r="J142" s="1">
        <v>2.5229453847217184E-3</v>
      </c>
      <c r="K142" s="25">
        <v>7.6223761076818732</v>
      </c>
      <c r="L142" s="25">
        <v>4.6399999999999997</v>
      </c>
      <c r="M142" s="25">
        <v>10.64</v>
      </c>
      <c r="N142" s="25">
        <v>12.134092700177552</v>
      </c>
      <c r="O142" s="25">
        <v>1259.02</v>
      </c>
    </row>
    <row r="143" spans="2:15" x14ac:dyDescent="0.45">
      <c r="B143">
        <v>2021</v>
      </c>
      <c r="C143" t="s">
        <v>4</v>
      </c>
      <c r="D143">
        <v>2</v>
      </c>
      <c r="E143" s="5">
        <v>0</v>
      </c>
      <c r="G143">
        <v>2020</v>
      </c>
      <c r="H143" t="str">
        <v>RESI PER.HOME-EMI</v>
      </c>
      <c r="I143">
        <v>1</v>
      </c>
      <c r="J143" s="1">
        <v>0.38177851859925466</v>
      </c>
      <c r="K143" s="25">
        <v>6.6570554280283449</v>
      </c>
      <c r="L143" s="25">
        <v>6.15</v>
      </c>
      <c r="M143" s="25">
        <v>13.119</v>
      </c>
      <c r="N143" s="25">
        <v>10.109165203675886</v>
      </c>
      <c r="O143" s="25">
        <v>1362.35</v>
      </c>
    </row>
    <row r="144" spans="2:15" x14ac:dyDescent="0.45">
      <c r="B144">
        <v>2021</v>
      </c>
      <c r="C144" t="s">
        <v>3</v>
      </c>
      <c r="D144">
        <v>1</v>
      </c>
      <c r="E144" s="5">
        <v>4.940094266887198E-3</v>
      </c>
      <c r="G144">
        <v>2021</v>
      </c>
      <c r="H144" t="str">
        <v>RESI PER.HOME-EMI</v>
      </c>
      <c r="I144">
        <v>1</v>
      </c>
      <c r="J144" s="1">
        <v>8.5463772606477112E-2</v>
      </c>
      <c r="K144" s="25">
        <v>-2.3696206265287998</v>
      </c>
      <c r="L144" s="25">
        <v>3.6</v>
      </c>
      <c r="M144" s="25">
        <v>12.581</v>
      </c>
      <c r="N144" s="25">
        <v>8.4600000000000009</v>
      </c>
      <c r="O144" s="25">
        <v>2883.41</v>
      </c>
    </row>
    <row r="145" spans="2:15" x14ac:dyDescent="0.45">
      <c r="B145">
        <v>2021</v>
      </c>
      <c r="C145" t="s">
        <v>3</v>
      </c>
      <c r="D145">
        <v>2</v>
      </c>
      <c r="E145" s="5">
        <v>0</v>
      </c>
      <c r="G145">
        <v>2022</v>
      </c>
      <c r="H145" t="str">
        <v>RESI PER.HOME-EMI</v>
      </c>
      <c r="I145">
        <v>1</v>
      </c>
      <c r="J145" s="1">
        <v>0.12614006095010993</v>
      </c>
      <c r="K145" s="25">
        <v>4.8381498272749335</v>
      </c>
      <c r="L145" s="25">
        <v>6.26</v>
      </c>
      <c r="M145" s="25">
        <v>10.923</v>
      </c>
      <c r="N145" s="25">
        <v>11.620299693912473</v>
      </c>
      <c r="O145" s="25">
        <v>2009.47</v>
      </c>
    </row>
    <row r="146" spans="2:15" x14ac:dyDescent="0.45">
      <c r="B146">
        <v>2021</v>
      </c>
      <c r="C146" t="s">
        <v>5</v>
      </c>
      <c r="D146">
        <v>1</v>
      </c>
      <c r="E146" s="5">
        <v>0</v>
      </c>
      <c r="G146">
        <v>2023</v>
      </c>
      <c r="H146" t="str">
        <v>RESI PER.HOME-EMI</v>
      </c>
      <c r="I146">
        <v>1</v>
      </c>
      <c r="J146" s="1">
        <v>0.16595050053348323</v>
      </c>
      <c r="K146" s="25">
        <v>5.6131931650736817</v>
      </c>
      <c r="L146" s="25">
        <v>7.84</v>
      </c>
      <c r="M146" s="25">
        <v>10.97</v>
      </c>
      <c r="N146" s="25">
        <v>12.2968211469067</v>
      </c>
      <c r="O146" s="25">
        <v>2097.1</v>
      </c>
    </row>
    <row r="147" spans="2:15" x14ac:dyDescent="0.45">
      <c r="B147">
        <v>2021</v>
      </c>
      <c r="C147" t="s">
        <v>5</v>
      </c>
      <c r="D147">
        <v>2</v>
      </c>
      <c r="E147" s="5">
        <v>0</v>
      </c>
      <c r="G147">
        <v>2024</v>
      </c>
      <c r="H147" t="str">
        <v>RESI PER.HOME-EMI</v>
      </c>
      <c r="I147">
        <v>1</v>
      </c>
      <c r="J147" s="1">
        <v>0.18159878608515967</v>
      </c>
      <c r="K147" s="25">
        <v>3.3</v>
      </c>
      <c r="L147" s="25">
        <v>4.0999999999999996</v>
      </c>
      <c r="M147" s="25">
        <v>11.953800000000001</v>
      </c>
      <c r="N147" s="25">
        <v>9.9340099482150723</v>
      </c>
      <c r="O147" s="25">
        <v>2240.41</v>
      </c>
    </row>
    <row r="148" spans="2:15" x14ac:dyDescent="0.45">
      <c r="B148">
        <v>2021</v>
      </c>
      <c r="C148" t="s">
        <v>30</v>
      </c>
      <c r="D148">
        <v>1</v>
      </c>
      <c r="E148" s="5">
        <v>0</v>
      </c>
      <c r="G148">
        <v>2025</v>
      </c>
      <c r="H148" t="str">
        <v>RESI PER.HOME-EMI</v>
      </c>
      <c r="I148">
        <v>1</v>
      </c>
      <c r="J148" s="1">
        <v>0.169393802772486</v>
      </c>
      <c r="K148" s="25">
        <v>3.9883664394333493</v>
      </c>
      <c r="L148" s="25">
        <v>5.6319999999999979</v>
      </c>
      <c r="M148" s="25">
        <v>10.726940000000013</v>
      </c>
      <c r="N148" s="25">
        <v>11.530012389337571</v>
      </c>
      <c r="O148" s="25">
        <v>2409.4910000000091</v>
      </c>
    </row>
    <row r="149" spans="2:15" x14ac:dyDescent="0.45">
      <c r="B149">
        <v>2021</v>
      </c>
      <c r="C149" t="s">
        <v>30</v>
      </c>
      <c r="D149">
        <v>2</v>
      </c>
      <c r="E149" s="5">
        <v>0</v>
      </c>
      <c r="G149">
        <v>2019</v>
      </c>
      <c r="H149" t="str">
        <v>RESI REAL EST LOAN</v>
      </c>
      <c r="I149">
        <v>1</v>
      </c>
      <c r="J149" s="1">
        <v>4.7726487469854188E-2</v>
      </c>
      <c r="K149" s="25">
        <v>7.6223761076818732</v>
      </c>
      <c r="L149" s="25">
        <v>4.6399999999999997</v>
      </c>
      <c r="M149" s="25">
        <v>10.64</v>
      </c>
      <c r="N149" s="25">
        <v>12.134092700177552</v>
      </c>
      <c r="O149" s="25">
        <v>1259.02</v>
      </c>
    </row>
    <row r="150" spans="2:15" x14ac:dyDescent="0.45">
      <c r="B150">
        <v>2021</v>
      </c>
      <c r="C150" t="s">
        <v>20</v>
      </c>
      <c r="D150">
        <v>1</v>
      </c>
      <c r="E150" s="5">
        <v>7.8771121675305242E-2</v>
      </c>
      <c r="G150">
        <v>2020</v>
      </c>
      <c r="H150" t="str">
        <v>RESI REAL EST LOAN</v>
      </c>
      <c r="I150">
        <v>1</v>
      </c>
      <c r="J150" s="1">
        <v>0.18445744147970461</v>
      </c>
      <c r="K150" s="25">
        <v>6.6570554280283449</v>
      </c>
      <c r="L150" s="25">
        <v>6.15</v>
      </c>
      <c r="M150" s="25">
        <v>13.119</v>
      </c>
      <c r="N150" s="25">
        <v>10.109165203675886</v>
      </c>
      <c r="O150" s="25">
        <v>1362.35</v>
      </c>
    </row>
    <row r="151" spans="2:15" x14ac:dyDescent="0.45">
      <c r="B151">
        <v>2021</v>
      </c>
      <c r="C151" t="s">
        <v>20</v>
      </c>
      <c r="D151">
        <v>2</v>
      </c>
      <c r="E151" s="5">
        <v>0.14107025391125369</v>
      </c>
      <c r="G151">
        <v>2021</v>
      </c>
      <c r="H151" t="str">
        <v>RESI REAL EST LOAN</v>
      </c>
      <c r="I151">
        <v>1</v>
      </c>
      <c r="J151" s="1">
        <v>7.9421673832522605E-2</v>
      </c>
      <c r="K151" s="25">
        <v>-2.3696206265287998</v>
      </c>
      <c r="L151" s="25">
        <v>3.6</v>
      </c>
      <c r="M151" s="25">
        <v>12.581</v>
      </c>
      <c r="N151" s="25">
        <v>8.4600000000000009</v>
      </c>
      <c r="O151" s="25">
        <v>2883.41</v>
      </c>
    </row>
    <row r="152" spans="2:15" x14ac:dyDescent="0.45">
      <c r="B152">
        <v>2021</v>
      </c>
      <c r="C152" t="s">
        <v>23</v>
      </c>
      <c r="D152">
        <v>1</v>
      </c>
      <c r="E152" s="5">
        <v>0.21288416831326806</v>
      </c>
      <c r="G152">
        <v>2022</v>
      </c>
      <c r="H152" t="str">
        <v>RESI REAL EST LOAN</v>
      </c>
      <c r="I152">
        <v>1</v>
      </c>
      <c r="J152" s="1">
        <v>9.5045244395595196E-2</v>
      </c>
      <c r="K152" s="25">
        <v>4.8381498272749335</v>
      </c>
      <c r="L152" s="25">
        <v>6.26</v>
      </c>
      <c r="M152" s="25">
        <v>10.923</v>
      </c>
      <c r="N152" s="25">
        <v>11.620299693912473</v>
      </c>
      <c r="O152" s="25">
        <v>2009.47</v>
      </c>
    </row>
    <row r="153" spans="2:15" x14ac:dyDescent="0.45">
      <c r="B153">
        <v>2021</v>
      </c>
      <c r="C153" t="s">
        <v>23</v>
      </c>
      <c r="D153">
        <v>2</v>
      </c>
      <c r="E153" s="5">
        <v>0.25</v>
      </c>
      <c r="G153">
        <v>2023</v>
      </c>
      <c r="H153" t="str">
        <v>RESI REAL EST LOAN</v>
      </c>
      <c r="I153">
        <v>1</v>
      </c>
      <c r="J153" s="1">
        <v>1.5713780834102603E-2</v>
      </c>
      <c r="K153" s="25">
        <v>5.6131931650736817</v>
      </c>
      <c r="L153" s="25">
        <v>7.84</v>
      </c>
      <c r="M153" s="25">
        <v>10.97</v>
      </c>
      <c r="N153" s="25">
        <v>12.2968211469067</v>
      </c>
      <c r="O153" s="25">
        <v>2097.1</v>
      </c>
    </row>
    <row r="154" spans="2:15" x14ac:dyDescent="0.45">
      <c r="B154">
        <v>2021</v>
      </c>
      <c r="C154" t="s">
        <v>15</v>
      </c>
      <c r="D154">
        <v>1</v>
      </c>
      <c r="E154" s="5">
        <v>8.5463772606477112E-2</v>
      </c>
      <c r="G154">
        <v>2024</v>
      </c>
      <c r="H154" t="str">
        <v>RESI REAL EST LOAN</v>
      </c>
      <c r="I154">
        <v>1</v>
      </c>
      <c r="J154" s="1">
        <v>0.1447918006285783</v>
      </c>
      <c r="K154" s="25">
        <v>3.3</v>
      </c>
      <c r="L154" s="25">
        <v>4.0999999999999996</v>
      </c>
      <c r="M154" s="25">
        <v>11.953800000000001</v>
      </c>
      <c r="N154" s="25">
        <v>9.9340099482150723</v>
      </c>
      <c r="O154" s="25">
        <v>2240.41</v>
      </c>
    </row>
    <row r="155" spans="2:15" x14ac:dyDescent="0.45">
      <c r="B155">
        <v>2021</v>
      </c>
      <c r="C155" t="s">
        <v>15</v>
      </c>
      <c r="D155">
        <v>2</v>
      </c>
      <c r="E155" s="5">
        <v>0.24208473730086444</v>
      </c>
      <c r="G155">
        <v>2025</v>
      </c>
      <c r="H155" t="str">
        <v>RESI REAL EST LOAN</v>
      </c>
      <c r="I155">
        <v>1</v>
      </c>
      <c r="J155" s="1">
        <v>0</v>
      </c>
      <c r="K155" s="25">
        <v>3.9883664394333493</v>
      </c>
      <c r="L155" s="25">
        <v>5.6319999999999979</v>
      </c>
      <c r="M155" s="25">
        <v>10.726940000000013</v>
      </c>
      <c r="N155" s="25">
        <v>11.530012389337571</v>
      </c>
      <c r="O155" s="25">
        <v>2409.4910000000091</v>
      </c>
    </row>
    <row r="156" spans="2:15" x14ac:dyDescent="0.45">
      <c r="B156">
        <v>2021</v>
      </c>
      <c r="C156" t="s">
        <v>9</v>
      </c>
      <c r="D156">
        <v>1</v>
      </c>
      <c r="E156" s="5">
        <v>7.9421673832522605E-2</v>
      </c>
      <c r="G156">
        <v>2019</v>
      </c>
      <c r="H156" t="str">
        <v>SME LOAN</v>
      </c>
      <c r="I156">
        <v>1</v>
      </c>
      <c r="J156" s="1">
        <v>0</v>
      </c>
      <c r="K156" s="25">
        <v>7.6223761076818732</v>
      </c>
      <c r="L156" s="25">
        <v>4.6399999999999997</v>
      </c>
      <c r="M156" s="25">
        <v>10.64</v>
      </c>
      <c r="N156" s="25">
        <v>12.134092700177552</v>
      </c>
      <c r="O156" s="25">
        <v>1259.02</v>
      </c>
    </row>
    <row r="157" spans="2:15" x14ac:dyDescent="0.45">
      <c r="B157">
        <v>2021</v>
      </c>
      <c r="C157" t="s">
        <v>9</v>
      </c>
      <c r="D157">
        <v>2</v>
      </c>
      <c r="E157" s="5">
        <v>4.8450813912045289E-2</v>
      </c>
      <c r="G157">
        <v>2020</v>
      </c>
      <c r="H157" t="str">
        <v>SME LOAN</v>
      </c>
      <c r="I157">
        <v>1</v>
      </c>
      <c r="J157" s="1">
        <v>0.20763445232321687</v>
      </c>
      <c r="K157" s="25">
        <v>6.6570554280283449</v>
      </c>
      <c r="L157" s="25">
        <v>6.15</v>
      </c>
      <c r="M157" s="25">
        <v>13.119</v>
      </c>
      <c r="N157" s="25">
        <v>10.109165203675886</v>
      </c>
      <c r="O157" s="25">
        <v>1362.35</v>
      </c>
    </row>
    <row r="158" spans="2:15" x14ac:dyDescent="0.45">
      <c r="B158">
        <v>2021</v>
      </c>
      <c r="C158" t="s">
        <v>28</v>
      </c>
      <c r="D158">
        <v>1</v>
      </c>
      <c r="E158" s="5">
        <v>0</v>
      </c>
      <c r="G158">
        <v>2021</v>
      </c>
      <c r="H158" t="str">
        <v>SME LOAN</v>
      </c>
      <c r="I158">
        <v>1</v>
      </c>
      <c r="J158" s="1">
        <v>0</v>
      </c>
      <c r="K158" s="25">
        <v>-2.3696206265287998</v>
      </c>
      <c r="L158" s="25">
        <v>3.6</v>
      </c>
      <c r="M158" s="25">
        <v>12.581</v>
      </c>
      <c r="N158" s="25">
        <v>8.4600000000000009</v>
      </c>
      <c r="O158" s="25">
        <v>2883.41</v>
      </c>
    </row>
    <row r="159" spans="2:15" x14ac:dyDescent="0.45">
      <c r="B159">
        <v>2021</v>
      </c>
      <c r="C159" t="s">
        <v>28</v>
      </c>
      <c r="D159">
        <v>2</v>
      </c>
      <c r="E159" s="5">
        <v>0</v>
      </c>
      <c r="G159">
        <v>2022</v>
      </c>
      <c r="H159" t="str">
        <v>SME LOAN</v>
      </c>
      <c r="I159">
        <v>1</v>
      </c>
      <c r="J159" s="1">
        <v>0</v>
      </c>
      <c r="K159" s="25">
        <v>4.8381498272749335</v>
      </c>
      <c r="L159" s="25">
        <v>6.26</v>
      </c>
      <c r="M159" s="25">
        <v>10.923</v>
      </c>
      <c r="N159" s="25">
        <v>11.620299693912473</v>
      </c>
      <c r="O159" s="25">
        <v>2009.47</v>
      </c>
    </row>
    <row r="160" spans="2:15" x14ac:dyDescent="0.45">
      <c r="B160">
        <v>2021</v>
      </c>
      <c r="C160" t="s">
        <v>24</v>
      </c>
      <c r="D160">
        <v>1</v>
      </c>
      <c r="E160" s="5">
        <v>1.018245883933812E-2</v>
      </c>
      <c r="G160">
        <v>2023</v>
      </c>
      <c r="H160" t="str">
        <v>SME LOAN</v>
      </c>
      <c r="I160">
        <v>1</v>
      </c>
      <c r="J160" s="1">
        <v>0.25</v>
      </c>
      <c r="K160" s="25">
        <v>5.6131931650736817</v>
      </c>
      <c r="L160" s="25">
        <v>7.84</v>
      </c>
      <c r="M160" s="25">
        <v>10.97</v>
      </c>
      <c r="N160" s="25">
        <v>12.2968211469067</v>
      </c>
      <c r="O160" s="25">
        <v>2097.1</v>
      </c>
    </row>
    <row r="161" spans="2:15" x14ac:dyDescent="0.45">
      <c r="B161">
        <v>2021</v>
      </c>
      <c r="C161" t="s">
        <v>24</v>
      </c>
      <c r="D161">
        <v>2</v>
      </c>
      <c r="E161" s="5">
        <v>0</v>
      </c>
      <c r="G161">
        <v>2024</v>
      </c>
      <c r="H161" t="str">
        <v>SME LOAN</v>
      </c>
      <c r="I161">
        <v>1</v>
      </c>
      <c r="J161" s="1">
        <v>0</v>
      </c>
      <c r="K161" s="25">
        <v>3.3</v>
      </c>
      <c r="L161" s="25">
        <v>4.0999999999999996</v>
      </c>
      <c r="M161" s="25">
        <v>11.953800000000001</v>
      </c>
      <c r="N161" s="25">
        <v>9.9340099482150723</v>
      </c>
      <c r="O161" s="25">
        <v>2240.41</v>
      </c>
    </row>
    <row r="162" spans="2:15" x14ac:dyDescent="0.45">
      <c r="B162">
        <v>2021</v>
      </c>
      <c r="C162" t="s">
        <v>6</v>
      </c>
      <c r="D162">
        <v>1</v>
      </c>
      <c r="E162" s="5">
        <v>6.334649699035988E-2</v>
      </c>
      <c r="G162">
        <v>2025</v>
      </c>
      <c r="H162" t="str">
        <v>SME LOAN</v>
      </c>
      <c r="I162">
        <v>1</v>
      </c>
      <c r="J162" s="1">
        <v>0</v>
      </c>
      <c r="K162" s="25">
        <v>3.9883664394333493</v>
      </c>
      <c r="L162" s="25">
        <v>5.6319999999999979</v>
      </c>
      <c r="M162" s="25">
        <v>10.726940000000013</v>
      </c>
      <c r="N162" s="25">
        <v>11.530012389337571</v>
      </c>
      <c r="O162" s="25">
        <v>2409.4910000000091</v>
      </c>
    </row>
    <row r="163" spans="2:15" x14ac:dyDescent="0.45">
      <c r="B163">
        <v>2021</v>
      </c>
      <c r="C163" t="s">
        <v>6</v>
      </c>
      <c r="D163">
        <v>2</v>
      </c>
      <c r="E163" s="5">
        <v>0.1388312922385701</v>
      </c>
      <c r="G163">
        <v>2019</v>
      </c>
      <c r="H163" t="str">
        <v>STAFF LOAN</v>
      </c>
      <c r="I163">
        <v>1</v>
      </c>
      <c r="J163" s="1">
        <v>0</v>
      </c>
      <c r="K163" s="25">
        <v>7.6223761076818732</v>
      </c>
      <c r="L163" s="25">
        <v>4.6399999999999997</v>
      </c>
      <c r="M163" s="25">
        <v>10.64</v>
      </c>
      <c r="N163" s="25">
        <v>12.134092700177552</v>
      </c>
      <c r="O163" s="25">
        <v>1259.02</v>
      </c>
    </row>
    <row r="164" spans="2:15" x14ac:dyDescent="0.45">
      <c r="B164">
        <v>2021</v>
      </c>
      <c r="C164" t="s">
        <v>16</v>
      </c>
      <c r="D164">
        <v>1</v>
      </c>
      <c r="E164" s="5">
        <v>0</v>
      </c>
      <c r="G164">
        <v>2020</v>
      </c>
      <c r="H164" t="str">
        <v>STAFF LOAN</v>
      </c>
      <c r="I164">
        <v>1</v>
      </c>
      <c r="J164" s="1">
        <v>4.8438389025198522E-2</v>
      </c>
      <c r="K164" s="25">
        <v>6.6570554280283449</v>
      </c>
      <c r="L164" s="25">
        <v>6.15</v>
      </c>
      <c r="M164" s="25">
        <v>13.119</v>
      </c>
      <c r="N164" s="25">
        <v>10.109165203675886</v>
      </c>
      <c r="O164" s="25">
        <v>1362.35</v>
      </c>
    </row>
    <row r="165" spans="2:15" x14ac:dyDescent="0.45">
      <c r="B165">
        <v>2021</v>
      </c>
      <c r="C165" t="s">
        <v>16</v>
      </c>
      <c r="D165">
        <v>2</v>
      </c>
      <c r="E165" s="5">
        <v>0</v>
      </c>
      <c r="G165">
        <v>2021</v>
      </c>
      <c r="H165" t="str">
        <v>STAFF LOAN</v>
      </c>
      <c r="I165">
        <v>1</v>
      </c>
      <c r="J165" s="1">
        <v>1.018245883933812E-2</v>
      </c>
      <c r="K165" s="25">
        <v>-2.3696206265287998</v>
      </c>
      <c r="L165" s="25">
        <v>3.6</v>
      </c>
      <c r="M165" s="25">
        <v>12.581</v>
      </c>
      <c r="N165" s="25">
        <v>8.4600000000000009</v>
      </c>
      <c r="O165" s="25">
        <v>2883.41</v>
      </c>
    </row>
    <row r="166" spans="2:15" x14ac:dyDescent="0.45">
      <c r="B166">
        <v>2021</v>
      </c>
      <c r="C166" t="s">
        <v>27</v>
      </c>
      <c r="D166">
        <v>1</v>
      </c>
      <c r="E166" s="5">
        <v>0.25307629827160494</v>
      </c>
      <c r="G166">
        <v>2022</v>
      </c>
      <c r="H166" t="str">
        <v>STAFF LOAN</v>
      </c>
      <c r="I166">
        <v>1</v>
      </c>
      <c r="J166" s="1">
        <v>0</v>
      </c>
      <c r="K166" s="25">
        <v>4.8381498272749335</v>
      </c>
      <c r="L166" s="25">
        <v>6.26</v>
      </c>
      <c r="M166" s="25">
        <v>10.923</v>
      </c>
      <c r="N166" s="25">
        <v>11.620299693912473</v>
      </c>
      <c r="O166" s="25">
        <v>2009.47</v>
      </c>
    </row>
    <row r="167" spans="2:15" x14ac:dyDescent="0.45">
      <c r="B167">
        <v>2021</v>
      </c>
      <c r="C167" t="s">
        <v>27</v>
      </c>
      <c r="D167">
        <v>2</v>
      </c>
      <c r="E167" s="5">
        <v>0</v>
      </c>
      <c r="G167">
        <v>2023</v>
      </c>
      <c r="H167" t="str">
        <v>STAFF LOAN</v>
      </c>
      <c r="I167">
        <v>1</v>
      </c>
      <c r="J167" s="1">
        <v>0</v>
      </c>
      <c r="K167" s="25">
        <v>5.6131931650736817</v>
      </c>
      <c r="L167" s="25">
        <v>7.84</v>
      </c>
      <c r="M167" s="25">
        <v>10.97</v>
      </c>
      <c r="N167" s="25">
        <v>12.2968211469067</v>
      </c>
      <c r="O167" s="25">
        <v>2097.1</v>
      </c>
    </row>
    <row r="168" spans="2:15" x14ac:dyDescent="0.45">
      <c r="B168">
        <v>2021</v>
      </c>
      <c r="C168" t="s">
        <v>7</v>
      </c>
      <c r="D168">
        <v>1</v>
      </c>
      <c r="E168" s="5">
        <v>5.7133553382521504E-2</v>
      </c>
      <c r="G168">
        <v>2024</v>
      </c>
      <c r="H168" t="str">
        <v>STAFF LOAN</v>
      </c>
      <c r="I168">
        <v>1</v>
      </c>
      <c r="J168" s="1">
        <v>0</v>
      </c>
      <c r="K168" s="25">
        <v>3.3</v>
      </c>
      <c r="L168" s="25">
        <v>4.0999999999999996</v>
      </c>
      <c r="M168" s="25">
        <v>11.953800000000001</v>
      </c>
      <c r="N168" s="25">
        <v>9.9340099482150723</v>
      </c>
      <c r="O168" s="25">
        <v>2240.41</v>
      </c>
    </row>
    <row r="169" spans="2:15" x14ac:dyDescent="0.45">
      <c r="B169">
        <v>2021</v>
      </c>
      <c r="C169" t="s">
        <v>7</v>
      </c>
      <c r="D169">
        <v>2</v>
      </c>
      <c r="E169" s="5">
        <v>0.12658752692542233</v>
      </c>
      <c r="G169">
        <v>2025</v>
      </c>
      <c r="H169" t="str">
        <v>STAFF LOAN</v>
      </c>
      <c r="I169">
        <v>1</v>
      </c>
      <c r="J169" s="1">
        <v>0</v>
      </c>
      <c r="K169" s="25">
        <v>3.9883664394333493</v>
      </c>
      <c r="L169" s="25">
        <v>5.6319999999999979</v>
      </c>
      <c r="M169" s="25">
        <v>10.726940000000013</v>
      </c>
      <c r="N169" s="25">
        <v>11.530012389337571</v>
      </c>
      <c r="O169" s="25">
        <v>2409.4910000000091</v>
      </c>
    </row>
    <row r="170" spans="2:15" x14ac:dyDescent="0.45">
      <c r="B170">
        <v>2022</v>
      </c>
      <c r="C170" t="s">
        <v>25</v>
      </c>
      <c r="D170">
        <v>1</v>
      </c>
      <c r="E170" s="5">
        <v>0</v>
      </c>
      <c r="G170">
        <v>2019</v>
      </c>
      <c r="H170" t="str">
        <v>TERM LOAN</v>
      </c>
      <c r="I170">
        <v>1</v>
      </c>
      <c r="J170" s="1">
        <v>4.5730533704456712E-2</v>
      </c>
      <c r="K170" s="25">
        <v>7.6223761076818732</v>
      </c>
      <c r="L170" s="25">
        <v>4.6399999999999997</v>
      </c>
      <c r="M170" s="25">
        <v>10.64</v>
      </c>
      <c r="N170" s="25">
        <v>12.134092700177552</v>
      </c>
      <c r="O170" s="25">
        <v>1259.02</v>
      </c>
    </row>
    <row r="171" spans="2:15" x14ac:dyDescent="0.45">
      <c r="B171">
        <v>2022</v>
      </c>
      <c r="C171" t="s">
        <v>25</v>
      </c>
      <c r="D171">
        <v>2</v>
      </c>
      <c r="E171" s="5">
        <v>0</v>
      </c>
      <c r="G171">
        <v>2020</v>
      </c>
      <c r="H171" t="str">
        <v>TERM LOAN</v>
      </c>
      <c r="I171">
        <v>1</v>
      </c>
      <c r="J171" s="1">
        <v>0.29342167390737123</v>
      </c>
      <c r="K171" s="25">
        <v>6.6570554280283449</v>
      </c>
      <c r="L171" s="25">
        <v>6.15</v>
      </c>
      <c r="M171" s="25">
        <v>13.119</v>
      </c>
      <c r="N171" s="25">
        <v>10.109165203675886</v>
      </c>
      <c r="O171" s="25">
        <v>1362.35</v>
      </c>
    </row>
    <row r="172" spans="2:15" x14ac:dyDescent="0.45">
      <c r="B172">
        <v>2022</v>
      </c>
      <c r="C172" t="s">
        <v>14</v>
      </c>
      <c r="D172">
        <v>1</v>
      </c>
      <c r="E172" s="5">
        <v>0.10466617365919911</v>
      </c>
      <c r="G172">
        <v>2021</v>
      </c>
      <c r="H172" t="str">
        <v>TERM LOAN</v>
      </c>
      <c r="I172">
        <v>1</v>
      </c>
      <c r="J172" s="1">
        <v>6.334649699035988E-2</v>
      </c>
      <c r="K172" s="25">
        <v>-2.3696206265287998</v>
      </c>
      <c r="L172" s="25">
        <v>3.6</v>
      </c>
      <c r="M172" s="25">
        <v>12.581</v>
      </c>
      <c r="N172" s="25">
        <v>8.4600000000000009</v>
      </c>
      <c r="O172" s="25">
        <v>2883.41</v>
      </c>
    </row>
    <row r="173" spans="2:15" x14ac:dyDescent="0.45">
      <c r="B173">
        <v>2022</v>
      </c>
      <c r="C173" t="s">
        <v>14</v>
      </c>
      <c r="D173">
        <v>2</v>
      </c>
      <c r="E173" s="5">
        <v>0.13305954972911577</v>
      </c>
      <c r="G173">
        <v>2022</v>
      </c>
      <c r="H173" t="str">
        <v>TERM LOAN</v>
      </c>
      <c r="I173">
        <v>1</v>
      </c>
      <c r="J173" s="1">
        <v>7.4494798526898581E-2</v>
      </c>
      <c r="K173" s="25">
        <v>4.8381498272749335</v>
      </c>
      <c r="L173" s="25">
        <v>6.26</v>
      </c>
      <c r="M173" s="25">
        <v>10.923</v>
      </c>
      <c r="N173" s="25">
        <v>11.620299693912473</v>
      </c>
      <c r="O173" s="25">
        <v>2009.47</v>
      </c>
    </row>
    <row r="174" spans="2:15" x14ac:dyDescent="0.45">
      <c r="B174">
        <v>2022</v>
      </c>
      <c r="C174" t="s">
        <v>18</v>
      </c>
      <c r="D174">
        <v>1</v>
      </c>
      <c r="E174" s="5">
        <v>0.1735543428739382</v>
      </c>
      <c r="G174">
        <v>2023</v>
      </c>
      <c r="H174" t="str">
        <v>TERM LOAN</v>
      </c>
      <c r="I174">
        <v>1</v>
      </c>
      <c r="J174" s="1">
        <v>0.1453594207936629</v>
      </c>
      <c r="K174" s="25">
        <v>5.6131931650736817</v>
      </c>
      <c r="L174" s="25">
        <v>7.84</v>
      </c>
      <c r="M174" s="25">
        <v>10.97</v>
      </c>
      <c r="N174" s="25">
        <v>12.2968211469067</v>
      </c>
      <c r="O174" s="25">
        <v>2097.1</v>
      </c>
    </row>
    <row r="175" spans="2:15" x14ac:dyDescent="0.45">
      <c r="B175">
        <v>2022</v>
      </c>
      <c r="C175" t="s">
        <v>18</v>
      </c>
      <c r="D175">
        <v>2</v>
      </c>
      <c r="E175" s="5">
        <v>0.29741415860060483</v>
      </c>
      <c r="G175">
        <v>2024</v>
      </c>
      <c r="H175" t="str">
        <v>TERM LOAN</v>
      </c>
      <c r="I175">
        <v>1</v>
      </c>
      <c r="J175" s="1">
        <v>0.21554175698553413</v>
      </c>
      <c r="K175" s="25">
        <v>3.3</v>
      </c>
      <c r="L175" s="25">
        <v>4.0999999999999996</v>
      </c>
      <c r="M175" s="25">
        <v>11.953800000000001</v>
      </c>
      <c r="N175" s="25">
        <v>9.9340099482150723</v>
      </c>
      <c r="O175" s="25">
        <v>2240.41</v>
      </c>
    </row>
    <row r="176" spans="2:15" x14ac:dyDescent="0.45">
      <c r="B176">
        <v>2022</v>
      </c>
      <c r="C176" t="s">
        <v>17</v>
      </c>
      <c r="D176">
        <v>1</v>
      </c>
      <c r="E176" s="5">
        <v>0</v>
      </c>
      <c r="G176">
        <v>2025</v>
      </c>
      <c r="H176" t="str">
        <v>TERM LOAN</v>
      </c>
      <c r="I176">
        <v>1</v>
      </c>
      <c r="J176" s="1">
        <v>9.1355400283232524E-2</v>
      </c>
      <c r="K176" s="25">
        <v>3.9883664394333493</v>
      </c>
      <c r="L176" s="25">
        <v>5.6319999999999979</v>
      </c>
      <c r="M176" s="25">
        <v>10.726940000000013</v>
      </c>
      <c r="N176" s="25">
        <v>11.530012389337571</v>
      </c>
      <c r="O176" s="25">
        <v>2409.4910000000091</v>
      </c>
    </row>
    <row r="177" spans="2:15" x14ac:dyDescent="0.45">
      <c r="B177">
        <v>2022</v>
      </c>
      <c r="C177" t="s">
        <v>17</v>
      </c>
      <c r="D177">
        <v>2</v>
      </c>
      <c r="E177" s="5">
        <v>0</v>
      </c>
      <c r="G177">
        <v>2019</v>
      </c>
      <c r="H177" t="str">
        <v>TERM LOAN - BUSINESS</v>
      </c>
      <c r="I177">
        <v>1</v>
      </c>
      <c r="J177" s="1">
        <v>0</v>
      </c>
      <c r="K177" s="25">
        <v>7.6223761076818732</v>
      </c>
      <c r="L177" s="25">
        <v>4.6399999999999997</v>
      </c>
      <c r="M177" s="25">
        <v>10.64</v>
      </c>
      <c r="N177" s="25">
        <v>12.134092700177552</v>
      </c>
      <c r="O177" s="25">
        <v>1259.02</v>
      </c>
    </row>
    <row r="178" spans="2:15" x14ac:dyDescent="0.45">
      <c r="B178">
        <v>2022</v>
      </c>
      <c r="C178" t="s">
        <v>12</v>
      </c>
      <c r="D178">
        <v>1</v>
      </c>
      <c r="E178" s="5">
        <v>5.8512520595660521E-3</v>
      </c>
      <c r="G178">
        <v>2020</v>
      </c>
      <c r="H178" t="str">
        <v>TERM LOAN - BUSINESS</v>
      </c>
      <c r="I178">
        <v>1</v>
      </c>
      <c r="J178" s="1">
        <v>0</v>
      </c>
      <c r="K178" s="25">
        <v>6.6570554280283449</v>
      </c>
      <c r="L178" s="25">
        <v>6.15</v>
      </c>
      <c r="M178" s="25">
        <v>13.119</v>
      </c>
      <c r="N178" s="25">
        <v>10.109165203675886</v>
      </c>
      <c r="O178" s="25">
        <v>1362.35</v>
      </c>
    </row>
    <row r="179" spans="2:15" x14ac:dyDescent="0.45">
      <c r="B179">
        <v>2022</v>
      </c>
      <c r="C179" t="s">
        <v>12</v>
      </c>
      <c r="D179">
        <v>2</v>
      </c>
      <c r="E179" s="5">
        <v>6.3388519435218268E-2</v>
      </c>
      <c r="G179">
        <v>2021</v>
      </c>
      <c r="H179" t="str">
        <v>TERM LOAN - BUSINESS</v>
      </c>
      <c r="I179">
        <v>1</v>
      </c>
      <c r="J179" s="1">
        <v>0</v>
      </c>
      <c r="K179" s="25">
        <v>-2.3696206265287998</v>
      </c>
      <c r="L179" s="25">
        <v>3.6</v>
      </c>
      <c r="M179" s="25">
        <v>12.581</v>
      </c>
      <c r="N179" s="25">
        <v>8.4600000000000009</v>
      </c>
      <c r="O179" s="25">
        <v>2883.41</v>
      </c>
    </row>
    <row r="180" spans="2:15" x14ac:dyDescent="0.45">
      <c r="B180">
        <v>2022</v>
      </c>
      <c r="C180" t="s">
        <v>26</v>
      </c>
      <c r="D180">
        <v>1</v>
      </c>
      <c r="E180" s="5">
        <v>0</v>
      </c>
      <c r="G180">
        <v>2022</v>
      </c>
      <c r="H180" t="str">
        <v>TERM LOAN - BUSINESS</v>
      </c>
      <c r="I180">
        <v>1</v>
      </c>
      <c r="J180" s="1">
        <v>0</v>
      </c>
      <c r="K180" s="25">
        <v>4.8381498272749335</v>
      </c>
      <c r="L180" s="25">
        <v>6.26</v>
      </c>
      <c r="M180" s="25">
        <v>10.923</v>
      </c>
      <c r="N180" s="25">
        <v>11.620299693912473</v>
      </c>
      <c r="O180" s="25">
        <v>2009.47</v>
      </c>
    </row>
    <row r="181" spans="2:15" x14ac:dyDescent="0.45">
      <c r="B181">
        <v>2022</v>
      </c>
      <c r="C181" t="s">
        <v>26</v>
      </c>
      <c r="D181">
        <v>2</v>
      </c>
      <c r="E181" s="5">
        <v>0</v>
      </c>
      <c r="G181">
        <v>2023</v>
      </c>
      <c r="H181" t="str">
        <v>TERM LOAN - BUSINESS</v>
      </c>
      <c r="I181">
        <v>1</v>
      </c>
      <c r="J181" s="1">
        <v>0.19648040820052978</v>
      </c>
      <c r="K181" s="25">
        <v>5.6131931650736817</v>
      </c>
      <c r="L181" s="25">
        <v>7.84</v>
      </c>
      <c r="M181" s="25">
        <v>10.97</v>
      </c>
      <c r="N181" s="25">
        <v>12.2968211469067</v>
      </c>
      <c r="O181" s="25">
        <v>2097.1</v>
      </c>
    </row>
    <row r="182" spans="2:15" x14ac:dyDescent="0.45">
      <c r="B182">
        <v>2022</v>
      </c>
      <c r="C182" t="s">
        <v>13</v>
      </c>
      <c r="D182">
        <v>1</v>
      </c>
      <c r="E182" s="5">
        <v>4.12954314668907E-2</v>
      </c>
      <c r="G182">
        <v>2024</v>
      </c>
      <c r="H182" t="str">
        <v>TERM LOAN - BUSINESS</v>
      </c>
      <c r="I182">
        <v>1</v>
      </c>
      <c r="J182" s="1">
        <v>0.17462043285804227</v>
      </c>
      <c r="K182" s="25">
        <v>3.3</v>
      </c>
      <c r="L182" s="25">
        <v>4.0999999999999996</v>
      </c>
      <c r="M182" s="25">
        <v>11.953800000000001</v>
      </c>
      <c r="N182" s="25">
        <v>9.9340099482150723</v>
      </c>
      <c r="O182" s="25">
        <v>2240.41</v>
      </c>
    </row>
    <row r="183" spans="2:15" x14ac:dyDescent="0.45">
      <c r="B183">
        <v>2022</v>
      </c>
      <c r="C183" t="s">
        <v>13</v>
      </c>
      <c r="D183">
        <v>2</v>
      </c>
      <c r="E183" s="5">
        <v>5.7194544444601599E-2</v>
      </c>
      <c r="G183">
        <v>2025</v>
      </c>
      <c r="H183" t="str">
        <v>TERM LOAN - BUSINESS</v>
      </c>
      <c r="I183">
        <v>1</v>
      </c>
      <c r="J183" s="1">
        <v>0.10875601451192747</v>
      </c>
      <c r="K183" s="25">
        <v>3.9883664394333493</v>
      </c>
      <c r="L183" s="25">
        <v>5.6319999999999979</v>
      </c>
      <c r="M183" s="25">
        <v>10.726940000000013</v>
      </c>
      <c r="N183" s="25">
        <v>11.530012389337571</v>
      </c>
      <c r="O183" s="25">
        <v>2409.4910000000091</v>
      </c>
    </row>
    <row r="184" spans="2:15" x14ac:dyDescent="0.45">
      <c r="B184">
        <v>2022</v>
      </c>
      <c r="C184" t="s">
        <v>29</v>
      </c>
      <c r="D184">
        <v>1</v>
      </c>
      <c r="E184" s="5">
        <v>0</v>
      </c>
      <c r="G184">
        <v>2019</v>
      </c>
      <c r="H184" t="str">
        <v>TOURISM SECTOR LOAN</v>
      </c>
      <c r="I184">
        <v>1</v>
      </c>
      <c r="J184" s="1">
        <v>0</v>
      </c>
      <c r="K184" s="25">
        <v>7.6223761076818732</v>
      </c>
      <c r="L184" s="25">
        <v>4.6399999999999997</v>
      </c>
      <c r="M184" s="25">
        <v>10.64</v>
      </c>
      <c r="N184" s="25">
        <v>12.134092700177552</v>
      </c>
      <c r="O184" s="25">
        <v>1259.02</v>
      </c>
    </row>
    <row r="185" spans="2:15" x14ac:dyDescent="0.45">
      <c r="B185">
        <v>2022</v>
      </c>
      <c r="C185" t="s">
        <v>29</v>
      </c>
      <c r="D185">
        <v>2</v>
      </c>
      <c r="E185" s="5">
        <v>0</v>
      </c>
      <c r="G185">
        <v>2020</v>
      </c>
      <c r="H185" t="str">
        <v>TOURISM SECTOR LOAN</v>
      </c>
      <c r="I185">
        <v>1</v>
      </c>
      <c r="J185" s="1">
        <v>0</v>
      </c>
      <c r="K185" s="25">
        <v>6.6570554280283449</v>
      </c>
      <c r="L185" s="25">
        <v>6.15</v>
      </c>
      <c r="M185" s="25">
        <v>13.119</v>
      </c>
      <c r="N185" s="25">
        <v>10.109165203675886</v>
      </c>
      <c r="O185" s="25">
        <v>1362.35</v>
      </c>
    </row>
    <row r="186" spans="2:15" x14ac:dyDescent="0.45">
      <c r="B186">
        <v>2022</v>
      </c>
      <c r="C186" t="s">
        <v>11</v>
      </c>
      <c r="D186">
        <v>1</v>
      </c>
      <c r="E186" s="5">
        <v>0.27753161152393002</v>
      </c>
      <c r="G186">
        <v>2021</v>
      </c>
      <c r="H186" t="str">
        <v>TOURISM SECTOR LOAN</v>
      </c>
      <c r="I186">
        <v>1</v>
      </c>
      <c r="J186" s="1">
        <v>0.25307629827160494</v>
      </c>
      <c r="K186" s="25">
        <v>-2.3696206265287998</v>
      </c>
      <c r="L186" s="25">
        <v>3.6</v>
      </c>
      <c r="M186" s="25">
        <v>12.581</v>
      </c>
      <c r="N186" s="25">
        <v>8.4600000000000009</v>
      </c>
      <c r="O186" s="25">
        <v>2883.41</v>
      </c>
    </row>
    <row r="187" spans="2:15" x14ac:dyDescent="0.45">
      <c r="B187">
        <v>2022</v>
      </c>
      <c r="C187" t="s">
        <v>11</v>
      </c>
      <c r="D187">
        <v>2</v>
      </c>
      <c r="E187" s="5">
        <v>0.48235556119817768</v>
      </c>
      <c r="G187">
        <v>2022</v>
      </c>
      <c r="H187" t="str">
        <v>TOURISM SECTOR LOAN</v>
      </c>
      <c r="I187">
        <v>1</v>
      </c>
      <c r="J187" s="1">
        <v>0</v>
      </c>
      <c r="K187" s="25">
        <v>4.8381498272749335</v>
      </c>
      <c r="L187" s="25">
        <v>6.26</v>
      </c>
      <c r="M187" s="25">
        <v>10.923</v>
      </c>
      <c r="N187" s="25">
        <v>11.620299693912473</v>
      </c>
      <c r="O187" s="25">
        <v>2009.47</v>
      </c>
    </row>
    <row r="188" spans="2:15" x14ac:dyDescent="0.45">
      <c r="B188">
        <v>2022</v>
      </c>
      <c r="C188" t="s">
        <v>8</v>
      </c>
      <c r="D188">
        <v>1</v>
      </c>
      <c r="E188" s="5">
        <v>9.9870110783791294E-2</v>
      </c>
      <c r="G188">
        <v>2023</v>
      </c>
      <c r="H188" t="str">
        <v>TOURISM SECTOR LOAN</v>
      </c>
      <c r="I188">
        <v>1</v>
      </c>
      <c r="J188" s="1">
        <v>0</v>
      </c>
      <c r="K188" s="25">
        <v>5.6131931650736817</v>
      </c>
      <c r="L188" s="25">
        <v>7.84</v>
      </c>
      <c r="M188" s="25">
        <v>10.97</v>
      </c>
      <c r="N188" s="25">
        <v>12.2968211469067</v>
      </c>
      <c r="O188" s="25">
        <v>2097.1</v>
      </c>
    </row>
    <row r="189" spans="2:15" x14ac:dyDescent="0.45">
      <c r="B189">
        <v>2022</v>
      </c>
      <c r="C189" t="s">
        <v>8</v>
      </c>
      <c r="D189">
        <v>2</v>
      </c>
      <c r="E189" s="5">
        <v>0.1568990344473756</v>
      </c>
      <c r="G189">
        <v>2024</v>
      </c>
      <c r="H189" t="str">
        <v>TOURISM SECTOR LOAN</v>
      </c>
      <c r="I189">
        <v>1</v>
      </c>
      <c r="J189" s="1">
        <v>0</v>
      </c>
      <c r="K189" s="25">
        <v>3.3</v>
      </c>
      <c r="L189" s="25">
        <v>4.0999999999999996</v>
      </c>
      <c r="M189" s="25">
        <v>11.953800000000001</v>
      </c>
      <c r="N189" s="25">
        <v>9.9340099482150723</v>
      </c>
      <c r="O189" s="25">
        <v>2240.41</v>
      </c>
    </row>
    <row r="190" spans="2:15" x14ac:dyDescent="0.45">
      <c r="B190">
        <v>2022</v>
      </c>
      <c r="C190" t="s">
        <v>19</v>
      </c>
      <c r="D190">
        <v>1</v>
      </c>
      <c r="E190" s="5">
        <v>0</v>
      </c>
      <c r="G190">
        <v>2025</v>
      </c>
      <c r="H190" t="str">
        <v>TOURISM SECTOR LOAN</v>
      </c>
      <c r="I190">
        <v>1</v>
      </c>
      <c r="J190" s="1">
        <v>0</v>
      </c>
      <c r="K190" s="25">
        <v>3.9883664394333493</v>
      </c>
      <c r="L190" s="25">
        <v>5.6319999999999979</v>
      </c>
      <c r="M190" s="25">
        <v>10.726940000000013</v>
      </c>
      <c r="N190" s="25">
        <v>11.530012389337571</v>
      </c>
      <c r="O190" s="25">
        <v>2409.4910000000091</v>
      </c>
    </row>
    <row r="191" spans="2:15" x14ac:dyDescent="0.45">
      <c r="B191">
        <v>2022</v>
      </c>
      <c r="C191" t="s">
        <v>19</v>
      </c>
      <c r="D191">
        <v>2</v>
      </c>
      <c r="E191" s="5">
        <v>0</v>
      </c>
      <c r="G191">
        <v>2019</v>
      </c>
      <c r="H191" t="str">
        <v>WC TRADING/IND LOAN</v>
      </c>
      <c r="I191">
        <v>1</v>
      </c>
      <c r="J191" s="1">
        <v>7.9603378677291503E-2</v>
      </c>
      <c r="K191" s="25">
        <v>7.6223761076818732</v>
      </c>
      <c r="L191" s="25">
        <v>4.6399999999999997</v>
      </c>
      <c r="M191" s="25">
        <v>10.64</v>
      </c>
      <c r="N191" s="25">
        <v>12.134092700177552</v>
      </c>
      <c r="O191" s="25">
        <v>1259.02</v>
      </c>
    </row>
    <row r="192" spans="2:15" x14ac:dyDescent="0.45">
      <c r="B192">
        <v>2022</v>
      </c>
      <c r="C192" t="s">
        <v>22</v>
      </c>
      <c r="D192">
        <v>1</v>
      </c>
      <c r="E192" s="5">
        <v>0</v>
      </c>
      <c r="G192">
        <v>2020</v>
      </c>
      <c r="H192" t="str">
        <v>WC TRADING/IND LOAN</v>
      </c>
      <c r="I192">
        <v>1</v>
      </c>
      <c r="J192" s="1">
        <v>0.2602857868811711</v>
      </c>
      <c r="K192" s="25">
        <v>6.6570554280283449</v>
      </c>
      <c r="L192" s="25">
        <v>6.15</v>
      </c>
      <c r="M192" s="25">
        <v>13.119</v>
      </c>
      <c r="N192" s="25">
        <v>10.109165203675886</v>
      </c>
      <c r="O192" s="25">
        <v>1362.35</v>
      </c>
    </row>
    <row r="193" spans="2:15" x14ac:dyDescent="0.45">
      <c r="B193">
        <v>2022</v>
      </c>
      <c r="C193" t="s">
        <v>22</v>
      </c>
      <c r="D193">
        <v>2</v>
      </c>
      <c r="E193" s="5">
        <v>0</v>
      </c>
      <c r="G193">
        <v>2021</v>
      </c>
      <c r="H193" t="str">
        <v>WC TRADING/IND LOAN</v>
      </c>
      <c r="I193">
        <v>1</v>
      </c>
      <c r="J193" s="1">
        <v>5.7133553382521504E-2</v>
      </c>
      <c r="K193" s="25">
        <v>-2.3696206265287998</v>
      </c>
      <c r="L193" s="25">
        <v>3.6</v>
      </c>
      <c r="M193" s="25">
        <v>12.581</v>
      </c>
      <c r="N193" s="25">
        <v>8.4600000000000009</v>
      </c>
      <c r="O193" s="25">
        <v>2883.41</v>
      </c>
    </row>
    <row r="194" spans="2:15" x14ac:dyDescent="0.45">
      <c r="B194">
        <v>2022</v>
      </c>
      <c r="C194" t="s">
        <v>10</v>
      </c>
      <c r="D194">
        <v>1</v>
      </c>
      <c r="E194" s="5">
        <v>0</v>
      </c>
      <c r="G194">
        <v>2022</v>
      </c>
      <c r="H194" t="str">
        <v>WC TRADING/IND LOAN</v>
      </c>
      <c r="I194">
        <v>1</v>
      </c>
      <c r="J194" s="1">
        <v>0.19021787219091568</v>
      </c>
      <c r="K194" s="25">
        <v>4.8381498272749335</v>
      </c>
      <c r="L194" s="25">
        <v>6.26</v>
      </c>
      <c r="M194" s="25">
        <v>10.923</v>
      </c>
      <c r="N194" s="25">
        <v>11.620299693912473</v>
      </c>
      <c r="O194" s="25">
        <v>2009.47</v>
      </c>
    </row>
    <row r="195" spans="2:15" x14ac:dyDescent="0.45">
      <c r="B195">
        <v>2022</v>
      </c>
      <c r="C195" t="s">
        <v>10</v>
      </c>
      <c r="D195">
        <v>2</v>
      </c>
      <c r="E195" s="5">
        <v>0</v>
      </c>
      <c r="G195">
        <v>2023</v>
      </c>
      <c r="H195" t="str">
        <v>WC TRADING/IND LOAN</v>
      </c>
      <c r="I195">
        <v>1</v>
      </c>
      <c r="J195" s="1">
        <v>0.33766828298922064</v>
      </c>
      <c r="K195" s="25">
        <v>5.6131931650736817</v>
      </c>
      <c r="L195" s="25">
        <v>7.84</v>
      </c>
      <c r="M195" s="25">
        <v>10.97</v>
      </c>
      <c r="N195" s="25">
        <v>12.2968211469067</v>
      </c>
      <c r="O195" s="25">
        <v>2097.1</v>
      </c>
    </row>
    <row r="196" spans="2:15" x14ac:dyDescent="0.45">
      <c r="B196">
        <v>2022</v>
      </c>
      <c r="C196" t="s">
        <v>21</v>
      </c>
      <c r="D196">
        <v>1</v>
      </c>
      <c r="E196" s="5">
        <v>3.3166940206409284E-2</v>
      </c>
      <c r="G196">
        <v>2024</v>
      </c>
      <c r="H196" t="str">
        <v>WC TRADING/IND LOAN</v>
      </c>
      <c r="I196">
        <v>1</v>
      </c>
      <c r="J196" s="1">
        <v>0.36738895115887349</v>
      </c>
      <c r="K196" s="25">
        <v>3.3</v>
      </c>
      <c r="L196" s="25">
        <v>4.0999999999999996</v>
      </c>
      <c r="M196" s="25">
        <v>11.953800000000001</v>
      </c>
      <c r="N196" s="25">
        <v>9.9340099482150723</v>
      </c>
      <c r="O196" s="25">
        <v>2240.41</v>
      </c>
    </row>
    <row r="197" spans="2:15" x14ac:dyDescent="0.45">
      <c r="B197">
        <v>2022</v>
      </c>
      <c r="C197" t="s">
        <v>21</v>
      </c>
      <c r="D197">
        <v>2</v>
      </c>
      <c r="E197" s="5">
        <v>9.1391456720119724E-2</v>
      </c>
      <c r="G197">
        <v>2025</v>
      </c>
      <c r="H197" t="str">
        <v>WC TRADING/IND LOAN</v>
      </c>
      <c r="I197">
        <v>1</v>
      </c>
      <c r="J197" s="1">
        <v>0.12010395924220262</v>
      </c>
      <c r="K197" s="25">
        <v>3.9883664394333493</v>
      </c>
      <c r="L197" s="25">
        <v>5.6319999999999979</v>
      </c>
      <c r="M197" s="25">
        <v>10.726940000000013</v>
      </c>
      <c r="N197" s="25">
        <v>11.530012389337571</v>
      </c>
      <c r="O197" s="25">
        <v>2409.4910000000091</v>
      </c>
    </row>
    <row r="198" spans="2:15" x14ac:dyDescent="0.45">
      <c r="B198">
        <v>2022</v>
      </c>
      <c r="C198" t="s">
        <v>4</v>
      </c>
      <c r="D198">
        <v>1</v>
      </c>
      <c r="E198" s="5">
        <v>3.482095781542861E-3</v>
      </c>
      <c r="G198">
        <v>2019</v>
      </c>
      <c r="H198" t="str">
        <v>AGRICULTURAL LOAN</v>
      </c>
      <c r="I198">
        <v>2</v>
      </c>
      <c r="J198" s="1">
        <v>0</v>
      </c>
      <c r="K198" s="25">
        <v>7.6223761076818732</v>
      </c>
      <c r="L198" s="25">
        <v>4.6399999999999997</v>
      </c>
      <c r="M198" s="25">
        <v>10.64</v>
      </c>
      <c r="N198" s="25">
        <v>12.134092700177552</v>
      </c>
      <c r="O198" s="25">
        <v>1259.02</v>
      </c>
    </row>
    <row r="199" spans="2:15" x14ac:dyDescent="0.45">
      <c r="B199">
        <v>2022</v>
      </c>
      <c r="C199" t="s">
        <v>4</v>
      </c>
      <c r="D199">
        <v>2</v>
      </c>
      <c r="E199" s="5">
        <v>3.7082291289901297E-3</v>
      </c>
      <c r="G199">
        <v>2020</v>
      </c>
      <c r="H199" t="str">
        <v>AGRICULTURAL LOAN</v>
      </c>
      <c r="I199">
        <v>2</v>
      </c>
      <c r="J199" s="1">
        <v>0</v>
      </c>
      <c r="K199" s="25">
        <v>6.6570554280283449</v>
      </c>
      <c r="L199" s="25">
        <v>6.15</v>
      </c>
      <c r="M199" s="25">
        <v>13.119</v>
      </c>
      <c r="N199" s="25">
        <v>10.109165203675886</v>
      </c>
      <c r="O199" s="25">
        <v>1362.35</v>
      </c>
    </row>
    <row r="200" spans="2:15" x14ac:dyDescent="0.45">
      <c r="B200">
        <v>2022</v>
      </c>
      <c r="C200" t="s">
        <v>3</v>
      </c>
      <c r="D200">
        <v>1</v>
      </c>
      <c r="E200" s="5">
        <v>6.7568953424299825E-3</v>
      </c>
      <c r="G200">
        <v>2021</v>
      </c>
      <c r="H200" t="str">
        <v>AGRICULTURAL LOAN</v>
      </c>
      <c r="I200">
        <v>2</v>
      </c>
      <c r="J200" s="1">
        <v>0</v>
      </c>
      <c r="K200" s="25">
        <v>-2.3696206265287998</v>
      </c>
      <c r="L200" s="25">
        <v>3.6</v>
      </c>
      <c r="M200" s="25">
        <v>12.581</v>
      </c>
      <c r="N200" s="25">
        <v>8.4600000000000009</v>
      </c>
      <c r="O200" s="25">
        <v>2883.41</v>
      </c>
    </row>
    <row r="201" spans="2:15" x14ac:dyDescent="0.45">
      <c r="B201">
        <v>2022</v>
      </c>
      <c r="C201" t="s">
        <v>3</v>
      </c>
      <c r="D201">
        <v>2</v>
      </c>
      <c r="E201" s="5">
        <v>6.3690828837916318E-3</v>
      </c>
      <c r="G201">
        <v>2022</v>
      </c>
      <c r="H201" t="str">
        <v>AGRICULTURAL LOAN</v>
      </c>
      <c r="I201">
        <v>2</v>
      </c>
      <c r="J201" s="1">
        <v>0</v>
      </c>
      <c r="K201" s="25">
        <v>4.8381498272749335</v>
      </c>
      <c r="L201" s="25">
        <v>6.26</v>
      </c>
      <c r="M201" s="25">
        <v>10.923</v>
      </c>
      <c r="N201" s="25">
        <v>11.620299693912473</v>
      </c>
      <c r="O201" s="25">
        <v>2009.47</v>
      </c>
    </row>
    <row r="202" spans="2:15" x14ac:dyDescent="0.45">
      <c r="B202">
        <v>2022</v>
      </c>
      <c r="C202" t="s">
        <v>5</v>
      </c>
      <c r="D202">
        <v>1</v>
      </c>
      <c r="E202" s="5">
        <v>0</v>
      </c>
      <c r="G202">
        <v>2023</v>
      </c>
      <c r="H202" t="str">
        <v>AGRICULTURAL LOAN</v>
      </c>
      <c r="I202">
        <v>2</v>
      </c>
      <c r="J202" s="1">
        <v>0</v>
      </c>
      <c r="K202" s="25">
        <v>5.6131931650736817</v>
      </c>
      <c r="L202" s="25">
        <v>7.84</v>
      </c>
      <c r="M202" s="25">
        <v>10.97</v>
      </c>
      <c r="N202" s="25">
        <v>12.2968211469067</v>
      </c>
      <c r="O202" s="25">
        <v>2097.1</v>
      </c>
    </row>
    <row r="203" spans="2:15" x14ac:dyDescent="0.45">
      <c r="B203">
        <v>2022</v>
      </c>
      <c r="C203" t="s">
        <v>5</v>
      </c>
      <c r="D203">
        <v>2</v>
      </c>
      <c r="E203" s="5">
        <v>0</v>
      </c>
      <c r="G203">
        <v>2024</v>
      </c>
      <c r="H203" t="str">
        <v>AGRICULTURAL LOAN</v>
      </c>
      <c r="I203">
        <v>2</v>
      </c>
      <c r="J203" s="1">
        <v>0.32727543895632449</v>
      </c>
      <c r="K203" s="25">
        <v>3.3</v>
      </c>
      <c r="L203" s="25">
        <v>4.0999999999999996</v>
      </c>
      <c r="M203" s="25">
        <v>11.953800000000001</v>
      </c>
      <c r="N203" s="25">
        <v>9.9340099482150723</v>
      </c>
      <c r="O203" s="25">
        <v>2240.41</v>
      </c>
    </row>
    <row r="204" spans="2:15" x14ac:dyDescent="0.45">
      <c r="B204">
        <v>2022</v>
      </c>
      <c r="C204" t="s">
        <v>30</v>
      </c>
      <c r="D204">
        <v>1</v>
      </c>
      <c r="E204" s="5">
        <v>0</v>
      </c>
      <c r="G204">
        <v>2025</v>
      </c>
      <c r="H204" t="str">
        <v>AGRICULTURAL LOAN</v>
      </c>
      <c r="I204">
        <v>2</v>
      </c>
      <c r="J204" s="1">
        <v>4.1531125708018715E-2</v>
      </c>
      <c r="K204" s="25">
        <v>3.9883664394333493</v>
      </c>
      <c r="L204" s="25">
        <v>5.6319999999999979</v>
      </c>
      <c r="M204" s="25">
        <v>10.726940000000013</v>
      </c>
      <c r="N204" s="25">
        <v>11.530012389337571</v>
      </c>
      <c r="O204" s="25">
        <v>2409.4910000000091</v>
      </c>
    </row>
    <row r="205" spans="2:15" x14ac:dyDescent="0.45">
      <c r="B205">
        <v>2022</v>
      </c>
      <c r="C205" t="s">
        <v>30</v>
      </c>
      <c r="D205">
        <v>2</v>
      </c>
      <c r="E205" s="5">
        <v>0</v>
      </c>
      <c r="G205">
        <v>2019</v>
      </c>
      <c r="H205" t="str">
        <v>AGRICULTURE LOAN</v>
      </c>
      <c r="I205">
        <v>2</v>
      </c>
      <c r="J205" s="1">
        <v>0.26940190012890297</v>
      </c>
      <c r="K205" s="25">
        <v>7.6223761076818732</v>
      </c>
      <c r="L205" s="25">
        <v>4.6399999999999997</v>
      </c>
      <c r="M205" s="25">
        <v>10.64</v>
      </c>
      <c r="N205" s="25">
        <v>12.134092700177552</v>
      </c>
      <c r="O205" s="25">
        <v>1259.02</v>
      </c>
    </row>
    <row r="206" spans="2:15" x14ac:dyDescent="0.45">
      <c r="B206">
        <v>2022</v>
      </c>
      <c r="C206" t="s">
        <v>20</v>
      </c>
      <c r="D206">
        <v>1</v>
      </c>
      <c r="E206" s="5">
        <v>8.4517565553394902E-2</v>
      </c>
      <c r="G206">
        <v>2020</v>
      </c>
      <c r="H206" t="str">
        <v>AGRICULTURE LOAN</v>
      </c>
      <c r="I206">
        <v>2</v>
      </c>
      <c r="J206" s="1">
        <v>0.1882914301471687</v>
      </c>
      <c r="K206" s="25">
        <v>6.6570554280283449</v>
      </c>
      <c r="L206" s="25">
        <v>6.15</v>
      </c>
      <c r="M206" s="25">
        <v>13.119</v>
      </c>
      <c r="N206" s="25">
        <v>10.109165203675886</v>
      </c>
      <c r="O206" s="25">
        <v>1362.35</v>
      </c>
    </row>
    <row r="207" spans="2:15" x14ac:dyDescent="0.45">
      <c r="B207">
        <v>2022</v>
      </c>
      <c r="C207" t="s">
        <v>20</v>
      </c>
      <c r="D207">
        <v>2</v>
      </c>
      <c r="E207" s="5">
        <v>0.10518700641944638</v>
      </c>
      <c r="G207">
        <v>2021</v>
      </c>
      <c r="H207" t="str">
        <v>AGRICULTURE LOAN</v>
      </c>
      <c r="I207">
        <v>2</v>
      </c>
      <c r="J207" s="1">
        <v>0.18043206454135891</v>
      </c>
      <c r="K207" s="25">
        <v>-2.3696206265287998</v>
      </c>
      <c r="L207" s="25">
        <v>3.6</v>
      </c>
      <c r="M207" s="25">
        <v>12.581</v>
      </c>
      <c r="N207" s="25">
        <v>8.4600000000000009</v>
      </c>
      <c r="O207" s="25">
        <v>2883.41</v>
      </c>
    </row>
    <row r="208" spans="2:15" x14ac:dyDescent="0.45">
      <c r="B208">
        <v>2022</v>
      </c>
      <c r="C208" t="s">
        <v>23</v>
      </c>
      <c r="D208">
        <v>1</v>
      </c>
      <c r="E208" s="5">
        <v>0</v>
      </c>
      <c r="G208">
        <v>2022</v>
      </c>
      <c r="H208" t="str">
        <v>AGRICULTURE LOAN</v>
      </c>
      <c r="I208">
        <v>2</v>
      </c>
      <c r="J208" s="1">
        <v>0.13305954972911577</v>
      </c>
      <c r="K208" s="25">
        <v>4.8381498272749335</v>
      </c>
      <c r="L208" s="25">
        <v>6.26</v>
      </c>
      <c r="M208" s="25">
        <v>10.923</v>
      </c>
      <c r="N208" s="25">
        <v>11.620299693912473</v>
      </c>
      <c r="O208" s="25">
        <v>2009.47</v>
      </c>
    </row>
    <row r="209" spans="2:15" x14ac:dyDescent="0.45">
      <c r="B209">
        <v>2022</v>
      </c>
      <c r="C209" t="s">
        <v>23</v>
      </c>
      <c r="D209">
        <v>2</v>
      </c>
      <c r="E209" s="5">
        <v>0</v>
      </c>
      <c r="G209">
        <v>2023</v>
      </c>
      <c r="H209" t="str">
        <v>AGRICULTURE LOAN</v>
      </c>
      <c r="I209">
        <v>2</v>
      </c>
      <c r="J209" s="1">
        <v>0.53428463904879919</v>
      </c>
      <c r="K209" s="25">
        <v>5.6131931650736817</v>
      </c>
      <c r="L209" s="25">
        <v>7.84</v>
      </c>
      <c r="M209" s="25">
        <v>10.97</v>
      </c>
      <c r="N209" s="25">
        <v>12.2968211469067</v>
      </c>
      <c r="O209" s="25">
        <v>2097.1</v>
      </c>
    </row>
    <row r="210" spans="2:15" x14ac:dyDescent="0.45">
      <c r="B210">
        <v>2022</v>
      </c>
      <c r="C210" t="s">
        <v>15</v>
      </c>
      <c r="D210">
        <v>1</v>
      </c>
      <c r="E210" s="5">
        <v>0.12614006095010993</v>
      </c>
      <c r="G210">
        <v>2024</v>
      </c>
      <c r="H210" t="str">
        <v>AGRICULTURE LOAN</v>
      </c>
      <c r="I210">
        <v>2</v>
      </c>
      <c r="J210" s="1">
        <v>0.51725698720396895</v>
      </c>
      <c r="K210" s="25">
        <v>3.3</v>
      </c>
      <c r="L210" s="25">
        <v>4.0999999999999996</v>
      </c>
      <c r="M210" s="25">
        <v>11.953800000000001</v>
      </c>
      <c r="N210" s="25">
        <v>9.9340099482150723</v>
      </c>
      <c r="O210" s="25">
        <v>2240.41</v>
      </c>
    </row>
    <row r="211" spans="2:15" x14ac:dyDescent="0.45">
      <c r="B211">
        <v>2022</v>
      </c>
      <c r="C211" t="s">
        <v>15</v>
      </c>
      <c r="D211">
        <v>2</v>
      </c>
      <c r="E211" s="5">
        <v>0.27094632636178945</v>
      </c>
      <c r="G211">
        <v>2025</v>
      </c>
      <c r="H211" t="str">
        <v>AGRICULTURE LOAN</v>
      </c>
      <c r="I211">
        <v>2</v>
      </c>
      <c r="J211" s="1">
        <v>0.2926079436429429</v>
      </c>
      <c r="K211" s="25">
        <v>3.9883664394333493</v>
      </c>
      <c r="L211" s="25">
        <v>5.6319999999999979</v>
      </c>
      <c r="M211" s="25">
        <v>10.726940000000013</v>
      </c>
      <c r="N211" s="25">
        <v>11.530012389337571</v>
      </c>
      <c r="O211" s="25">
        <v>2409.4910000000091</v>
      </c>
    </row>
    <row r="212" spans="2:15" x14ac:dyDescent="0.45">
      <c r="B212">
        <v>2022</v>
      </c>
      <c r="C212" t="s">
        <v>9</v>
      </c>
      <c r="D212">
        <v>1</v>
      </c>
      <c r="E212" s="5">
        <v>9.5045244395595196E-2</v>
      </c>
      <c r="G212">
        <v>2019</v>
      </c>
      <c r="H212" t="str">
        <v>BIS/PERHIRE PURCHASE</v>
      </c>
      <c r="I212">
        <v>2</v>
      </c>
      <c r="J212" s="1">
        <v>1.0842394860610177E-2</v>
      </c>
      <c r="K212" s="25">
        <v>7.6223761076818732</v>
      </c>
      <c r="L212" s="25">
        <v>4.6399999999999997</v>
      </c>
      <c r="M212" s="25">
        <v>10.64</v>
      </c>
      <c r="N212" s="25">
        <v>12.134092700177552</v>
      </c>
      <c r="O212" s="25">
        <v>1259.02</v>
      </c>
    </row>
    <row r="213" spans="2:15" x14ac:dyDescent="0.45">
      <c r="B213">
        <v>2022</v>
      </c>
      <c r="C213" t="s">
        <v>9</v>
      </c>
      <c r="D213">
        <v>2</v>
      </c>
      <c r="E213" s="5">
        <v>0.16872018207515443</v>
      </c>
      <c r="G213">
        <v>2020</v>
      </c>
      <c r="H213" t="str">
        <v>BIS/PERHIRE PURCHASE</v>
      </c>
      <c r="I213">
        <v>2</v>
      </c>
      <c r="J213" s="1">
        <v>0.57768309702662424</v>
      </c>
      <c r="K213" s="25">
        <v>6.6570554280283449</v>
      </c>
      <c r="L213" s="25">
        <v>6.15</v>
      </c>
      <c r="M213" s="25">
        <v>13.119</v>
      </c>
      <c r="N213" s="25">
        <v>10.109165203675886</v>
      </c>
      <c r="O213" s="25">
        <v>1362.35</v>
      </c>
    </row>
    <row r="214" spans="2:15" x14ac:dyDescent="0.45">
      <c r="B214">
        <v>2022</v>
      </c>
      <c r="C214" t="s">
        <v>28</v>
      </c>
      <c r="D214">
        <v>1</v>
      </c>
      <c r="E214" s="5">
        <v>0</v>
      </c>
      <c r="G214">
        <v>2021</v>
      </c>
      <c r="H214" t="str">
        <v>BIS/PERHIRE PURCHASE</v>
      </c>
      <c r="I214">
        <v>2</v>
      </c>
      <c r="J214" s="1">
        <v>0.20807450377980333</v>
      </c>
      <c r="K214" s="25">
        <v>-2.3696206265287998</v>
      </c>
      <c r="L214" s="25">
        <v>3.6</v>
      </c>
      <c r="M214" s="25">
        <v>12.581</v>
      </c>
      <c r="N214" s="25">
        <v>8.4600000000000009</v>
      </c>
      <c r="O214" s="25">
        <v>2883.41</v>
      </c>
    </row>
    <row r="215" spans="2:15" x14ac:dyDescent="0.45">
      <c r="B215">
        <v>2022</v>
      </c>
      <c r="C215" t="s">
        <v>28</v>
      </c>
      <c r="D215">
        <v>2</v>
      </c>
      <c r="E215" s="5">
        <v>0</v>
      </c>
      <c r="G215">
        <v>2022</v>
      </c>
      <c r="H215" t="str">
        <v>BIS/PERHIRE PURCHASE</v>
      </c>
      <c r="I215">
        <v>2</v>
      </c>
      <c r="J215" s="1">
        <v>0.29741415860060483</v>
      </c>
      <c r="K215" s="25">
        <v>4.8381498272749335</v>
      </c>
      <c r="L215" s="25">
        <v>6.26</v>
      </c>
      <c r="M215" s="25">
        <v>10.923</v>
      </c>
      <c r="N215" s="25">
        <v>11.620299693912473</v>
      </c>
      <c r="O215" s="25">
        <v>2009.47</v>
      </c>
    </row>
    <row r="216" spans="2:15" x14ac:dyDescent="0.45">
      <c r="B216">
        <v>2022</v>
      </c>
      <c r="C216" t="s">
        <v>24</v>
      </c>
      <c r="D216">
        <v>1</v>
      </c>
      <c r="E216" s="5">
        <v>0</v>
      </c>
      <c r="G216">
        <v>2023</v>
      </c>
      <c r="H216" t="str">
        <v>BIS/PERHIRE PURCHASE</v>
      </c>
      <c r="I216">
        <v>2</v>
      </c>
      <c r="J216" s="1">
        <v>0.57965802171452852</v>
      </c>
      <c r="K216" s="25">
        <v>5.6131931650736817</v>
      </c>
      <c r="L216" s="25">
        <v>7.84</v>
      </c>
      <c r="M216" s="25">
        <v>10.97</v>
      </c>
      <c r="N216" s="25">
        <v>12.2968211469067</v>
      </c>
      <c r="O216" s="25">
        <v>2097.1</v>
      </c>
    </row>
    <row r="217" spans="2:15" x14ac:dyDescent="0.45">
      <c r="B217">
        <v>2022</v>
      </c>
      <c r="C217" t="s">
        <v>24</v>
      </c>
      <c r="D217">
        <v>2</v>
      </c>
      <c r="E217" s="5">
        <v>0</v>
      </c>
      <c r="G217">
        <v>2024</v>
      </c>
      <c r="H217" t="str">
        <v>BIS/PERHIRE PURCHASE</v>
      </c>
      <c r="I217">
        <v>2</v>
      </c>
      <c r="J217" s="1">
        <v>0.53932888180238459</v>
      </c>
      <c r="K217" s="25">
        <v>3.3</v>
      </c>
      <c r="L217" s="25">
        <v>4.0999999999999996</v>
      </c>
      <c r="M217" s="25">
        <v>11.953800000000001</v>
      </c>
      <c r="N217" s="25">
        <v>9.9340099482150723</v>
      </c>
      <c r="O217" s="25">
        <v>2240.41</v>
      </c>
    </row>
    <row r="218" spans="2:15" x14ac:dyDescent="0.45">
      <c r="B218">
        <v>2022</v>
      </c>
      <c r="C218" t="s">
        <v>6</v>
      </c>
      <c r="D218">
        <v>1</v>
      </c>
      <c r="E218" s="5">
        <v>7.4494798526898581E-2</v>
      </c>
      <c r="G218">
        <v>2025</v>
      </c>
      <c r="H218" t="str">
        <v>BIS/PERHIRE PURCHASE</v>
      </c>
      <c r="I218">
        <v>2</v>
      </c>
      <c r="J218" s="1">
        <v>0.50149529230205137</v>
      </c>
      <c r="K218" s="25">
        <v>3.9883664394333493</v>
      </c>
      <c r="L218" s="25">
        <v>5.6319999999999979</v>
      </c>
      <c r="M218" s="25">
        <v>10.726940000000013</v>
      </c>
      <c r="N218" s="25">
        <v>11.530012389337571</v>
      </c>
      <c r="O218" s="25">
        <v>2409.4910000000091</v>
      </c>
    </row>
    <row r="219" spans="2:15" x14ac:dyDescent="0.45">
      <c r="B219">
        <v>2022</v>
      </c>
      <c r="C219" t="s">
        <v>6</v>
      </c>
      <c r="D219">
        <v>2</v>
      </c>
      <c r="E219" s="5">
        <v>0.15037994053212342</v>
      </c>
      <c r="G219">
        <v>2019</v>
      </c>
      <c r="H219" t="str">
        <v>CONS FIN BUSN TRM LO</v>
      </c>
      <c r="I219">
        <v>2</v>
      </c>
      <c r="J219" s="1">
        <v>0</v>
      </c>
      <c r="K219" s="25">
        <v>7.6223761076818732</v>
      </c>
      <c r="L219" s="25">
        <v>4.6399999999999997</v>
      </c>
      <c r="M219" s="25">
        <v>10.64</v>
      </c>
      <c r="N219" s="25">
        <v>12.134092700177552</v>
      </c>
      <c r="O219" s="25">
        <v>1259.02</v>
      </c>
    </row>
    <row r="220" spans="2:15" x14ac:dyDescent="0.45">
      <c r="B220">
        <v>2022</v>
      </c>
      <c r="C220" t="s">
        <v>16</v>
      </c>
      <c r="D220">
        <v>1</v>
      </c>
      <c r="E220" s="5">
        <v>0</v>
      </c>
      <c r="G220">
        <v>2020</v>
      </c>
      <c r="H220" t="str">
        <v>CONS FIN BUSN TRM LO</v>
      </c>
      <c r="I220">
        <v>2</v>
      </c>
      <c r="J220" s="1">
        <v>0</v>
      </c>
      <c r="K220" s="25">
        <v>6.6570554280283449</v>
      </c>
      <c r="L220" s="25">
        <v>6.15</v>
      </c>
      <c r="M220" s="25">
        <v>13.119</v>
      </c>
      <c r="N220" s="25">
        <v>10.109165203675886</v>
      </c>
      <c r="O220" s="25">
        <v>1362.35</v>
      </c>
    </row>
    <row r="221" spans="2:15" x14ac:dyDescent="0.45">
      <c r="B221">
        <v>2022</v>
      </c>
      <c r="C221" t="s">
        <v>16</v>
      </c>
      <c r="D221">
        <v>2</v>
      </c>
      <c r="E221" s="5">
        <v>0</v>
      </c>
      <c r="G221">
        <v>2021</v>
      </c>
      <c r="H221" t="str">
        <v>CONS FIN BUSN TRM LO</v>
      </c>
      <c r="I221">
        <v>2</v>
      </c>
      <c r="J221" s="1">
        <v>0</v>
      </c>
      <c r="K221" s="25">
        <v>-2.3696206265287998</v>
      </c>
      <c r="L221" s="25">
        <v>3.6</v>
      </c>
      <c r="M221" s="25">
        <v>12.581</v>
      </c>
      <c r="N221" s="25">
        <v>8.4600000000000009</v>
      </c>
      <c r="O221" s="25">
        <v>2883.41</v>
      </c>
    </row>
    <row r="222" spans="2:15" x14ac:dyDescent="0.45">
      <c r="B222">
        <v>2022</v>
      </c>
      <c r="C222" t="s">
        <v>27</v>
      </c>
      <c r="D222">
        <v>1</v>
      </c>
      <c r="E222" s="5">
        <v>0</v>
      </c>
      <c r="G222">
        <v>2022</v>
      </c>
      <c r="H222" t="str">
        <v>CONS FIN BUSN TRM LO</v>
      </c>
      <c r="I222">
        <v>2</v>
      </c>
      <c r="J222" s="1">
        <v>0</v>
      </c>
      <c r="K222" s="25">
        <v>4.8381498272749335</v>
      </c>
      <c r="L222" s="25">
        <v>6.26</v>
      </c>
      <c r="M222" s="25">
        <v>10.923</v>
      </c>
      <c r="N222" s="25">
        <v>11.620299693912473</v>
      </c>
      <c r="O222" s="25">
        <v>2009.47</v>
      </c>
    </row>
    <row r="223" spans="2:15" x14ac:dyDescent="0.45">
      <c r="B223">
        <v>2022</v>
      </c>
      <c r="C223" t="s">
        <v>27</v>
      </c>
      <c r="D223">
        <v>2</v>
      </c>
      <c r="E223" s="5">
        <v>0</v>
      </c>
      <c r="G223">
        <v>2023</v>
      </c>
      <c r="H223" t="str">
        <v>CONS FIN BUSN TRM LO</v>
      </c>
      <c r="I223">
        <v>2</v>
      </c>
      <c r="J223" s="1">
        <v>0</v>
      </c>
      <c r="K223" s="25">
        <v>5.6131931650736817</v>
      </c>
      <c r="L223" s="25">
        <v>7.84</v>
      </c>
      <c r="M223" s="25">
        <v>10.97</v>
      </c>
      <c r="N223" s="25">
        <v>12.2968211469067</v>
      </c>
      <c r="O223" s="25">
        <v>2097.1</v>
      </c>
    </row>
    <row r="224" spans="2:15" x14ac:dyDescent="0.45">
      <c r="B224">
        <v>2022</v>
      </c>
      <c r="C224" t="s">
        <v>7</v>
      </c>
      <c r="D224">
        <v>1</v>
      </c>
      <c r="E224" s="5">
        <v>0.19021787219091568</v>
      </c>
      <c r="G224">
        <v>2024</v>
      </c>
      <c r="H224" t="str">
        <v>CONS FIN BUSN TRM LO</v>
      </c>
      <c r="I224">
        <v>2</v>
      </c>
      <c r="J224" s="1">
        <v>0</v>
      </c>
      <c r="K224" s="25">
        <v>3.3</v>
      </c>
      <c r="L224" s="25">
        <v>4.0999999999999996</v>
      </c>
      <c r="M224" s="25">
        <v>11.953800000000001</v>
      </c>
      <c r="N224" s="25">
        <v>9.9340099482150723</v>
      </c>
      <c r="O224" s="25">
        <v>2240.41</v>
      </c>
    </row>
    <row r="225" spans="2:15" x14ac:dyDescent="0.45">
      <c r="B225">
        <v>2022</v>
      </c>
      <c r="C225" t="s">
        <v>7</v>
      </c>
      <c r="D225">
        <v>2</v>
      </c>
      <c r="E225" s="5">
        <v>0.18991821390437566</v>
      </c>
      <c r="G225">
        <v>2025</v>
      </c>
      <c r="H225" t="str">
        <v>CONS FIN BUSN TRM LO</v>
      </c>
      <c r="I225">
        <v>2</v>
      </c>
      <c r="J225" s="1">
        <v>0</v>
      </c>
      <c r="K225" s="25">
        <v>3.9883664394333493</v>
      </c>
      <c r="L225" s="25">
        <v>5.6319999999999979</v>
      </c>
      <c r="M225" s="25">
        <v>10.726940000000013</v>
      </c>
      <c r="N225" s="25">
        <v>11.530012389337571</v>
      </c>
      <c r="O225" s="25">
        <v>2409.4910000000091</v>
      </c>
    </row>
    <row r="226" spans="2:15" x14ac:dyDescent="0.45">
      <c r="B226">
        <v>2023</v>
      </c>
      <c r="C226" t="s">
        <v>25</v>
      </c>
      <c r="D226">
        <v>1</v>
      </c>
      <c r="E226" s="5">
        <v>2.1133731634352424E-2</v>
      </c>
      <c r="G226">
        <v>2019</v>
      </c>
      <c r="H226" t="str">
        <v>DEPRIVED SECTOR LOAN</v>
      </c>
      <c r="I226">
        <v>2</v>
      </c>
      <c r="J226" s="1">
        <v>9.4167576639656123E-2</v>
      </c>
      <c r="K226" s="25">
        <v>7.6223761076818732</v>
      </c>
      <c r="L226" s="25">
        <v>4.6399999999999997</v>
      </c>
      <c r="M226" s="25">
        <v>10.64</v>
      </c>
      <c r="N226" s="25">
        <v>12.134092700177552</v>
      </c>
      <c r="O226" s="25">
        <v>1259.02</v>
      </c>
    </row>
    <row r="227" spans="2:15" x14ac:dyDescent="0.45">
      <c r="B227">
        <v>2023</v>
      </c>
      <c r="C227" t="s">
        <v>25</v>
      </c>
      <c r="D227">
        <v>2</v>
      </c>
      <c r="E227" s="5">
        <v>0</v>
      </c>
      <c r="G227">
        <v>2020</v>
      </c>
      <c r="H227" t="str">
        <v>DEPRIVED SECTOR LOAN</v>
      </c>
      <c r="I227">
        <v>2</v>
      </c>
      <c r="J227" s="1">
        <v>0.22405303661824258</v>
      </c>
      <c r="K227" s="25">
        <v>6.6570554280283449</v>
      </c>
      <c r="L227" s="25">
        <v>6.15</v>
      </c>
      <c r="M227" s="25">
        <v>13.119</v>
      </c>
      <c r="N227" s="25">
        <v>10.109165203675886</v>
      </c>
      <c r="O227" s="25">
        <v>1362.35</v>
      </c>
    </row>
    <row r="228" spans="2:15" x14ac:dyDescent="0.45">
      <c r="B228">
        <v>2023</v>
      </c>
      <c r="C228" t="s">
        <v>14</v>
      </c>
      <c r="D228">
        <v>1</v>
      </c>
      <c r="E228" s="5">
        <v>0.28768767215176849</v>
      </c>
      <c r="G228">
        <v>2021</v>
      </c>
      <c r="H228" t="str">
        <v>DEPRIVED SECTOR LOAN</v>
      </c>
      <c r="I228">
        <v>2</v>
      </c>
      <c r="J228" s="1">
        <v>0.22743088548496421</v>
      </c>
      <c r="K228" s="25">
        <v>-2.3696206265287998</v>
      </c>
      <c r="L228" s="25">
        <v>3.6</v>
      </c>
      <c r="M228" s="25">
        <v>12.581</v>
      </c>
      <c r="N228" s="25">
        <v>8.4600000000000009</v>
      </c>
      <c r="O228" s="25">
        <v>2883.41</v>
      </c>
    </row>
    <row r="229" spans="2:15" x14ac:dyDescent="0.45">
      <c r="B229">
        <v>2023</v>
      </c>
      <c r="C229" t="s">
        <v>14</v>
      </c>
      <c r="D229">
        <v>2</v>
      </c>
      <c r="E229" s="5">
        <v>0.53428463904879919</v>
      </c>
      <c r="G229">
        <v>2022</v>
      </c>
      <c r="H229" t="str">
        <v>DEPRIVED SECTOR LOAN</v>
      </c>
      <c r="I229">
        <v>2</v>
      </c>
      <c r="J229" s="1">
        <v>6.3388519435218268E-2</v>
      </c>
      <c r="K229" s="25">
        <v>4.8381498272749335</v>
      </c>
      <c r="L229" s="25">
        <v>6.26</v>
      </c>
      <c r="M229" s="25">
        <v>10.923</v>
      </c>
      <c r="N229" s="25">
        <v>11.620299693912473</v>
      </c>
      <c r="O229" s="25">
        <v>2009.47</v>
      </c>
    </row>
    <row r="230" spans="2:15" x14ac:dyDescent="0.45">
      <c r="B230">
        <v>2023</v>
      </c>
      <c r="C230" t="s">
        <v>18</v>
      </c>
      <c r="D230">
        <v>1</v>
      </c>
      <c r="E230" s="5">
        <v>0.30109829177467595</v>
      </c>
      <c r="G230">
        <v>2023</v>
      </c>
      <c r="H230" t="str">
        <v>DEPRIVED SECTOR LOAN</v>
      </c>
      <c r="I230">
        <v>2</v>
      </c>
      <c r="J230" s="1">
        <v>0.30935200882054575</v>
      </c>
      <c r="K230" s="25">
        <v>5.6131931650736817</v>
      </c>
      <c r="L230" s="25">
        <v>7.84</v>
      </c>
      <c r="M230" s="25">
        <v>10.97</v>
      </c>
      <c r="N230" s="25">
        <v>12.2968211469067</v>
      </c>
      <c r="O230" s="25">
        <v>2097.1</v>
      </c>
    </row>
    <row r="231" spans="2:15" x14ac:dyDescent="0.45">
      <c r="B231">
        <v>2023</v>
      </c>
      <c r="C231" t="s">
        <v>18</v>
      </c>
      <c r="D231">
        <v>2</v>
      </c>
      <c r="E231" s="5">
        <v>0.57965802171452852</v>
      </c>
      <c r="G231">
        <v>2024</v>
      </c>
      <c r="H231" t="str">
        <v>DEPRIVED SECTOR LOAN</v>
      </c>
      <c r="I231">
        <v>2</v>
      </c>
      <c r="J231" s="1">
        <v>0.34935630179358096</v>
      </c>
      <c r="K231" s="25">
        <v>3.3</v>
      </c>
      <c r="L231" s="25">
        <v>4.0999999999999996</v>
      </c>
      <c r="M231" s="25">
        <v>11.953800000000001</v>
      </c>
      <c r="N231" s="25">
        <v>9.9340099482150723</v>
      </c>
      <c r="O231" s="25">
        <v>2240.41</v>
      </c>
    </row>
    <row r="232" spans="2:15" x14ac:dyDescent="0.45">
      <c r="B232">
        <v>2023</v>
      </c>
      <c r="C232" t="s">
        <v>17</v>
      </c>
      <c r="D232">
        <v>1</v>
      </c>
      <c r="E232" s="5">
        <v>0</v>
      </c>
      <c r="G232">
        <v>2025</v>
      </c>
      <c r="H232" t="str">
        <v>DEPRIVED SECTOR LOAN</v>
      </c>
      <c r="I232">
        <v>2</v>
      </c>
      <c r="J232" s="1">
        <v>0.14453319613355389</v>
      </c>
      <c r="K232" s="25">
        <v>3.9883664394333493</v>
      </c>
      <c r="L232" s="25">
        <v>5.6319999999999979</v>
      </c>
      <c r="M232" s="25">
        <v>10.726940000000013</v>
      </c>
      <c r="N232" s="25">
        <v>11.530012389337571</v>
      </c>
      <c r="O232" s="25">
        <v>2409.4910000000091</v>
      </c>
    </row>
    <row r="233" spans="2:15" x14ac:dyDescent="0.45">
      <c r="B233">
        <v>2023</v>
      </c>
      <c r="C233" t="s">
        <v>17</v>
      </c>
      <c r="D233">
        <v>2</v>
      </c>
      <c r="E233" s="5">
        <v>0</v>
      </c>
      <c r="G233">
        <v>2019</v>
      </c>
      <c r="H233" t="str">
        <v>EARTHQUAKE RELIEF LO</v>
      </c>
      <c r="I233">
        <v>2</v>
      </c>
      <c r="J233" s="1">
        <v>0</v>
      </c>
      <c r="K233" s="25">
        <v>7.6223761076818732</v>
      </c>
      <c r="L233" s="25">
        <v>4.6399999999999997</v>
      </c>
      <c r="M233" s="25">
        <v>10.64</v>
      </c>
      <c r="N233" s="25">
        <v>12.134092700177552</v>
      </c>
      <c r="O233" s="25">
        <v>1259.02</v>
      </c>
    </row>
    <row r="234" spans="2:15" x14ac:dyDescent="0.45">
      <c r="B234">
        <v>2023</v>
      </c>
      <c r="C234" t="s">
        <v>12</v>
      </c>
      <c r="D234">
        <v>1</v>
      </c>
      <c r="E234" s="5">
        <v>6.6635800989901003E-2</v>
      </c>
      <c r="G234">
        <v>2020</v>
      </c>
      <c r="H234" t="str">
        <v>EARTHQUAKE RELIEF LO</v>
      </c>
      <c r="I234">
        <v>2</v>
      </c>
      <c r="J234" s="1">
        <v>0</v>
      </c>
      <c r="K234" s="25">
        <v>6.6570554280283449</v>
      </c>
      <c r="L234" s="25">
        <v>6.15</v>
      </c>
      <c r="M234" s="25">
        <v>13.119</v>
      </c>
      <c r="N234" s="25">
        <v>10.109165203675886</v>
      </c>
      <c r="O234" s="25">
        <v>1362.35</v>
      </c>
    </row>
    <row r="235" spans="2:15" x14ac:dyDescent="0.45">
      <c r="B235">
        <v>2023</v>
      </c>
      <c r="C235" t="s">
        <v>12</v>
      </c>
      <c r="D235">
        <v>2</v>
      </c>
      <c r="E235" s="5">
        <v>0.30935200882054575</v>
      </c>
      <c r="G235">
        <v>2021</v>
      </c>
      <c r="H235" t="str">
        <v>EARTHQUAKE RELIEF LO</v>
      </c>
      <c r="I235">
        <v>2</v>
      </c>
      <c r="J235" s="1">
        <v>0</v>
      </c>
      <c r="K235" s="25">
        <v>-2.3696206265287998</v>
      </c>
      <c r="L235" s="25">
        <v>3.6</v>
      </c>
      <c r="M235" s="25">
        <v>12.581</v>
      </c>
      <c r="N235" s="25">
        <v>8.4600000000000009</v>
      </c>
      <c r="O235" s="25">
        <v>2883.41</v>
      </c>
    </row>
    <row r="236" spans="2:15" x14ac:dyDescent="0.45">
      <c r="B236">
        <v>2023</v>
      </c>
      <c r="C236" t="s">
        <v>26</v>
      </c>
      <c r="D236">
        <v>1</v>
      </c>
      <c r="E236" s="5">
        <v>0</v>
      </c>
      <c r="G236">
        <v>2022</v>
      </c>
      <c r="H236" t="str">
        <v>EARTHQUAKE RELIEF LO</v>
      </c>
      <c r="I236">
        <v>2</v>
      </c>
      <c r="J236" s="1">
        <v>0</v>
      </c>
      <c r="K236" s="25">
        <v>4.8381498272749335</v>
      </c>
      <c r="L236" s="25">
        <v>6.26</v>
      </c>
      <c r="M236" s="25">
        <v>10.923</v>
      </c>
      <c r="N236" s="25">
        <v>11.620299693912473</v>
      </c>
      <c r="O236" s="25">
        <v>2009.47</v>
      </c>
    </row>
    <row r="237" spans="2:15" x14ac:dyDescent="0.45">
      <c r="B237">
        <v>2023</v>
      </c>
      <c r="C237" t="s">
        <v>26</v>
      </c>
      <c r="D237">
        <v>2</v>
      </c>
      <c r="E237" s="5">
        <v>0</v>
      </c>
      <c r="G237">
        <v>2023</v>
      </c>
      <c r="H237" t="str">
        <v>EARTHQUAKE RELIEF LO</v>
      </c>
      <c r="I237">
        <v>2</v>
      </c>
      <c r="J237" s="1">
        <v>0</v>
      </c>
      <c r="K237" s="25">
        <v>5.6131931650736817</v>
      </c>
      <c r="L237" s="25">
        <v>7.84</v>
      </c>
      <c r="M237" s="25">
        <v>10.97</v>
      </c>
      <c r="N237" s="25">
        <v>12.2968211469067</v>
      </c>
      <c r="O237" s="25">
        <v>2097.1</v>
      </c>
    </row>
    <row r="238" spans="2:15" x14ac:dyDescent="0.45">
      <c r="B238">
        <v>2023</v>
      </c>
      <c r="C238" t="s">
        <v>13</v>
      </c>
      <c r="D238">
        <v>1</v>
      </c>
      <c r="E238" s="5">
        <v>2.6765036035065533E-2</v>
      </c>
      <c r="G238">
        <v>2024</v>
      </c>
      <c r="H238" t="str">
        <v>EARTHQUAKE RELIEF LO</v>
      </c>
      <c r="I238">
        <v>2</v>
      </c>
      <c r="J238" s="1">
        <v>0</v>
      </c>
      <c r="K238" s="25">
        <v>3.3</v>
      </c>
      <c r="L238" s="25">
        <v>4.0999999999999996</v>
      </c>
      <c r="M238" s="25">
        <v>11.953800000000001</v>
      </c>
      <c r="N238" s="25">
        <v>9.9340099482150723</v>
      </c>
      <c r="O238" s="25">
        <v>2240.41</v>
      </c>
    </row>
    <row r="239" spans="2:15" x14ac:dyDescent="0.45">
      <c r="B239">
        <v>2023</v>
      </c>
      <c r="C239" t="s">
        <v>13</v>
      </c>
      <c r="D239">
        <v>2</v>
      </c>
      <c r="E239" s="5">
        <v>0.30389087503971646</v>
      </c>
      <c r="G239">
        <v>2025</v>
      </c>
      <c r="H239" t="str">
        <v>EARTHQUAKE RELIEF LO</v>
      </c>
      <c r="I239">
        <v>2</v>
      </c>
      <c r="J239" s="1">
        <v>0</v>
      </c>
      <c r="K239" s="25">
        <v>3.9883664394333493</v>
      </c>
      <c r="L239" s="25">
        <v>5.6319999999999979</v>
      </c>
      <c r="M239" s="25">
        <v>10.726940000000013</v>
      </c>
      <c r="N239" s="25">
        <v>11.530012389337571</v>
      </c>
      <c r="O239" s="25">
        <v>2409.4910000000091</v>
      </c>
    </row>
    <row r="240" spans="2:15" x14ac:dyDescent="0.45">
      <c r="B240">
        <v>2023</v>
      </c>
      <c r="C240" t="s">
        <v>29</v>
      </c>
      <c r="D240">
        <v>1</v>
      </c>
      <c r="E240" s="5">
        <v>0</v>
      </c>
      <c r="G240">
        <v>2019</v>
      </c>
      <c r="H240" t="str">
        <v>EDUCATIONAL LOAN</v>
      </c>
      <c r="I240">
        <v>2</v>
      </c>
      <c r="J240" s="1">
        <v>0.11209341327543652</v>
      </c>
      <c r="K240" s="25">
        <v>7.6223761076818732</v>
      </c>
      <c r="L240" s="25">
        <v>4.6399999999999997</v>
      </c>
      <c r="M240" s="25">
        <v>10.64</v>
      </c>
      <c r="N240" s="25">
        <v>12.134092700177552</v>
      </c>
      <c r="O240" s="25">
        <v>1259.02</v>
      </c>
    </row>
    <row r="241" spans="2:15" x14ac:dyDescent="0.45">
      <c r="B241">
        <v>2023</v>
      </c>
      <c r="C241" t="s">
        <v>29</v>
      </c>
      <c r="D241">
        <v>2</v>
      </c>
      <c r="E241" s="5">
        <v>0</v>
      </c>
      <c r="G241">
        <v>2020</v>
      </c>
      <c r="H241" t="str">
        <v>EDUCATIONAL LOAN</v>
      </c>
      <c r="I241">
        <v>2</v>
      </c>
      <c r="J241" s="1">
        <v>0.34475279132864672</v>
      </c>
      <c r="K241" s="25">
        <v>6.6570554280283449</v>
      </c>
      <c r="L241" s="25">
        <v>6.15</v>
      </c>
      <c r="M241" s="25">
        <v>13.119</v>
      </c>
      <c r="N241" s="25">
        <v>10.109165203675886</v>
      </c>
      <c r="O241" s="25">
        <v>1362.35</v>
      </c>
    </row>
    <row r="242" spans="2:15" x14ac:dyDescent="0.45">
      <c r="B242">
        <v>2023</v>
      </c>
      <c r="C242" t="s">
        <v>11</v>
      </c>
      <c r="D242">
        <v>1</v>
      </c>
      <c r="E242" s="5">
        <v>0.42676222143559295</v>
      </c>
      <c r="G242">
        <v>2021</v>
      </c>
      <c r="H242" t="str">
        <v>EDUCATIONAL LOAN</v>
      </c>
      <c r="I242">
        <v>2</v>
      </c>
      <c r="J242" s="1">
        <v>0.26563434445094042</v>
      </c>
      <c r="K242" s="25">
        <v>-2.3696206265287998</v>
      </c>
      <c r="L242" s="25">
        <v>3.6</v>
      </c>
      <c r="M242" s="25">
        <v>12.581</v>
      </c>
      <c r="N242" s="25">
        <v>8.4600000000000009</v>
      </c>
      <c r="O242" s="25">
        <v>2883.41</v>
      </c>
    </row>
    <row r="243" spans="2:15" x14ac:dyDescent="0.45">
      <c r="B243">
        <v>2023</v>
      </c>
      <c r="C243" t="s">
        <v>11</v>
      </c>
      <c r="D243">
        <v>2</v>
      </c>
      <c r="E243" s="5">
        <v>0.61232954289689356</v>
      </c>
      <c r="G243">
        <v>2022</v>
      </c>
      <c r="H243" t="str">
        <v>EDUCATIONAL LOAN</v>
      </c>
      <c r="I243">
        <v>2</v>
      </c>
      <c r="J243" s="1">
        <v>5.7194544444601599E-2</v>
      </c>
      <c r="K243" s="25">
        <v>4.8381498272749335</v>
      </c>
      <c r="L243" s="25">
        <v>6.26</v>
      </c>
      <c r="M243" s="25">
        <v>10.923</v>
      </c>
      <c r="N243" s="25">
        <v>11.620299693912473</v>
      </c>
      <c r="O243" s="25">
        <v>2009.47</v>
      </c>
    </row>
    <row r="244" spans="2:15" x14ac:dyDescent="0.45">
      <c r="B244">
        <v>2023</v>
      </c>
      <c r="C244" t="s">
        <v>8</v>
      </c>
      <c r="D244">
        <v>1</v>
      </c>
      <c r="E244" s="5">
        <v>0.21854454902791648</v>
      </c>
      <c r="G244">
        <v>2023</v>
      </c>
      <c r="H244" t="str">
        <v>EDUCATIONAL LOAN</v>
      </c>
      <c r="I244">
        <v>2</v>
      </c>
      <c r="J244" s="1">
        <v>0.30389087503971646</v>
      </c>
      <c r="K244" s="25">
        <v>5.6131931650736817</v>
      </c>
      <c r="L244" s="25">
        <v>7.84</v>
      </c>
      <c r="M244" s="25">
        <v>10.97</v>
      </c>
      <c r="N244" s="25">
        <v>12.2968211469067</v>
      </c>
      <c r="O244" s="25">
        <v>2097.1</v>
      </c>
    </row>
    <row r="245" spans="2:15" x14ac:dyDescent="0.45">
      <c r="B245">
        <v>2023</v>
      </c>
      <c r="C245" t="s">
        <v>8</v>
      </c>
      <c r="D245">
        <v>2</v>
      </c>
      <c r="E245" s="5">
        <v>0.5150161567642344</v>
      </c>
      <c r="G245">
        <v>2024</v>
      </c>
      <c r="H245" t="str">
        <v>EDUCATIONAL LOAN</v>
      </c>
      <c r="I245">
        <v>2</v>
      </c>
      <c r="J245" s="1">
        <v>0</v>
      </c>
      <c r="K245" s="25">
        <v>3.3</v>
      </c>
      <c r="L245" s="25">
        <v>4.0999999999999996</v>
      </c>
      <c r="M245" s="25">
        <v>11.953800000000001</v>
      </c>
      <c r="N245" s="25">
        <v>9.9340099482150723</v>
      </c>
      <c r="O245" s="25">
        <v>2240.41</v>
      </c>
    </row>
    <row r="246" spans="2:15" x14ac:dyDescent="0.45">
      <c r="B246">
        <v>2023</v>
      </c>
      <c r="C246" t="s">
        <v>19</v>
      </c>
      <c r="D246">
        <v>1</v>
      </c>
      <c r="E246" s="5">
        <v>0</v>
      </c>
      <c r="G246">
        <v>2025</v>
      </c>
      <c r="H246" t="str">
        <v>EDUCATIONAL LOAN</v>
      </c>
      <c r="I246">
        <v>2</v>
      </c>
      <c r="J246" s="1">
        <v>0</v>
      </c>
      <c r="K246" s="25">
        <v>3.9883664394333493</v>
      </c>
      <c r="L246" s="25">
        <v>5.6319999999999979</v>
      </c>
      <c r="M246" s="25">
        <v>10.726940000000013</v>
      </c>
      <c r="N246" s="25">
        <v>11.530012389337571</v>
      </c>
      <c r="O246" s="25">
        <v>2409.4910000000091</v>
      </c>
    </row>
    <row r="247" spans="2:15" x14ac:dyDescent="0.45">
      <c r="B247">
        <v>2023</v>
      </c>
      <c r="C247" t="s">
        <v>19</v>
      </c>
      <c r="D247">
        <v>2</v>
      </c>
      <c r="E247" s="5">
        <v>0</v>
      </c>
      <c r="G247">
        <v>2019</v>
      </c>
      <c r="H247" t="str">
        <v>EDUCATIONAL LOAN EMI</v>
      </c>
      <c r="I247">
        <v>2</v>
      </c>
      <c r="J247" s="1">
        <v>0</v>
      </c>
      <c r="K247" s="25">
        <v>7.6223761076818732</v>
      </c>
      <c r="L247" s="25">
        <v>4.6399999999999997</v>
      </c>
      <c r="M247" s="25">
        <v>10.64</v>
      </c>
      <c r="N247" s="25">
        <v>12.134092700177552</v>
      </c>
      <c r="O247" s="25">
        <v>1259.02</v>
      </c>
    </row>
    <row r="248" spans="2:15" x14ac:dyDescent="0.45">
      <c r="B248">
        <v>2023</v>
      </c>
      <c r="C248" t="s">
        <v>22</v>
      </c>
      <c r="D248">
        <v>1</v>
      </c>
      <c r="E248" s="5">
        <v>0</v>
      </c>
      <c r="G248">
        <v>2020</v>
      </c>
      <c r="H248" t="str">
        <v>EDUCATIONAL LOAN EMI</v>
      </c>
      <c r="I248">
        <v>2</v>
      </c>
      <c r="J248" s="1">
        <v>0</v>
      </c>
      <c r="K248" s="25">
        <v>6.6570554280283449</v>
      </c>
      <c r="L248" s="25">
        <v>6.15</v>
      </c>
      <c r="M248" s="25">
        <v>13.119</v>
      </c>
      <c r="N248" s="25">
        <v>10.109165203675886</v>
      </c>
      <c r="O248" s="25">
        <v>1362.35</v>
      </c>
    </row>
    <row r="249" spans="2:15" x14ac:dyDescent="0.45">
      <c r="B249">
        <v>2023</v>
      </c>
      <c r="C249" t="s">
        <v>22</v>
      </c>
      <c r="D249">
        <v>2</v>
      </c>
      <c r="E249" s="5">
        <v>0</v>
      </c>
      <c r="G249">
        <v>2021</v>
      </c>
      <c r="H249" t="str">
        <v>EDUCATIONAL LOAN EMI</v>
      </c>
      <c r="I249">
        <v>2</v>
      </c>
      <c r="J249" s="1">
        <v>0</v>
      </c>
      <c r="K249" s="25">
        <v>-2.3696206265287998</v>
      </c>
      <c r="L249" s="25">
        <v>3.6</v>
      </c>
      <c r="M249" s="25">
        <v>12.581</v>
      </c>
      <c r="N249" s="25">
        <v>8.4600000000000009</v>
      </c>
      <c r="O249" s="25">
        <v>2883.41</v>
      </c>
    </row>
    <row r="250" spans="2:15" x14ac:dyDescent="0.45">
      <c r="B250">
        <v>2023</v>
      </c>
      <c r="C250" t="s">
        <v>10</v>
      </c>
      <c r="D250">
        <v>1</v>
      </c>
      <c r="E250" s="5">
        <v>0</v>
      </c>
      <c r="G250">
        <v>2022</v>
      </c>
      <c r="H250" t="str">
        <v>EDUCATIONAL LOAN EMI</v>
      </c>
      <c r="I250">
        <v>2</v>
      </c>
      <c r="J250" s="1">
        <v>0</v>
      </c>
      <c r="K250" s="25">
        <v>4.8381498272749335</v>
      </c>
      <c r="L250" s="25">
        <v>6.26</v>
      </c>
      <c r="M250" s="25">
        <v>10.923</v>
      </c>
      <c r="N250" s="25">
        <v>11.620299693912473</v>
      </c>
      <c r="O250" s="25">
        <v>2009.47</v>
      </c>
    </row>
    <row r="251" spans="2:15" x14ac:dyDescent="0.45">
      <c r="B251">
        <v>2023</v>
      </c>
      <c r="C251" t="s">
        <v>10</v>
      </c>
      <c r="D251">
        <v>2</v>
      </c>
      <c r="E251" s="5">
        <v>0</v>
      </c>
      <c r="G251">
        <v>2023</v>
      </c>
      <c r="H251" t="str">
        <v>EDUCATIONAL LOAN EMI</v>
      </c>
      <c r="I251">
        <v>2</v>
      </c>
      <c r="J251" s="1">
        <v>0</v>
      </c>
      <c r="K251" s="25">
        <v>5.6131931650736817</v>
      </c>
      <c r="L251" s="25">
        <v>7.84</v>
      </c>
      <c r="M251" s="25">
        <v>10.97</v>
      </c>
      <c r="N251" s="25">
        <v>12.2968211469067</v>
      </c>
      <c r="O251" s="25">
        <v>2097.1</v>
      </c>
    </row>
    <row r="252" spans="2:15" x14ac:dyDescent="0.45">
      <c r="B252">
        <v>2023</v>
      </c>
      <c r="C252" t="s">
        <v>21</v>
      </c>
      <c r="D252">
        <v>1</v>
      </c>
      <c r="E252" s="5">
        <v>0.18811576190334744</v>
      </c>
      <c r="G252">
        <v>2024</v>
      </c>
      <c r="H252" t="str">
        <v>EDUCATIONAL LOAN EMI</v>
      </c>
      <c r="I252">
        <v>2</v>
      </c>
      <c r="J252" s="1">
        <v>0</v>
      </c>
      <c r="K252" s="25">
        <v>3.3</v>
      </c>
      <c r="L252" s="25">
        <v>4.0999999999999996</v>
      </c>
      <c r="M252" s="25">
        <v>11.953800000000001</v>
      </c>
      <c r="N252" s="25">
        <v>9.9340099482150723</v>
      </c>
      <c r="O252" s="25">
        <v>2240.41</v>
      </c>
    </row>
    <row r="253" spans="2:15" x14ac:dyDescent="0.45">
      <c r="B253">
        <v>2023</v>
      </c>
      <c r="C253" t="s">
        <v>21</v>
      </c>
      <c r="D253">
        <v>2</v>
      </c>
      <c r="E253" s="5">
        <v>0.21283207843310128</v>
      </c>
      <c r="G253">
        <v>2025</v>
      </c>
      <c r="H253" t="str">
        <v>EDUCATIONAL LOAN EMI</v>
      </c>
      <c r="I253">
        <v>2</v>
      </c>
      <c r="J253" s="1">
        <v>0</v>
      </c>
      <c r="K253" s="25">
        <v>3.9883664394333493</v>
      </c>
      <c r="L253" s="25">
        <v>5.6319999999999979</v>
      </c>
      <c r="M253" s="25">
        <v>10.726940000000013</v>
      </c>
      <c r="N253" s="25">
        <v>11.530012389337571</v>
      </c>
      <c r="O253" s="25">
        <v>2409.4910000000091</v>
      </c>
    </row>
    <row r="254" spans="2:15" x14ac:dyDescent="0.45">
      <c r="B254">
        <v>2023</v>
      </c>
      <c r="C254" t="s">
        <v>4</v>
      </c>
      <c r="D254">
        <v>1</v>
      </c>
      <c r="E254" s="5">
        <v>0.12091994364682179</v>
      </c>
      <c r="G254">
        <v>2019</v>
      </c>
      <c r="H254" t="str">
        <v>HIRE PURCHASE LOAN</v>
      </c>
      <c r="I254">
        <v>2</v>
      </c>
      <c r="J254" s="1">
        <v>0.30335198462458651</v>
      </c>
      <c r="K254" s="25">
        <v>7.6223761076818732</v>
      </c>
      <c r="L254" s="25">
        <v>4.6399999999999997</v>
      </c>
      <c r="M254" s="25">
        <v>10.64</v>
      </c>
      <c r="N254" s="25">
        <v>12.134092700177552</v>
      </c>
      <c r="O254" s="25">
        <v>1259.02</v>
      </c>
    </row>
    <row r="255" spans="2:15" x14ac:dyDescent="0.45">
      <c r="B255">
        <v>2023</v>
      </c>
      <c r="C255" t="s">
        <v>4</v>
      </c>
      <c r="D255">
        <v>2</v>
      </c>
      <c r="E255" s="5">
        <v>0.30847176908864754</v>
      </c>
      <c r="G255">
        <v>2020</v>
      </c>
      <c r="H255" t="str">
        <v>HIRE PURCHASE LOAN</v>
      </c>
      <c r="I255">
        <v>2</v>
      </c>
      <c r="J255" s="1">
        <v>0.56436265905655247</v>
      </c>
      <c r="K255" s="25">
        <v>6.6570554280283449</v>
      </c>
      <c r="L255" s="25">
        <v>6.15</v>
      </c>
      <c r="M255" s="25">
        <v>13.119</v>
      </c>
      <c r="N255" s="25">
        <v>10.109165203675886</v>
      </c>
      <c r="O255" s="25">
        <v>1362.35</v>
      </c>
    </row>
    <row r="256" spans="2:15" x14ac:dyDescent="0.45">
      <c r="B256">
        <v>2023</v>
      </c>
      <c r="C256" t="s">
        <v>3</v>
      </c>
      <c r="D256">
        <v>1</v>
      </c>
      <c r="E256" s="5">
        <v>0.16665472768086309</v>
      </c>
      <c r="G256">
        <v>2021</v>
      </c>
      <c r="H256" t="str">
        <v>HIRE PURCHASE LOAN</v>
      </c>
      <c r="I256">
        <v>2</v>
      </c>
      <c r="J256" s="1">
        <v>0.49031437818168894</v>
      </c>
      <c r="K256" s="25">
        <v>-2.3696206265287998</v>
      </c>
      <c r="L256" s="25">
        <v>3.6</v>
      </c>
      <c r="M256" s="25">
        <v>12.581</v>
      </c>
      <c r="N256" s="25">
        <v>8.4600000000000009</v>
      </c>
      <c r="O256" s="25">
        <v>2883.41</v>
      </c>
    </row>
    <row r="257" spans="2:15" x14ac:dyDescent="0.45">
      <c r="B257">
        <v>2023</v>
      </c>
      <c r="C257" t="s">
        <v>3</v>
      </c>
      <c r="D257">
        <v>2</v>
      </c>
      <c r="E257" s="5">
        <v>0.33217463150820031</v>
      </c>
      <c r="G257">
        <v>2022</v>
      </c>
      <c r="H257" t="str">
        <v>HIRE PURCHASE LOAN</v>
      </c>
      <c r="I257">
        <v>2</v>
      </c>
      <c r="J257" s="1">
        <v>0.48235556119817768</v>
      </c>
      <c r="K257" s="25">
        <v>4.8381498272749335</v>
      </c>
      <c r="L257" s="25">
        <v>6.26</v>
      </c>
      <c r="M257" s="25">
        <v>10.923</v>
      </c>
      <c r="N257" s="25">
        <v>11.620299693912473</v>
      </c>
      <c r="O257" s="25">
        <v>2009.47</v>
      </c>
    </row>
    <row r="258" spans="2:15" x14ac:dyDescent="0.45">
      <c r="B258">
        <v>2023</v>
      </c>
      <c r="C258" t="s">
        <v>5</v>
      </c>
      <c r="D258">
        <v>1</v>
      </c>
      <c r="E258" s="5">
        <v>0</v>
      </c>
      <c r="G258">
        <v>2023</v>
      </c>
      <c r="H258" t="str">
        <v>HIRE PURCHASE LOAN</v>
      </c>
      <c r="I258">
        <v>2</v>
      </c>
      <c r="J258" s="1">
        <v>0.61232954289689356</v>
      </c>
      <c r="K258" s="25">
        <v>5.6131931650736817</v>
      </c>
      <c r="L258" s="25">
        <v>7.84</v>
      </c>
      <c r="M258" s="25">
        <v>10.97</v>
      </c>
      <c r="N258" s="25">
        <v>12.2968211469067</v>
      </c>
      <c r="O258" s="25">
        <v>2097.1</v>
      </c>
    </row>
    <row r="259" spans="2:15" x14ac:dyDescent="0.45">
      <c r="B259">
        <v>2023</v>
      </c>
      <c r="C259" t="s">
        <v>5</v>
      </c>
      <c r="D259">
        <v>2</v>
      </c>
      <c r="E259" s="5">
        <v>0</v>
      </c>
      <c r="G259">
        <v>2024</v>
      </c>
      <c r="H259" t="str">
        <v>HIRE PURCHASE LOAN</v>
      </c>
      <c r="I259">
        <v>2</v>
      </c>
      <c r="J259" s="1">
        <v>0.41337184122987997</v>
      </c>
      <c r="K259" s="25">
        <v>3.3</v>
      </c>
      <c r="L259" s="25">
        <v>4.0999999999999996</v>
      </c>
      <c r="M259" s="25">
        <v>11.953800000000001</v>
      </c>
      <c r="N259" s="25">
        <v>9.9340099482150723</v>
      </c>
      <c r="O259" s="25">
        <v>2240.41</v>
      </c>
    </row>
    <row r="260" spans="2:15" x14ac:dyDescent="0.45">
      <c r="B260">
        <v>2023</v>
      </c>
      <c r="C260" t="s">
        <v>30</v>
      </c>
      <c r="D260">
        <v>1</v>
      </c>
      <c r="E260" s="5">
        <v>0</v>
      </c>
      <c r="G260">
        <v>2025</v>
      </c>
      <c r="H260" t="str">
        <v>HIRE PURCHASE LOAN</v>
      </c>
      <c r="I260">
        <v>2</v>
      </c>
      <c r="J260" s="1">
        <v>0.53049772939435369</v>
      </c>
      <c r="K260" s="25">
        <v>3.9883664394333493</v>
      </c>
      <c r="L260" s="25">
        <v>5.6319999999999979</v>
      </c>
      <c r="M260" s="25">
        <v>10.726940000000013</v>
      </c>
      <c r="N260" s="25">
        <v>11.530012389337571</v>
      </c>
      <c r="O260" s="25">
        <v>2409.4910000000091</v>
      </c>
    </row>
    <row r="261" spans="2:15" x14ac:dyDescent="0.45">
      <c r="B261">
        <v>2023</v>
      </c>
      <c r="C261" t="s">
        <v>30</v>
      </c>
      <c r="D261">
        <v>2</v>
      </c>
      <c r="E261" s="5">
        <v>0</v>
      </c>
      <c r="G261">
        <v>2019</v>
      </c>
      <c r="H261" t="str">
        <v>HOUSING LOAN</v>
      </c>
      <c r="I261">
        <v>2</v>
      </c>
      <c r="J261" s="1">
        <v>0.20300271676190143</v>
      </c>
      <c r="K261" s="25">
        <v>7.6223761076818732</v>
      </c>
      <c r="L261" s="25">
        <v>4.6399999999999997</v>
      </c>
      <c r="M261" s="25">
        <v>10.64</v>
      </c>
      <c r="N261" s="25">
        <v>12.134092700177552</v>
      </c>
      <c r="O261" s="25">
        <v>1259.02</v>
      </c>
    </row>
    <row r="262" spans="2:15" x14ac:dyDescent="0.45">
      <c r="B262">
        <v>2023</v>
      </c>
      <c r="C262" t="s">
        <v>20</v>
      </c>
      <c r="D262">
        <v>1</v>
      </c>
      <c r="E262" s="5">
        <v>0.18214208240061883</v>
      </c>
      <c r="G262">
        <v>2020</v>
      </c>
      <c r="H262" t="str">
        <v>HOUSING LOAN</v>
      </c>
      <c r="I262">
        <v>2</v>
      </c>
      <c r="J262" s="1">
        <v>0.39810564918448504</v>
      </c>
      <c r="K262" s="25">
        <v>6.6570554280283449</v>
      </c>
      <c r="L262" s="25">
        <v>6.15</v>
      </c>
      <c r="M262" s="25">
        <v>13.119</v>
      </c>
      <c r="N262" s="25">
        <v>10.109165203675886</v>
      </c>
      <c r="O262" s="25">
        <v>1362.35</v>
      </c>
    </row>
    <row r="263" spans="2:15" x14ac:dyDescent="0.45">
      <c r="B263">
        <v>2023</v>
      </c>
      <c r="C263" t="s">
        <v>20</v>
      </c>
      <c r="D263">
        <v>2</v>
      </c>
      <c r="E263" s="5">
        <v>0.31052156830122946</v>
      </c>
      <c r="G263">
        <v>2021</v>
      </c>
      <c r="H263" t="str">
        <v>HOUSING LOAN</v>
      </c>
      <c r="I263">
        <v>2</v>
      </c>
      <c r="J263" s="1">
        <v>0.22178724761086549</v>
      </c>
      <c r="K263" s="25">
        <v>-2.3696206265287998</v>
      </c>
      <c r="L263" s="25">
        <v>3.6</v>
      </c>
      <c r="M263" s="25">
        <v>12.581</v>
      </c>
      <c r="N263" s="25">
        <v>8.4600000000000009</v>
      </c>
      <c r="O263" s="25">
        <v>2883.41</v>
      </c>
    </row>
    <row r="264" spans="2:15" x14ac:dyDescent="0.45">
      <c r="B264">
        <v>2023</v>
      </c>
      <c r="C264" t="s">
        <v>23</v>
      </c>
      <c r="D264">
        <v>1</v>
      </c>
      <c r="E264" s="5">
        <v>0</v>
      </c>
      <c r="G264">
        <v>2022</v>
      </c>
      <c r="H264" t="str">
        <v>HOUSING LOAN</v>
      </c>
      <c r="I264">
        <v>2</v>
      </c>
      <c r="J264" s="1">
        <v>0.1568990344473756</v>
      </c>
      <c r="K264" s="25">
        <v>4.8381498272749335</v>
      </c>
      <c r="L264" s="25">
        <v>6.26</v>
      </c>
      <c r="M264" s="25">
        <v>10.923</v>
      </c>
      <c r="N264" s="25">
        <v>11.620299693912473</v>
      </c>
      <c r="O264" s="25">
        <v>2009.47</v>
      </c>
    </row>
    <row r="265" spans="2:15" x14ac:dyDescent="0.45">
      <c r="B265">
        <v>2023</v>
      </c>
      <c r="C265" t="s">
        <v>23</v>
      </c>
      <c r="D265">
        <v>2</v>
      </c>
      <c r="E265" s="5">
        <v>0</v>
      </c>
      <c r="G265">
        <v>2023</v>
      </c>
      <c r="H265" t="str">
        <v>HOUSING LOAN</v>
      </c>
      <c r="I265">
        <v>2</v>
      </c>
      <c r="J265" s="1">
        <v>0.5150161567642344</v>
      </c>
      <c r="K265" s="25">
        <v>5.6131931650736817</v>
      </c>
      <c r="L265" s="25">
        <v>7.84</v>
      </c>
      <c r="M265" s="25">
        <v>10.97</v>
      </c>
      <c r="N265" s="25">
        <v>12.2968211469067</v>
      </c>
      <c r="O265" s="25">
        <v>2097.1</v>
      </c>
    </row>
    <row r="266" spans="2:15" x14ac:dyDescent="0.45">
      <c r="B266">
        <v>2023</v>
      </c>
      <c r="C266" t="s">
        <v>15</v>
      </c>
      <c r="D266">
        <v>1</v>
      </c>
      <c r="E266" s="5">
        <v>0.16595050053348323</v>
      </c>
      <c r="G266">
        <v>2024</v>
      </c>
      <c r="H266" t="str">
        <v>HOUSING LOAN</v>
      </c>
      <c r="I266">
        <v>2</v>
      </c>
      <c r="J266" s="1">
        <v>0.46887915123448859</v>
      </c>
      <c r="K266" s="25">
        <v>3.3</v>
      </c>
      <c r="L266" s="25">
        <v>4.0999999999999996</v>
      </c>
      <c r="M266" s="25">
        <v>11.953800000000001</v>
      </c>
      <c r="N266" s="25">
        <v>9.9340099482150723</v>
      </c>
      <c r="O266" s="25">
        <v>2240.41</v>
      </c>
    </row>
    <row r="267" spans="2:15" x14ac:dyDescent="0.45">
      <c r="B267">
        <v>2023</v>
      </c>
      <c r="C267" t="s">
        <v>15</v>
      </c>
      <c r="D267">
        <v>2</v>
      </c>
      <c r="E267" s="5">
        <v>0.32797838880152069</v>
      </c>
      <c r="G267">
        <v>2025</v>
      </c>
      <c r="H267" t="str">
        <v>HOUSING LOAN</v>
      </c>
      <c r="I267">
        <v>2</v>
      </c>
      <c r="J267" s="1">
        <v>0.33440376138467287</v>
      </c>
      <c r="K267" s="25">
        <v>3.9883664394333493</v>
      </c>
      <c r="L267" s="25">
        <v>5.6319999999999979</v>
      </c>
      <c r="M267" s="25">
        <v>10.726940000000013</v>
      </c>
      <c r="N267" s="25">
        <v>11.530012389337571</v>
      </c>
      <c r="O267" s="25">
        <v>2409.4910000000091</v>
      </c>
    </row>
    <row r="268" spans="2:15" x14ac:dyDescent="0.45">
      <c r="B268">
        <v>2023</v>
      </c>
      <c r="C268" t="s">
        <v>9</v>
      </c>
      <c r="D268">
        <v>1</v>
      </c>
      <c r="E268" s="5">
        <v>1.5713780834102603E-2</v>
      </c>
      <c r="G268">
        <v>2019</v>
      </c>
      <c r="H268" t="str">
        <v xml:space="preserve">INT CAP TERM LOAN </v>
      </c>
      <c r="I268">
        <v>2</v>
      </c>
      <c r="J268" s="1">
        <v>0</v>
      </c>
      <c r="K268" s="25">
        <v>7.6223761076818732</v>
      </c>
      <c r="L268" s="25">
        <v>4.6399999999999997</v>
      </c>
      <c r="M268" s="25">
        <v>10.64</v>
      </c>
      <c r="N268" s="25">
        <v>12.134092700177552</v>
      </c>
      <c r="O268" s="25">
        <v>1259.02</v>
      </c>
    </row>
    <row r="269" spans="2:15" x14ac:dyDescent="0.45">
      <c r="B269">
        <v>2023</v>
      </c>
      <c r="C269" t="s">
        <v>9</v>
      </c>
      <c r="D269">
        <v>2</v>
      </c>
      <c r="E269" s="5">
        <v>7.0933115050792514E-2</v>
      </c>
      <c r="G269">
        <v>2020</v>
      </c>
      <c r="H269" t="str">
        <v xml:space="preserve">INT CAP TERM LOAN </v>
      </c>
      <c r="I269">
        <v>2</v>
      </c>
      <c r="J269" s="1">
        <v>0</v>
      </c>
      <c r="K269" s="25">
        <v>6.6570554280283449</v>
      </c>
      <c r="L269" s="25">
        <v>6.15</v>
      </c>
      <c r="M269" s="25">
        <v>13.119</v>
      </c>
      <c r="N269" s="25">
        <v>10.109165203675886</v>
      </c>
      <c r="O269" s="25">
        <v>1362.35</v>
      </c>
    </row>
    <row r="270" spans="2:15" x14ac:dyDescent="0.45">
      <c r="B270">
        <v>2023</v>
      </c>
      <c r="C270" t="s">
        <v>28</v>
      </c>
      <c r="D270">
        <v>1</v>
      </c>
      <c r="E270" s="5">
        <v>0.25</v>
      </c>
      <c r="G270">
        <v>2021</v>
      </c>
      <c r="H270" t="str">
        <v xml:space="preserve">INT CAP TERM LOAN </v>
      </c>
      <c r="I270">
        <v>2</v>
      </c>
      <c r="J270" s="1">
        <v>0</v>
      </c>
      <c r="K270" s="25">
        <v>-2.3696206265287998</v>
      </c>
      <c r="L270" s="25">
        <v>3.6</v>
      </c>
      <c r="M270" s="25">
        <v>12.581</v>
      </c>
      <c r="N270" s="25">
        <v>8.4600000000000009</v>
      </c>
      <c r="O270" s="25">
        <v>2883.41</v>
      </c>
    </row>
    <row r="271" spans="2:15" x14ac:dyDescent="0.45">
      <c r="B271">
        <v>2023</v>
      </c>
      <c r="C271" t="s">
        <v>28</v>
      </c>
      <c r="D271">
        <v>2</v>
      </c>
      <c r="E271" s="5">
        <v>0</v>
      </c>
      <c r="G271">
        <v>2022</v>
      </c>
      <c r="H271" t="str">
        <v xml:space="preserve">INT CAP TERM LOAN </v>
      </c>
      <c r="I271">
        <v>2</v>
      </c>
      <c r="J271" s="1">
        <v>0</v>
      </c>
      <c r="K271" s="25">
        <v>4.8381498272749335</v>
      </c>
      <c r="L271" s="25">
        <v>6.26</v>
      </c>
      <c r="M271" s="25">
        <v>10.923</v>
      </c>
      <c r="N271" s="25">
        <v>11.620299693912473</v>
      </c>
      <c r="O271" s="25">
        <v>2009.47</v>
      </c>
    </row>
    <row r="272" spans="2:15" x14ac:dyDescent="0.45">
      <c r="B272">
        <v>2023</v>
      </c>
      <c r="C272" t="s">
        <v>24</v>
      </c>
      <c r="D272">
        <v>1</v>
      </c>
      <c r="E272" s="5">
        <v>0</v>
      </c>
      <c r="G272">
        <v>2023</v>
      </c>
      <c r="H272" t="str">
        <v xml:space="preserve">INT CAP TERM LOAN </v>
      </c>
      <c r="I272">
        <v>2</v>
      </c>
      <c r="J272" s="1">
        <v>0</v>
      </c>
      <c r="K272" s="25">
        <v>5.6131931650736817</v>
      </c>
      <c r="L272" s="25">
        <v>7.84</v>
      </c>
      <c r="M272" s="25">
        <v>10.97</v>
      </c>
      <c r="N272" s="25">
        <v>12.2968211469067</v>
      </c>
      <c r="O272" s="25">
        <v>2097.1</v>
      </c>
    </row>
    <row r="273" spans="2:15" x14ac:dyDescent="0.45">
      <c r="B273">
        <v>2023</v>
      </c>
      <c r="C273" t="s">
        <v>24</v>
      </c>
      <c r="D273">
        <v>2</v>
      </c>
      <c r="E273" s="5">
        <v>0</v>
      </c>
      <c r="G273">
        <v>2024</v>
      </c>
      <c r="H273" t="str">
        <v xml:space="preserve">INT CAP TERM LOAN </v>
      </c>
      <c r="I273">
        <v>2</v>
      </c>
      <c r="J273" s="1">
        <v>0</v>
      </c>
      <c r="K273" s="25">
        <v>3.3</v>
      </c>
      <c r="L273" s="25">
        <v>4.0999999999999996</v>
      </c>
      <c r="M273" s="25">
        <v>11.953800000000001</v>
      </c>
      <c r="N273" s="25">
        <v>9.9340099482150723</v>
      </c>
      <c r="O273" s="25">
        <v>2240.41</v>
      </c>
    </row>
    <row r="274" spans="2:15" x14ac:dyDescent="0.45">
      <c r="B274">
        <v>2023</v>
      </c>
      <c r="C274" t="s">
        <v>6</v>
      </c>
      <c r="D274">
        <v>1</v>
      </c>
      <c r="E274" s="5">
        <v>0.1453594207936629</v>
      </c>
      <c r="G274">
        <v>2025</v>
      </c>
      <c r="H274" t="str">
        <v xml:space="preserve">INT CAP TERM LOAN </v>
      </c>
      <c r="I274">
        <v>2</v>
      </c>
      <c r="J274" s="1">
        <v>0</v>
      </c>
      <c r="K274" s="25">
        <v>3.9883664394333493</v>
      </c>
      <c r="L274" s="25">
        <v>5.6319999999999979</v>
      </c>
      <c r="M274" s="25">
        <v>10.726940000000013</v>
      </c>
      <c r="N274" s="25">
        <v>11.530012389337571</v>
      </c>
      <c r="O274" s="25">
        <v>2409.4910000000091</v>
      </c>
    </row>
    <row r="275" spans="2:15" x14ac:dyDescent="0.45">
      <c r="B275">
        <v>2023</v>
      </c>
      <c r="C275" t="s">
        <v>6</v>
      </c>
      <c r="D275">
        <v>2</v>
      </c>
      <c r="E275" s="5">
        <v>0.36439778653223043</v>
      </c>
      <c r="G275">
        <v>2019</v>
      </c>
      <c r="H275" t="str">
        <v>LOAN AGAINST FDR</v>
      </c>
      <c r="I275">
        <v>2</v>
      </c>
      <c r="J275" s="1">
        <v>0</v>
      </c>
      <c r="K275" s="25">
        <v>7.6223761076818732</v>
      </c>
      <c r="L275" s="25">
        <v>4.6399999999999997</v>
      </c>
      <c r="M275" s="25">
        <v>10.64</v>
      </c>
      <c r="N275" s="25">
        <v>12.134092700177552</v>
      </c>
      <c r="O275" s="25">
        <v>1259.02</v>
      </c>
    </row>
    <row r="276" spans="2:15" x14ac:dyDescent="0.45">
      <c r="B276">
        <v>2023</v>
      </c>
      <c r="C276" t="s">
        <v>16</v>
      </c>
      <c r="D276">
        <v>1</v>
      </c>
      <c r="E276" s="5">
        <v>0.19648040820052978</v>
      </c>
      <c r="G276">
        <v>2020</v>
      </c>
      <c r="H276" t="str">
        <v>LOAN AGAINST FDR</v>
      </c>
      <c r="I276">
        <v>2</v>
      </c>
      <c r="J276" s="1">
        <v>0</v>
      </c>
      <c r="K276" s="25">
        <v>6.6570554280283449</v>
      </c>
      <c r="L276" s="25">
        <v>6.15</v>
      </c>
      <c r="M276" s="25">
        <v>13.119</v>
      </c>
      <c r="N276" s="25">
        <v>10.109165203675886</v>
      </c>
      <c r="O276" s="25">
        <v>1362.35</v>
      </c>
    </row>
    <row r="277" spans="2:15" x14ac:dyDescent="0.45">
      <c r="B277">
        <v>2023</v>
      </c>
      <c r="C277" t="s">
        <v>16</v>
      </c>
      <c r="D277">
        <v>2</v>
      </c>
      <c r="E277" s="5">
        <v>0.38882205619441651</v>
      </c>
      <c r="G277">
        <v>2021</v>
      </c>
      <c r="H277" t="str">
        <v>LOAN AGAINST FDR</v>
      </c>
      <c r="I277">
        <v>2</v>
      </c>
      <c r="J277" s="1">
        <v>0</v>
      </c>
      <c r="K277" s="25">
        <v>-2.3696206265287998</v>
      </c>
      <c r="L277" s="25">
        <v>3.6</v>
      </c>
      <c r="M277" s="25">
        <v>12.581</v>
      </c>
      <c r="N277" s="25">
        <v>8.4600000000000009</v>
      </c>
      <c r="O277" s="25">
        <v>2883.41</v>
      </c>
    </row>
    <row r="278" spans="2:15" x14ac:dyDescent="0.45">
      <c r="B278">
        <v>2023</v>
      </c>
      <c r="C278" t="s">
        <v>27</v>
      </c>
      <c r="D278">
        <v>1</v>
      </c>
      <c r="E278" s="5">
        <v>0</v>
      </c>
      <c r="G278">
        <v>2022</v>
      </c>
      <c r="H278" t="str">
        <v>LOAN AGAINST FDR</v>
      </c>
      <c r="I278">
        <v>2</v>
      </c>
      <c r="J278" s="1">
        <v>0</v>
      </c>
      <c r="K278" s="25">
        <v>4.8381498272749335</v>
      </c>
      <c r="L278" s="25">
        <v>6.26</v>
      </c>
      <c r="M278" s="25">
        <v>10.923</v>
      </c>
      <c r="N278" s="25">
        <v>11.620299693912473</v>
      </c>
      <c r="O278" s="25">
        <v>2009.47</v>
      </c>
    </row>
    <row r="279" spans="2:15" x14ac:dyDescent="0.45">
      <c r="B279">
        <v>2023</v>
      </c>
      <c r="C279" t="s">
        <v>27</v>
      </c>
      <c r="D279">
        <v>2</v>
      </c>
      <c r="E279" s="5">
        <v>0</v>
      </c>
      <c r="G279">
        <v>2023</v>
      </c>
      <c r="H279" t="str">
        <v>LOAN AGAINST FDR</v>
      </c>
      <c r="I279">
        <v>2</v>
      </c>
      <c r="J279" s="1">
        <v>0</v>
      </c>
      <c r="K279" s="25">
        <v>5.6131931650736817</v>
      </c>
      <c r="L279" s="25">
        <v>7.84</v>
      </c>
      <c r="M279" s="25">
        <v>10.97</v>
      </c>
      <c r="N279" s="25">
        <v>12.2968211469067</v>
      </c>
      <c r="O279" s="25">
        <v>2097.1</v>
      </c>
    </row>
    <row r="280" spans="2:15" x14ac:dyDescent="0.45">
      <c r="B280">
        <v>2023</v>
      </c>
      <c r="C280" t="s">
        <v>7</v>
      </c>
      <c r="D280">
        <v>1</v>
      </c>
      <c r="E280" s="5">
        <v>0.33766828298922064</v>
      </c>
      <c r="G280">
        <v>2024</v>
      </c>
      <c r="H280" t="str">
        <v>LOAN AGAINST FDR</v>
      </c>
      <c r="I280">
        <v>2</v>
      </c>
      <c r="J280" s="1">
        <v>0</v>
      </c>
      <c r="K280" s="25">
        <v>3.3</v>
      </c>
      <c r="L280" s="25">
        <v>4.0999999999999996</v>
      </c>
      <c r="M280" s="25">
        <v>11.953800000000001</v>
      </c>
      <c r="N280" s="25">
        <v>9.9340099482150723</v>
      </c>
      <c r="O280" s="25">
        <v>2240.41</v>
      </c>
    </row>
    <row r="281" spans="2:15" x14ac:dyDescent="0.45">
      <c r="B281">
        <v>2023</v>
      </c>
      <c r="C281" t="s">
        <v>7</v>
      </c>
      <c r="D281">
        <v>2</v>
      </c>
      <c r="E281" s="5">
        <v>0.45012508182088556</v>
      </c>
      <c r="G281">
        <v>2025</v>
      </c>
      <c r="H281" t="str">
        <v>LOAN AGAINST FDR</v>
      </c>
      <c r="I281">
        <v>2</v>
      </c>
      <c r="J281" s="1">
        <v>0</v>
      </c>
      <c r="K281" s="25">
        <v>3.9883664394333493</v>
      </c>
      <c r="L281" s="25">
        <v>5.6319999999999979</v>
      </c>
      <c r="M281" s="25">
        <v>10.726940000000013</v>
      </c>
      <c r="N281" s="25">
        <v>11.530012389337571</v>
      </c>
      <c r="O281" s="25">
        <v>2409.4910000000091</v>
      </c>
    </row>
    <row r="282" spans="2:15" x14ac:dyDescent="0.45">
      <c r="B282">
        <v>2024</v>
      </c>
      <c r="C282" t="s">
        <v>25</v>
      </c>
      <c r="D282">
        <v>1</v>
      </c>
      <c r="E282" s="5">
        <v>0.14472344171274884</v>
      </c>
      <c r="G282">
        <v>2019</v>
      </c>
      <c r="H282" t="str">
        <v>MARGIN NATURE LOAN</v>
      </c>
      <c r="I282">
        <v>2</v>
      </c>
      <c r="J282" s="1">
        <v>0</v>
      </c>
      <c r="K282" s="25">
        <v>7.6223761076818732</v>
      </c>
      <c r="L282" s="25">
        <v>4.6399999999999997</v>
      </c>
      <c r="M282" s="25">
        <v>10.64</v>
      </c>
      <c r="N282" s="25">
        <v>12.134092700177552</v>
      </c>
      <c r="O282" s="25">
        <v>1259.02</v>
      </c>
    </row>
    <row r="283" spans="2:15" x14ac:dyDescent="0.45">
      <c r="B283">
        <v>2024</v>
      </c>
      <c r="C283" t="s">
        <v>25</v>
      </c>
      <c r="D283">
        <v>2</v>
      </c>
      <c r="E283" s="5">
        <v>0.32727543895632449</v>
      </c>
      <c r="G283">
        <v>2020</v>
      </c>
      <c r="H283" t="str">
        <v>MARGIN NATURE LOAN</v>
      </c>
      <c r="I283">
        <v>2</v>
      </c>
      <c r="J283" s="1">
        <v>0.25402897339851827</v>
      </c>
      <c r="K283" s="25">
        <v>6.6570554280283449</v>
      </c>
      <c r="L283" s="25">
        <v>6.15</v>
      </c>
      <c r="M283" s="25">
        <v>13.119</v>
      </c>
      <c r="N283" s="25">
        <v>10.109165203675886</v>
      </c>
      <c r="O283" s="25">
        <v>1362.35</v>
      </c>
    </row>
    <row r="284" spans="2:15" x14ac:dyDescent="0.45">
      <c r="B284">
        <v>2024</v>
      </c>
      <c r="C284" t="s">
        <v>14</v>
      </c>
      <c r="D284">
        <v>1</v>
      </c>
      <c r="E284" s="5">
        <v>0.22294726439554771</v>
      </c>
      <c r="G284">
        <v>2021</v>
      </c>
      <c r="H284" t="str">
        <v>MARGIN NATURE LOAN</v>
      </c>
      <c r="I284">
        <v>2</v>
      </c>
      <c r="J284" s="1">
        <v>0</v>
      </c>
      <c r="K284" s="25">
        <v>-2.3696206265287998</v>
      </c>
      <c r="L284" s="25">
        <v>3.6</v>
      </c>
      <c r="M284" s="25">
        <v>12.581</v>
      </c>
      <c r="N284" s="25">
        <v>8.4600000000000009</v>
      </c>
      <c r="O284" s="25">
        <v>2883.41</v>
      </c>
    </row>
    <row r="285" spans="2:15" x14ac:dyDescent="0.45">
      <c r="B285">
        <v>2024</v>
      </c>
      <c r="C285" t="s">
        <v>14</v>
      </c>
      <c r="D285">
        <v>2</v>
      </c>
      <c r="E285" s="5">
        <v>0.51725698720396895</v>
      </c>
      <c r="G285">
        <v>2022</v>
      </c>
      <c r="H285" t="str">
        <v>MARGIN NATURE LOAN</v>
      </c>
      <c r="I285">
        <v>2</v>
      </c>
      <c r="J285" s="1">
        <v>0</v>
      </c>
      <c r="K285" s="25">
        <v>4.8381498272749335</v>
      </c>
      <c r="L285" s="25">
        <v>6.26</v>
      </c>
      <c r="M285" s="25">
        <v>10.923</v>
      </c>
      <c r="N285" s="25">
        <v>11.620299693912473</v>
      </c>
      <c r="O285" s="25">
        <v>2009.47</v>
      </c>
    </row>
    <row r="286" spans="2:15" x14ac:dyDescent="0.45">
      <c r="B286">
        <v>2024</v>
      </c>
      <c r="C286" t="s">
        <v>18</v>
      </c>
      <c r="D286">
        <v>1</v>
      </c>
      <c r="E286" s="5">
        <v>0.37866741266462878</v>
      </c>
      <c r="G286">
        <v>2023</v>
      </c>
      <c r="H286" t="str">
        <v>MARGIN NATURE LOAN</v>
      </c>
      <c r="I286">
        <v>2</v>
      </c>
      <c r="J286" s="1">
        <v>0</v>
      </c>
      <c r="K286" s="25">
        <v>5.6131931650736817</v>
      </c>
      <c r="L286" s="25">
        <v>7.84</v>
      </c>
      <c r="M286" s="25">
        <v>10.97</v>
      </c>
      <c r="N286" s="25">
        <v>12.2968211469067</v>
      </c>
      <c r="O286" s="25">
        <v>2097.1</v>
      </c>
    </row>
    <row r="287" spans="2:15" x14ac:dyDescent="0.45">
      <c r="B287">
        <v>2024</v>
      </c>
      <c r="C287" t="s">
        <v>18</v>
      </c>
      <c r="D287">
        <v>2</v>
      </c>
      <c r="E287" s="5">
        <v>0.53932888180238459</v>
      </c>
      <c r="G287">
        <v>2024</v>
      </c>
      <c r="H287" t="str">
        <v>MARGIN NATURE LOAN</v>
      </c>
      <c r="I287">
        <v>2</v>
      </c>
      <c r="J287" s="1">
        <v>0</v>
      </c>
      <c r="K287" s="25">
        <v>3.3</v>
      </c>
      <c r="L287" s="25">
        <v>4.0999999999999996</v>
      </c>
      <c r="M287" s="25">
        <v>11.953800000000001</v>
      </c>
      <c r="N287" s="25">
        <v>9.9340099482150723</v>
      </c>
      <c r="O287" s="25">
        <v>2240.41</v>
      </c>
    </row>
    <row r="288" spans="2:15" x14ac:dyDescent="0.45">
      <c r="B288">
        <v>2024</v>
      </c>
      <c r="C288" t="s">
        <v>17</v>
      </c>
      <c r="D288">
        <v>1</v>
      </c>
      <c r="E288" s="5">
        <v>0</v>
      </c>
      <c r="G288">
        <v>2025</v>
      </c>
      <c r="H288" t="str">
        <v>MARGIN NATURE LOAN</v>
      </c>
      <c r="I288">
        <v>2</v>
      </c>
      <c r="J288" s="1">
        <v>0</v>
      </c>
      <c r="K288" s="25">
        <v>3.9883664394333493</v>
      </c>
      <c r="L288" s="25">
        <v>5.6319999999999979</v>
      </c>
      <c r="M288" s="25">
        <v>10.726940000000013</v>
      </c>
      <c r="N288" s="25">
        <v>11.530012389337571</v>
      </c>
      <c r="O288" s="25">
        <v>2409.4910000000091</v>
      </c>
    </row>
    <row r="289" spans="2:15" x14ac:dyDescent="0.45">
      <c r="B289">
        <v>2024</v>
      </c>
      <c r="C289" t="s">
        <v>17</v>
      </c>
      <c r="D289">
        <v>2</v>
      </c>
      <c r="E289" s="5">
        <v>0</v>
      </c>
      <c r="G289">
        <v>2019</v>
      </c>
      <c r="H289" t="str">
        <v>MORTGAGE LOAN</v>
      </c>
      <c r="I289">
        <v>2</v>
      </c>
      <c r="J289" s="1">
        <v>0</v>
      </c>
      <c r="K289" s="25">
        <v>7.6223761076818732</v>
      </c>
      <c r="L289" s="25">
        <v>4.6399999999999997</v>
      </c>
      <c r="M289" s="25">
        <v>10.64</v>
      </c>
      <c r="N289" s="25">
        <v>12.134092700177552</v>
      </c>
      <c r="O289" s="25">
        <v>1259.02</v>
      </c>
    </row>
    <row r="290" spans="2:15" x14ac:dyDescent="0.45">
      <c r="B290">
        <v>2024</v>
      </c>
      <c r="C290" t="s">
        <v>12</v>
      </c>
      <c r="D290">
        <v>1</v>
      </c>
      <c r="E290" s="5">
        <v>7.0712497491678579E-3</v>
      </c>
      <c r="G290">
        <v>2020</v>
      </c>
      <c r="H290" t="str">
        <v>MORTGAGE LOAN</v>
      </c>
      <c r="I290">
        <v>2</v>
      </c>
      <c r="J290" s="1">
        <v>0</v>
      </c>
      <c r="K290" s="25">
        <v>6.6570554280283449</v>
      </c>
      <c r="L290" s="25">
        <v>6.15</v>
      </c>
      <c r="M290" s="25">
        <v>13.119</v>
      </c>
      <c r="N290" s="25">
        <v>10.109165203675886</v>
      </c>
      <c r="O290" s="25">
        <v>1362.35</v>
      </c>
    </row>
    <row r="291" spans="2:15" x14ac:dyDescent="0.45">
      <c r="B291">
        <v>2024</v>
      </c>
      <c r="C291" t="s">
        <v>12</v>
      </c>
      <c r="D291">
        <v>2</v>
      </c>
      <c r="E291" s="5">
        <v>0.34935630179358096</v>
      </c>
      <c r="G291">
        <v>2021</v>
      </c>
      <c r="H291" t="str">
        <v>MORTGAGE LOAN</v>
      </c>
      <c r="I291">
        <v>2</v>
      </c>
      <c r="J291" s="1">
        <v>0</v>
      </c>
      <c r="K291" s="25">
        <v>-2.3696206265287998</v>
      </c>
      <c r="L291" s="25">
        <v>3.6</v>
      </c>
      <c r="M291" s="25">
        <v>12.581</v>
      </c>
      <c r="N291" s="25">
        <v>8.4600000000000009</v>
      </c>
      <c r="O291" s="25">
        <v>2883.41</v>
      </c>
    </row>
    <row r="292" spans="2:15" x14ac:dyDescent="0.45">
      <c r="B292">
        <v>2024</v>
      </c>
      <c r="C292" t="s">
        <v>26</v>
      </c>
      <c r="D292">
        <v>1</v>
      </c>
      <c r="E292" s="5">
        <v>0</v>
      </c>
      <c r="G292">
        <v>2022</v>
      </c>
      <c r="H292" t="str">
        <v>MORTGAGE LOAN</v>
      </c>
      <c r="I292">
        <v>2</v>
      </c>
      <c r="J292" s="1">
        <v>9.1391456720119724E-2</v>
      </c>
      <c r="K292" s="25">
        <v>4.8381498272749335</v>
      </c>
      <c r="L292" s="25">
        <v>6.26</v>
      </c>
      <c r="M292" s="25">
        <v>10.923</v>
      </c>
      <c r="N292" s="25">
        <v>11.620299693912473</v>
      </c>
      <c r="O292" s="25">
        <v>2009.47</v>
      </c>
    </row>
    <row r="293" spans="2:15" x14ac:dyDescent="0.45">
      <c r="B293">
        <v>2024</v>
      </c>
      <c r="C293" t="s">
        <v>26</v>
      </c>
      <c r="D293">
        <v>2</v>
      </c>
      <c r="E293" s="5">
        <v>0</v>
      </c>
      <c r="G293">
        <v>2023</v>
      </c>
      <c r="H293" t="str">
        <v>MORTGAGE LOAN</v>
      </c>
      <c r="I293">
        <v>2</v>
      </c>
      <c r="J293" s="1">
        <v>0.21283207843310128</v>
      </c>
      <c r="K293" s="25">
        <v>5.6131931650736817</v>
      </c>
      <c r="L293" s="25">
        <v>7.84</v>
      </c>
      <c r="M293" s="25">
        <v>10.97</v>
      </c>
      <c r="N293" s="25">
        <v>12.2968211469067</v>
      </c>
      <c r="O293" s="25">
        <v>2097.1</v>
      </c>
    </row>
    <row r="294" spans="2:15" x14ac:dyDescent="0.45">
      <c r="B294">
        <v>2024</v>
      </c>
      <c r="C294" t="s">
        <v>13</v>
      </c>
      <c r="D294">
        <v>1</v>
      </c>
      <c r="E294" s="5">
        <v>0.11667191856915597</v>
      </c>
      <c r="G294">
        <v>2024</v>
      </c>
      <c r="H294" t="str">
        <v>MORTGAGE LOAN</v>
      </c>
      <c r="I294">
        <v>2</v>
      </c>
      <c r="J294" s="1">
        <v>0.25888180197452515</v>
      </c>
      <c r="K294" s="25">
        <v>3.3</v>
      </c>
      <c r="L294" s="25">
        <v>4.0999999999999996</v>
      </c>
      <c r="M294" s="25">
        <v>11.953800000000001</v>
      </c>
      <c r="N294" s="25">
        <v>9.9340099482150723</v>
      </c>
      <c r="O294" s="25">
        <v>2240.41</v>
      </c>
    </row>
    <row r="295" spans="2:15" x14ac:dyDescent="0.45">
      <c r="B295">
        <v>2024</v>
      </c>
      <c r="C295" t="s">
        <v>13</v>
      </c>
      <c r="D295">
        <v>2</v>
      </c>
      <c r="E295" s="5">
        <v>0</v>
      </c>
      <c r="G295">
        <v>2025</v>
      </c>
      <c r="H295" t="str">
        <v>MORTGAGE LOAN</v>
      </c>
      <c r="I295">
        <v>2</v>
      </c>
      <c r="J295" s="1">
        <v>0.13346956069709026</v>
      </c>
      <c r="K295" s="25">
        <v>3.9883664394333493</v>
      </c>
      <c r="L295" s="25">
        <v>5.6319999999999979</v>
      </c>
      <c r="M295" s="25">
        <v>10.726940000000013</v>
      </c>
      <c r="N295" s="25">
        <v>11.530012389337571</v>
      </c>
      <c r="O295" s="25">
        <v>2409.4910000000091</v>
      </c>
    </row>
    <row r="296" spans="2:15" x14ac:dyDescent="0.45">
      <c r="B296">
        <v>2024</v>
      </c>
      <c r="C296" t="s">
        <v>29</v>
      </c>
      <c r="D296">
        <v>1</v>
      </c>
      <c r="E296" s="5">
        <v>0</v>
      </c>
      <c r="G296">
        <v>2019</v>
      </c>
      <c r="H296" t="str">
        <v>OD BUSINESS LOAN</v>
      </c>
      <c r="I296">
        <v>2</v>
      </c>
      <c r="J296" s="1">
        <v>0</v>
      </c>
      <c r="K296" s="25">
        <v>7.6223761076818732</v>
      </c>
      <c r="L296" s="25">
        <v>4.6399999999999997</v>
      </c>
      <c r="M296" s="25">
        <v>10.64</v>
      </c>
      <c r="N296" s="25">
        <v>12.134092700177552</v>
      </c>
      <c r="O296" s="25">
        <v>1259.02</v>
      </c>
    </row>
    <row r="297" spans="2:15" x14ac:dyDescent="0.45">
      <c r="B297">
        <v>2024</v>
      </c>
      <c r="C297" t="s">
        <v>29</v>
      </c>
      <c r="D297">
        <v>2</v>
      </c>
      <c r="E297" s="5">
        <v>0</v>
      </c>
      <c r="G297">
        <v>2020</v>
      </c>
      <c r="H297" t="str">
        <v>OD BUSINESS LOAN</v>
      </c>
      <c r="I297">
        <v>2</v>
      </c>
      <c r="J297" s="1">
        <v>0</v>
      </c>
      <c r="K297" s="25">
        <v>6.6570554280283449</v>
      </c>
      <c r="L297" s="25">
        <v>6.15</v>
      </c>
      <c r="M297" s="25">
        <v>13.119</v>
      </c>
      <c r="N297" s="25">
        <v>10.109165203675886</v>
      </c>
      <c r="O297" s="25">
        <v>1362.35</v>
      </c>
    </row>
    <row r="298" spans="2:15" x14ac:dyDescent="0.45">
      <c r="B298">
        <v>2024</v>
      </c>
      <c r="C298" t="s">
        <v>11</v>
      </c>
      <c r="D298">
        <v>1</v>
      </c>
      <c r="E298" s="5">
        <v>0.11785169085988705</v>
      </c>
      <c r="G298">
        <v>2021</v>
      </c>
      <c r="H298" t="str">
        <v>OD BUSINESS LOAN</v>
      </c>
      <c r="I298">
        <v>2</v>
      </c>
      <c r="J298" s="1">
        <v>0</v>
      </c>
      <c r="K298" s="25">
        <v>-2.3696206265287998</v>
      </c>
      <c r="L298" s="25">
        <v>3.6</v>
      </c>
      <c r="M298" s="25">
        <v>12.581</v>
      </c>
      <c r="N298" s="25">
        <v>8.4600000000000009</v>
      </c>
      <c r="O298" s="25">
        <v>2883.41</v>
      </c>
    </row>
    <row r="299" spans="2:15" x14ac:dyDescent="0.45">
      <c r="B299">
        <v>2024</v>
      </c>
      <c r="C299" t="s">
        <v>11</v>
      </c>
      <c r="D299">
        <v>2</v>
      </c>
      <c r="E299" s="5">
        <v>0.41337184122987997</v>
      </c>
      <c r="G299">
        <v>2022</v>
      </c>
      <c r="H299" t="str">
        <v>OD BUSINESS LOAN</v>
      </c>
      <c r="I299">
        <v>2</v>
      </c>
      <c r="J299" s="1">
        <v>3.7082291289901297E-3</v>
      </c>
      <c r="K299" s="25">
        <v>4.8381498272749335</v>
      </c>
      <c r="L299" s="25">
        <v>6.26</v>
      </c>
      <c r="M299" s="25">
        <v>10.923</v>
      </c>
      <c r="N299" s="25">
        <v>11.620299693912473</v>
      </c>
      <c r="O299" s="25">
        <v>2009.47</v>
      </c>
    </row>
    <row r="300" spans="2:15" x14ac:dyDescent="0.45">
      <c r="B300">
        <v>2024</v>
      </c>
      <c r="C300" t="s">
        <v>8</v>
      </c>
      <c r="D300">
        <v>1</v>
      </c>
      <c r="E300" s="5">
        <v>0.15998676350772478</v>
      </c>
      <c r="G300">
        <v>2023</v>
      </c>
      <c r="H300" t="str">
        <v>OD BUSINESS LOAN</v>
      </c>
      <c r="I300">
        <v>2</v>
      </c>
      <c r="J300" s="1">
        <v>0.30847176908864754</v>
      </c>
      <c r="K300" s="25">
        <v>5.6131931650736817</v>
      </c>
      <c r="L300" s="25">
        <v>7.84</v>
      </c>
      <c r="M300" s="25">
        <v>10.97</v>
      </c>
      <c r="N300" s="25">
        <v>12.2968211469067</v>
      </c>
      <c r="O300" s="25">
        <v>2097.1</v>
      </c>
    </row>
    <row r="301" spans="2:15" x14ac:dyDescent="0.45">
      <c r="B301">
        <v>2024</v>
      </c>
      <c r="C301" t="s">
        <v>8</v>
      </c>
      <c r="D301">
        <v>2</v>
      </c>
      <c r="E301" s="5">
        <v>0.46887915123448859</v>
      </c>
      <c r="G301">
        <v>2024</v>
      </c>
      <c r="H301" t="str">
        <v>OD BUSINESS LOAN</v>
      </c>
      <c r="I301">
        <v>2</v>
      </c>
      <c r="J301" s="1">
        <v>0.56761239372472194</v>
      </c>
      <c r="K301" s="25">
        <v>3.3</v>
      </c>
      <c r="L301" s="25">
        <v>4.0999999999999996</v>
      </c>
      <c r="M301" s="25">
        <v>11.953800000000001</v>
      </c>
      <c r="N301" s="25">
        <v>9.9340099482150723</v>
      </c>
      <c r="O301" s="25">
        <v>2240.41</v>
      </c>
    </row>
    <row r="302" spans="2:15" x14ac:dyDescent="0.45">
      <c r="B302">
        <v>2024</v>
      </c>
      <c r="C302" t="s">
        <v>19</v>
      </c>
      <c r="D302">
        <v>1</v>
      </c>
      <c r="E302" s="5">
        <v>0</v>
      </c>
      <c r="G302">
        <v>2025</v>
      </c>
      <c r="H302" t="str">
        <v>OD BUSINESS LOAN</v>
      </c>
      <c r="I302">
        <v>2</v>
      </c>
      <c r="J302" s="1">
        <v>0</v>
      </c>
      <c r="K302" s="25">
        <v>3.9883664394333493</v>
      </c>
      <c r="L302" s="25">
        <v>5.6319999999999979</v>
      </c>
      <c r="M302" s="25">
        <v>10.726940000000013</v>
      </c>
      <c r="N302" s="25">
        <v>11.530012389337571</v>
      </c>
      <c r="O302" s="25">
        <v>2409.4910000000091</v>
      </c>
    </row>
    <row r="303" spans="2:15" x14ac:dyDescent="0.45">
      <c r="B303">
        <v>2024</v>
      </c>
      <c r="C303" t="s">
        <v>19</v>
      </c>
      <c r="D303">
        <v>2</v>
      </c>
      <c r="E303" s="5">
        <v>0</v>
      </c>
      <c r="G303">
        <v>2019</v>
      </c>
      <c r="H303" t="str">
        <v>OD PERSONAL LOAN</v>
      </c>
      <c r="I303">
        <v>2</v>
      </c>
      <c r="J303" s="1">
        <v>0</v>
      </c>
      <c r="K303" s="25">
        <v>7.6223761076818732</v>
      </c>
      <c r="L303" s="25">
        <v>4.6399999999999997</v>
      </c>
      <c r="M303" s="25">
        <v>10.64</v>
      </c>
      <c r="N303" s="25">
        <v>12.134092700177552</v>
      </c>
      <c r="O303" s="25">
        <v>1259.02</v>
      </c>
    </row>
    <row r="304" spans="2:15" x14ac:dyDescent="0.45">
      <c r="B304">
        <v>2024</v>
      </c>
      <c r="C304" t="s">
        <v>22</v>
      </c>
      <c r="D304">
        <v>1</v>
      </c>
      <c r="E304" s="5">
        <v>0</v>
      </c>
      <c r="G304">
        <v>2020</v>
      </c>
      <c r="H304" t="str">
        <v>OD PERSONAL LOAN</v>
      </c>
      <c r="I304">
        <v>2</v>
      </c>
      <c r="J304" s="1">
        <v>0</v>
      </c>
      <c r="K304" s="25">
        <v>6.6570554280283449</v>
      </c>
      <c r="L304" s="25">
        <v>6.15</v>
      </c>
      <c r="M304" s="25">
        <v>13.119</v>
      </c>
      <c r="N304" s="25">
        <v>10.109165203675886</v>
      </c>
      <c r="O304" s="25">
        <v>1362.35</v>
      </c>
    </row>
    <row r="305" spans="2:15" x14ac:dyDescent="0.45">
      <c r="B305">
        <v>2024</v>
      </c>
      <c r="C305" t="s">
        <v>22</v>
      </c>
      <c r="D305">
        <v>2</v>
      </c>
      <c r="E305" s="5">
        <v>0</v>
      </c>
      <c r="G305">
        <v>2021</v>
      </c>
      <c r="H305" t="str">
        <v>OD PERSONAL LOAN</v>
      </c>
      <c r="I305">
        <v>2</v>
      </c>
      <c r="J305" s="1">
        <v>0</v>
      </c>
      <c r="K305" s="25">
        <v>-2.3696206265287998</v>
      </c>
      <c r="L305" s="25">
        <v>3.6</v>
      </c>
      <c r="M305" s="25">
        <v>12.581</v>
      </c>
      <c r="N305" s="25">
        <v>8.4600000000000009</v>
      </c>
      <c r="O305" s="25">
        <v>2883.41</v>
      </c>
    </row>
    <row r="306" spans="2:15" x14ac:dyDescent="0.45">
      <c r="B306">
        <v>2024</v>
      </c>
      <c r="C306" t="s">
        <v>10</v>
      </c>
      <c r="D306">
        <v>1</v>
      </c>
      <c r="E306" s="5">
        <v>0</v>
      </c>
      <c r="G306">
        <v>2022</v>
      </c>
      <c r="H306" t="str">
        <v>OD PERSONAL LOAN</v>
      </c>
      <c r="I306">
        <v>2</v>
      </c>
      <c r="J306" s="1">
        <v>6.3690828837916318E-3</v>
      </c>
      <c r="K306" s="25">
        <v>4.8381498272749335</v>
      </c>
      <c r="L306" s="25">
        <v>6.26</v>
      </c>
      <c r="M306" s="25">
        <v>10.923</v>
      </c>
      <c r="N306" s="25">
        <v>11.620299693912473</v>
      </c>
      <c r="O306" s="25">
        <v>2009.47</v>
      </c>
    </row>
    <row r="307" spans="2:15" x14ac:dyDescent="0.45">
      <c r="B307">
        <v>2024</v>
      </c>
      <c r="C307" t="s">
        <v>10</v>
      </c>
      <c r="D307">
        <v>2</v>
      </c>
      <c r="E307" s="5">
        <v>0</v>
      </c>
      <c r="G307">
        <v>2023</v>
      </c>
      <c r="H307" t="str">
        <v>OD PERSONAL LOAN</v>
      </c>
      <c r="I307">
        <v>2</v>
      </c>
      <c r="J307" s="1">
        <v>0.33217463150820031</v>
      </c>
      <c r="K307" s="25">
        <v>5.6131931650736817</v>
      </c>
      <c r="L307" s="25">
        <v>7.84</v>
      </c>
      <c r="M307" s="25">
        <v>10.97</v>
      </c>
      <c r="N307" s="25">
        <v>12.2968211469067</v>
      </c>
      <c r="O307" s="25">
        <v>2097.1</v>
      </c>
    </row>
    <row r="308" spans="2:15" x14ac:dyDescent="0.45">
      <c r="B308">
        <v>2024</v>
      </c>
      <c r="C308" t="s">
        <v>21</v>
      </c>
      <c r="D308">
        <v>1</v>
      </c>
      <c r="E308" s="5">
        <v>0.17546000581415266</v>
      </c>
      <c r="G308">
        <v>2024</v>
      </c>
      <c r="H308" t="str">
        <v>OD PERSONAL LOAN</v>
      </c>
      <c r="I308">
        <v>2</v>
      </c>
      <c r="J308" s="1">
        <v>0.61641497034706849</v>
      </c>
      <c r="K308" s="25">
        <v>3.3</v>
      </c>
      <c r="L308" s="25">
        <v>4.0999999999999996</v>
      </c>
      <c r="M308" s="25">
        <v>11.953800000000001</v>
      </c>
      <c r="N308" s="25">
        <v>9.9340099482150723</v>
      </c>
      <c r="O308" s="25">
        <v>2240.41</v>
      </c>
    </row>
    <row r="309" spans="2:15" x14ac:dyDescent="0.45">
      <c r="B309">
        <v>2024</v>
      </c>
      <c r="C309" t="s">
        <v>21</v>
      </c>
      <c r="D309">
        <v>2</v>
      </c>
      <c r="E309" s="5">
        <v>0.25888180197452515</v>
      </c>
      <c r="G309">
        <v>2025</v>
      </c>
      <c r="H309" t="str">
        <v>OD PERSONAL LOAN</v>
      </c>
      <c r="I309">
        <v>2</v>
      </c>
      <c r="J309" s="1">
        <v>0.19989453956925751</v>
      </c>
      <c r="K309" s="25">
        <v>3.9883664394333493</v>
      </c>
      <c r="L309" s="25">
        <v>5.6319999999999979</v>
      </c>
      <c r="M309" s="25">
        <v>10.726940000000013</v>
      </c>
      <c r="N309" s="25">
        <v>11.530012389337571</v>
      </c>
      <c r="O309" s="25">
        <v>2409.4910000000091</v>
      </c>
    </row>
    <row r="310" spans="2:15" x14ac:dyDescent="0.45">
      <c r="B310">
        <v>2024</v>
      </c>
      <c r="C310" t="s">
        <v>4</v>
      </c>
      <c r="D310">
        <v>1</v>
      </c>
      <c r="E310" s="5">
        <v>0.23836661218759905</v>
      </c>
      <c r="G310">
        <v>2019</v>
      </c>
      <c r="H310" t="str">
        <v>OD STAFF LOAN</v>
      </c>
      <c r="I310">
        <v>2</v>
      </c>
      <c r="J310" s="1">
        <v>0</v>
      </c>
      <c r="K310" s="25">
        <v>7.6223761076818732</v>
      </c>
      <c r="L310" s="25">
        <v>4.6399999999999997</v>
      </c>
      <c r="M310" s="25">
        <v>10.64</v>
      </c>
      <c r="N310" s="25">
        <v>12.134092700177552</v>
      </c>
      <c r="O310" s="25">
        <v>1259.02</v>
      </c>
    </row>
    <row r="311" spans="2:15" x14ac:dyDescent="0.45">
      <c r="B311">
        <v>2024</v>
      </c>
      <c r="C311" t="s">
        <v>4</v>
      </c>
      <c r="D311">
        <v>2</v>
      </c>
      <c r="E311" s="5">
        <v>0.56761239372472194</v>
      </c>
      <c r="G311">
        <v>2020</v>
      </c>
      <c r="H311" t="str">
        <v>OD STAFF LOAN</v>
      </c>
      <c r="I311">
        <v>2</v>
      </c>
      <c r="J311" s="1">
        <v>0</v>
      </c>
      <c r="K311" s="25">
        <v>6.6570554280283449</v>
      </c>
      <c r="L311" s="25">
        <v>6.15</v>
      </c>
      <c r="M311" s="25">
        <v>13.119</v>
      </c>
      <c r="N311" s="25">
        <v>10.109165203675886</v>
      </c>
      <c r="O311" s="25">
        <v>1362.35</v>
      </c>
    </row>
    <row r="312" spans="2:15" x14ac:dyDescent="0.45">
      <c r="B312">
        <v>2024</v>
      </c>
      <c r="C312" t="s">
        <v>3</v>
      </c>
      <c r="D312">
        <v>1</v>
      </c>
      <c r="E312" s="5">
        <v>0.28641942115702823</v>
      </c>
      <c r="G312">
        <v>2021</v>
      </c>
      <c r="H312" t="str">
        <v>OD STAFF LOAN</v>
      </c>
      <c r="I312">
        <v>2</v>
      </c>
      <c r="J312" s="1">
        <v>0</v>
      </c>
      <c r="K312" s="25">
        <v>-2.3696206265287998</v>
      </c>
      <c r="L312" s="25">
        <v>3.6</v>
      </c>
      <c r="M312" s="25">
        <v>12.581</v>
      </c>
      <c r="N312" s="25">
        <v>8.4600000000000009</v>
      </c>
      <c r="O312" s="25">
        <v>2883.41</v>
      </c>
    </row>
    <row r="313" spans="2:15" x14ac:dyDescent="0.45">
      <c r="B313">
        <v>2024</v>
      </c>
      <c r="C313" t="s">
        <v>3</v>
      </c>
      <c r="D313">
        <v>2</v>
      </c>
      <c r="E313" s="5">
        <v>0.61641497034706849</v>
      </c>
      <c r="G313">
        <v>2022</v>
      </c>
      <c r="H313" t="str">
        <v>OD STAFF LOAN</v>
      </c>
      <c r="I313">
        <v>2</v>
      </c>
      <c r="J313" s="1">
        <v>0</v>
      </c>
      <c r="K313" s="25">
        <v>4.8381498272749335</v>
      </c>
      <c r="L313" s="25">
        <v>6.26</v>
      </c>
      <c r="M313" s="25">
        <v>10.923</v>
      </c>
      <c r="N313" s="25">
        <v>11.620299693912473</v>
      </c>
      <c r="O313" s="25">
        <v>2009.47</v>
      </c>
    </row>
    <row r="314" spans="2:15" x14ac:dyDescent="0.45">
      <c r="B314">
        <v>2024</v>
      </c>
      <c r="C314" t="s">
        <v>5</v>
      </c>
      <c r="D314">
        <v>1</v>
      </c>
      <c r="E314" s="5">
        <v>0</v>
      </c>
      <c r="G314">
        <v>2023</v>
      </c>
      <c r="H314" t="str">
        <v>OD STAFF LOAN</v>
      </c>
      <c r="I314">
        <v>2</v>
      </c>
      <c r="J314" s="1">
        <v>0</v>
      </c>
      <c r="K314" s="25">
        <v>5.6131931650736817</v>
      </c>
      <c r="L314" s="25">
        <v>7.84</v>
      </c>
      <c r="M314" s="25">
        <v>10.97</v>
      </c>
      <c r="N314" s="25">
        <v>12.2968211469067</v>
      </c>
      <c r="O314" s="25">
        <v>2097.1</v>
      </c>
    </row>
    <row r="315" spans="2:15" x14ac:dyDescent="0.45">
      <c r="B315">
        <v>2024</v>
      </c>
      <c r="C315" t="s">
        <v>5</v>
      </c>
      <c r="D315">
        <v>2</v>
      </c>
      <c r="E315" s="5">
        <v>0</v>
      </c>
      <c r="G315">
        <v>2024</v>
      </c>
      <c r="H315" t="str">
        <v>OD STAFF LOAN</v>
      </c>
      <c r="I315">
        <v>2</v>
      </c>
      <c r="J315" s="1">
        <v>0</v>
      </c>
      <c r="K315" s="25">
        <v>3.3</v>
      </c>
      <c r="L315" s="25">
        <v>4.0999999999999996</v>
      </c>
      <c r="M315" s="25">
        <v>11.953800000000001</v>
      </c>
      <c r="N315" s="25">
        <v>9.9340099482150723</v>
      </c>
      <c r="O315" s="25">
        <v>2240.41</v>
      </c>
    </row>
    <row r="316" spans="2:15" x14ac:dyDescent="0.45">
      <c r="B316">
        <v>2024</v>
      </c>
      <c r="C316" t="s">
        <v>30</v>
      </c>
      <c r="D316">
        <v>1</v>
      </c>
      <c r="E316" s="5">
        <v>0</v>
      </c>
      <c r="G316">
        <v>2025</v>
      </c>
      <c r="H316" t="str">
        <v>OD STAFF LOAN</v>
      </c>
      <c r="I316">
        <v>2</v>
      </c>
      <c r="J316" s="1">
        <v>0</v>
      </c>
      <c r="K316" s="25">
        <v>3.9883664394333493</v>
      </c>
      <c r="L316" s="25">
        <v>5.6319999999999979</v>
      </c>
      <c r="M316" s="25">
        <v>10.726940000000013</v>
      </c>
      <c r="N316" s="25">
        <v>11.530012389337571</v>
      </c>
      <c r="O316" s="25">
        <v>2409.4910000000091</v>
      </c>
    </row>
    <row r="317" spans="2:15" x14ac:dyDescent="0.45">
      <c r="B317">
        <v>2024</v>
      </c>
      <c r="C317" t="s">
        <v>30</v>
      </c>
      <c r="D317">
        <v>2</v>
      </c>
      <c r="E317" s="5">
        <v>0</v>
      </c>
      <c r="G317">
        <v>2019</v>
      </c>
      <c r="H317" t="str">
        <v>OVERDRAFT PROFESSION</v>
      </c>
      <c r="I317">
        <v>2</v>
      </c>
      <c r="J317" s="1">
        <v>0</v>
      </c>
      <c r="K317" s="25">
        <v>7.6223761076818732</v>
      </c>
      <c r="L317" s="25">
        <v>4.6399999999999997</v>
      </c>
      <c r="M317" s="25">
        <v>10.64</v>
      </c>
      <c r="N317" s="25">
        <v>12.134092700177552</v>
      </c>
      <c r="O317" s="25">
        <v>1259.02</v>
      </c>
    </row>
    <row r="318" spans="2:15" x14ac:dyDescent="0.45">
      <c r="B318">
        <v>2024</v>
      </c>
      <c r="C318" t="s">
        <v>20</v>
      </c>
      <c r="D318">
        <v>1</v>
      </c>
      <c r="E318" s="5">
        <v>0.21333142207339639</v>
      </c>
      <c r="G318">
        <v>2020</v>
      </c>
      <c r="H318" t="str">
        <v>OVERDRAFT PROFESSION</v>
      </c>
      <c r="I318">
        <v>2</v>
      </c>
      <c r="J318" s="1">
        <v>0</v>
      </c>
      <c r="K318" s="25">
        <v>6.6570554280283449</v>
      </c>
      <c r="L318" s="25">
        <v>6.15</v>
      </c>
      <c r="M318" s="25">
        <v>13.119</v>
      </c>
      <c r="N318" s="25">
        <v>10.109165203675886</v>
      </c>
      <c r="O318" s="25">
        <v>1362.35</v>
      </c>
    </row>
    <row r="319" spans="2:15" x14ac:dyDescent="0.45">
      <c r="B319">
        <v>2024</v>
      </c>
      <c r="C319" t="s">
        <v>20</v>
      </c>
      <c r="D319">
        <v>2</v>
      </c>
      <c r="E319" s="5">
        <v>0.37704851045268567</v>
      </c>
      <c r="G319">
        <v>2021</v>
      </c>
      <c r="H319" t="str">
        <v>OVERDRAFT PROFESSION</v>
      </c>
      <c r="I319">
        <v>2</v>
      </c>
      <c r="J319" s="1">
        <v>0</v>
      </c>
      <c r="K319" s="25">
        <v>-2.3696206265287998</v>
      </c>
      <c r="L319" s="25">
        <v>3.6</v>
      </c>
      <c r="M319" s="25">
        <v>12.581</v>
      </c>
      <c r="N319" s="25">
        <v>8.4600000000000009</v>
      </c>
      <c r="O319" s="25">
        <v>2883.41</v>
      </c>
    </row>
    <row r="320" spans="2:15" x14ac:dyDescent="0.45">
      <c r="B320">
        <v>2024</v>
      </c>
      <c r="C320" t="s">
        <v>23</v>
      </c>
      <c r="D320">
        <v>1</v>
      </c>
      <c r="E320" s="5">
        <v>4.7992074098114075E-2</v>
      </c>
      <c r="G320">
        <v>2022</v>
      </c>
      <c r="H320" t="str">
        <v>OVERDRAFT PROFESSION</v>
      </c>
      <c r="I320">
        <v>2</v>
      </c>
      <c r="J320" s="1">
        <v>0</v>
      </c>
      <c r="K320" s="25">
        <v>4.8381498272749335</v>
      </c>
      <c r="L320" s="25">
        <v>6.26</v>
      </c>
      <c r="M320" s="25">
        <v>10.923</v>
      </c>
      <c r="N320" s="25">
        <v>11.620299693912473</v>
      </c>
      <c r="O320" s="25">
        <v>2009.47</v>
      </c>
    </row>
    <row r="321" spans="2:15" x14ac:dyDescent="0.45">
      <c r="B321">
        <v>2024</v>
      </c>
      <c r="C321" t="s">
        <v>23</v>
      </c>
      <c r="D321">
        <v>2</v>
      </c>
      <c r="E321" s="5">
        <v>0</v>
      </c>
      <c r="G321">
        <v>2023</v>
      </c>
      <c r="H321" t="str">
        <v>OVERDRAFT PROFESSION</v>
      </c>
      <c r="I321">
        <v>2</v>
      </c>
      <c r="J321" s="1">
        <v>0</v>
      </c>
      <c r="K321" s="25">
        <v>5.6131931650736817</v>
      </c>
      <c r="L321" s="25">
        <v>7.84</v>
      </c>
      <c r="M321" s="25">
        <v>10.97</v>
      </c>
      <c r="N321" s="25">
        <v>12.2968211469067</v>
      </c>
      <c r="O321" s="25">
        <v>2097.1</v>
      </c>
    </row>
    <row r="322" spans="2:15" x14ac:dyDescent="0.45">
      <c r="B322">
        <v>2024</v>
      </c>
      <c r="C322" t="s">
        <v>15</v>
      </c>
      <c r="D322">
        <v>1</v>
      </c>
      <c r="E322" s="5">
        <v>0.18159878608515967</v>
      </c>
      <c r="G322">
        <v>2024</v>
      </c>
      <c r="H322" t="str">
        <v>OVERDRAFT PROFESSION</v>
      </c>
      <c r="I322">
        <v>2</v>
      </c>
      <c r="J322" s="1">
        <v>0</v>
      </c>
      <c r="K322" s="25">
        <v>3.3</v>
      </c>
      <c r="L322" s="25">
        <v>4.0999999999999996</v>
      </c>
      <c r="M322" s="25">
        <v>11.953800000000001</v>
      </c>
      <c r="N322" s="25">
        <v>9.9340099482150723</v>
      </c>
      <c r="O322" s="25">
        <v>2240.41</v>
      </c>
    </row>
    <row r="323" spans="2:15" x14ac:dyDescent="0.45">
      <c r="B323">
        <v>2024</v>
      </c>
      <c r="C323" t="s">
        <v>15</v>
      </c>
      <c r="D323">
        <v>2</v>
      </c>
      <c r="E323" s="5">
        <v>0.34009432884632784</v>
      </c>
      <c r="G323">
        <v>2025</v>
      </c>
      <c r="H323" t="str">
        <v>OVERDRAFT PROFESSION</v>
      </c>
      <c r="I323">
        <v>2</v>
      </c>
      <c r="J323" s="1">
        <v>0</v>
      </c>
      <c r="K323" s="25">
        <v>3.9883664394333493</v>
      </c>
      <c r="L323" s="25">
        <v>5.6319999999999979</v>
      </c>
      <c r="M323" s="25">
        <v>10.726940000000013</v>
      </c>
      <c r="N323" s="25">
        <v>11.530012389337571</v>
      </c>
      <c r="O323" s="25">
        <v>2409.4910000000091</v>
      </c>
    </row>
    <row r="324" spans="2:15" x14ac:dyDescent="0.45">
      <c r="B324">
        <v>2024</v>
      </c>
      <c r="C324" t="s">
        <v>9</v>
      </c>
      <c r="D324">
        <v>1</v>
      </c>
      <c r="E324" s="5">
        <v>0.1447918006285783</v>
      </c>
      <c r="G324">
        <v>2019</v>
      </c>
      <c r="H324" t="str">
        <v>PERSONAL LOAN</v>
      </c>
      <c r="I324">
        <v>2</v>
      </c>
      <c r="J324" s="1">
        <v>7.3251769492074056E-2</v>
      </c>
      <c r="K324" s="25">
        <v>7.6223761076818732</v>
      </c>
      <c r="L324" s="25">
        <v>4.6399999999999997</v>
      </c>
      <c r="M324" s="25">
        <v>10.64</v>
      </c>
      <c r="N324" s="25">
        <v>12.134092700177552</v>
      </c>
      <c r="O324" s="25">
        <v>1259.02</v>
      </c>
    </row>
    <row r="325" spans="2:15" x14ac:dyDescent="0.45">
      <c r="B325">
        <v>2024</v>
      </c>
      <c r="C325" t="s">
        <v>9</v>
      </c>
      <c r="D325">
        <v>2</v>
      </c>
      <c r="E325" s="5">
        <v>0.35632114439777962</v>
      </c>
      <c r="G325">
        <v>2020</v>
      </c>
      <c r="H325" t="str">
        <v>PERSONAL LOAN</v>
      </c>
      <c r="I325">
        <v>2</v>
      </c>
      <c r="J325" s="1">
        <v>0.18215687205808556</v>
      </c>
      <c r="K325" s="25">
        <v>6.6570554280283449</v>
      </c>
      <c r="L325" s="25">
        <v>6.15</v>
      </c>
      <c r="M325" s="25">
        <v>13.119</v>
      </c>
      <c r="N325" s="25">
        <v>10.109165203675886</v>
      </c>
      <c r="O325" s="25">
        <v>1362.35</v>
      </c>
    </row>
    <row r="326" spans="2:15" x14ac:dyDescent="0.45">
      <c r="B326">
        <v>2024</v>
      </c>
      <c r="C326" t="s">
        <v>28</v>
      </c>
      <c r="D326">
        <v>1</v>
      </c>
      <c r="E326" s="5">
        <v>0</v>
      </c>
      <c r="G326">
        <v>2021</v>
      </c>
      <c r="H326" t="str">
        <v>PERSONAL LOAN</v>
      </c>
      <c r="I326">
        <v>2</v>
      </c>
      <c r="J326" s="1">
        <v>0.14107025391125369</v>
      </c>
      <c r="K326" s="25">
        <v>-2.3696206265287998</v>
      </c>
      <c r="L326" s="25">
        <v>3.6</v>
      </c>
      <c r="M326" s="25">
        <v>12.581</v>
      </c>
      <c r="N326" s="25">
        <v>8.4600000000000009</v>
      </c>
      <c r="O326" s="25">
        <v>2883.41</v>
      </c>
    </row>
    <row r="327" spans="2:15" x14ac:dyDescent="0.45">
      <c r="B327">
        <v>2024</v>
      </c>
      <c r="C327" t="s">
        <v>28</v>
      </c>
      <c r="D327">
        <v>2</v>
      </c>
      <c r="E327" s="5">
        <v>0</v>
      </c>
      <c r="G327">
        <v>2022</v>
      </c>
      <c r="H327" t="str">
        <v>PERSONAL LOAN</v>
      </c>
      <c r="I327">
        <v>2</v>
      </c>
      <c r="J327" s="1">
        <v>0.10518700641944638</v>
      </c>
      <c r="K327" s="25">
        <v>4.8381498272749335</v>
      </c>
      <c r="L327" s="25">
        <v>6.26</v>
      </c>
      <c r="M327" s="25">
        <v>10.923</v>
      </c>
      <c r="N327" s="25">
        <v>11.620299693912473</v>
      </c>
      <c r="O327" s="25">
        <v>2009.47</v>
      </c>
    </row>
    <row r="328" spans="2:15" x14ac:dyDescent="0.45">
      <c r="B328">
        <v>2024</v>
      </c>
      <c r="C328" t="s">
        <v>24</v>
      </c>
      <c r="D328">
        <v>1</v>
      </c>
      <c r="E328" s="5">
        <v>0</v>
      </c>
      <c r="G328">
        <v>2023</v>
      </c>
      <c r="H328" t="str">
        <v>PERSONAL LOAN</v>
      </c>
      <c r="I328">
        <v>2</v>
      </c>
      <c r="J328" s="1">
        <v>0.31052156830122946</v>
      </c>
      <c r="K328" s="25">
        <v>5.6131931650736817</v>
      </c>
      <c r="L328" s="25">
        <v>7.84</v>
      </c>
      <c r="M328" s="25">
        <v>10.97</v>
      </c>
      <c r="N328" s="25">
        <v>12.2968211469067</v>
      </c>
      <c r="O328" s="25">
        <v>2097.1</v>
      </c>
    </row>
    <row r="329" spans="2:15" x14ac:dyDescent="0.45">
      <c r="B329">
        <v>2024</v>
      </c>
      <c r="C329" t="s">
        <v>24</v>
      </c>
      <c r="D329">
        <v>2</v>
      </c>
      <c r="E329" s="5">
        <v>0</v>
      </c>
      <c r="G329">
        <v>2024</v>
      </c>
      <c r="H329" t="str">
        <v>PERSONAL LOAN</v>
      </c>
      <c r="I329">
        <v>2</v>
      </c>
      <c r="J329" s="1">
        <v>0.37704851045268567</v>
      </c>
      <c r="K329" s="25">
        <v>3.3</v>
      </c>
      <c r="L329" s="25">
        <v>4.0999999999999996</v>
      </c>
      <c r="M329" s="25">
        <v>11.953800000000001</v>
      </c>
      <c r="N329" s="25">
        <v>9.9340099482150723</v>
      </c>
      <c r="O329" s="25">
        <v>2240.41</v>
      </c>
    </row>
    <row r="330" spans="2:15" x14ac:dyDescent="0.45">
      <c r="B330">
        <v>2024</v>
      </c>
      <c r="C330" t="s">
        <v>6</v>
      </c>
      <c r="D330">
        <v>1</v>
      </c>
      <c r="E330" s="5">
        <v>0.21554175698553413</v>
      </c>
      <c r="G330">
        <v>2025</v>
      </c>
      <c r="H330" t="str">
        <v>PERSONAL LOAN</v>
      </c>
      <c r="I330">
        <v>2</v>
      </c>
      <c r="J330" s="1">
        <v>0.14291013368759392</v>
      </c>
      <c r="K330" s="25">
        <v>3.9883664394333493</v>
      </c>
      <c r="L330" s="25">
        <v>5.6319999999999979</v>
      </c>
      <c r="M330" s="25">
        <v>10.726940000000013</v>
      </c>
      <c r="N330" s="25">
        <v>11.530012389337571</v>
      </c>
      <c r="O330" s="25">
        <v>2409.4910000000091</v>
      </c>
    </row>
    <row r="331" spans="2:15" x14ac:dyDescent="0.45">
      <c r="B331">
        <v>2024</v>
      </c>
      <c r="C331" t="s">
        <v>6</v>
      </c>
      <c r="D331">
        <v>2</v>
      </c>
      <c r="E331" s="5">
        <v>0.51918912644992166</v>
      </c>
      <c r="G331">
        <v>2019</v>
      </c>
      <c r="H331" t="str">
        <v>RECEIVABLE LOAN</v>
      </c>
      <c r="I331">
        <v>2</v>
      </c>
      <c r="J331" s="1">
        <v>0</v>
      </c>
      <c r="K331" s="25">
        <v>7.6223761076818732</v>
      </c>
      <c r="L331" s="25">
        <v>4.6399999999999997</v>
      </c>
      <c r="M331" s="25">
        <v>10.64</v>
      </c>
      <c r="N331" s="25">
        <v>12.134092700177552</v>
      </c>
      <c r="O331" s="25">
        <v>1259.02</v>
      </c>
    </row>
    <row r="332" spans="2:15" x14ac:dyDescent="0.45">
      <c r="B332">
        <v>2024</v>
      </c>
      <c r="C332" t="s">
        <v>16</v>
      </c>
      <c r="D332">
        <v>1</v>
      </c>
      <c r="E332" s="5">
        <v>0.17462043285804227</v>
      </c>
      <c r="G332">
        <v>2020</v>
      </c>
      <c r="H332" t="str">
        <v>RECEIVABLE LOAN</v>
      </c>
      <c r="I332">
        <v>2</v>
      </c>
      <c r="J332" s="1">
        <v>0</v>
      </c>
      <c r="K332" s="25">
        <v>6.6570554280283449</v>
      </c>
      <c r="L332" s="25">
        <v>6.15</v>
      </c>
      <c r="M332" s="25">
        <v>13.119</v>
      </c>
      <c r="N332" s="25">
        <v>10.109165203675886</v>
      </c>
      <c r="O332" s="25">
        <v>1362.35</v>
      </c>
    </row>
    <row r="333" spans="2:15" x14ac:dyDescent="0.45">
      <c r="B333">
        <v>2024</v>
      </c>
      <c r="C333" t="s">
        <v>16</v>
      </c>
      <c r="D333">
        <v>2</v>
      </c>
      <c r="E333" s="5">
        <v>0.48523678536049081</v>
      </c>
      <c r="G333">
        <v>2021</v>
      </c>
      <c r="H333" t="str">
        <v>RECEIVABLE LOAN</v>
      </c>
      <c r="I333">
        <v>2</v>
      </c>
      <c r="J333" s="1">
        <v>0.25</v>
      </c>
      <c r="K333" s="25">
        <v>-2.3696206265287998</v>
      </c>
      <c r="L333" s="25">
        <v>3.6</v>
      </c>
      <c r="M333" s="25">
        <v>12.581</v>
      </c>
      <c r="N333" s="25">
        <v>8.4600000000000009</v>
      </c>
      <c r="O333" s="25">
        <v>2883.41</v>
      </c>
    </row>
    <row r="334" spans="2:15" x14ac:dyDescent="0.45">
      <c r="B334">
        <v>2024</v>
      </c>
      <c r="C334" t="s">
        <v>27</v>
      </c>
      <c r="D334">
        <v>1</v>
      </c>
      <c r="E334" s="5">
        <v>0</v>
      </c>
      <c r="G334">
        <v>2022</v>
      </c>
      <c r="H334" t="str">
        <v>RECEIVABLE LOAN</v>
      </c>
      <c r="I334">
        <v>2</v>
      </c>
      <c r="J334" s="1">
        <v>0</v>
      </c>
      <c r="K334" s="25">
        <v>4.8381498272749335</v>
      </c>
      <c r="L334" s="25">
        <v>6.26</v>
      </c>
      <c r="M334" s="25">
        <v>10.923</v>
      </c>
      <c r="N334" s="25">
        <v>11.620299693912473</v>
      </c>
      <c r="O334" s="25">
        <v>2009.47</v>
      </c>
    </row>
    <row r="335" spans="2:15" x14ac:dyDescent="0.45">
      <c r="B335">
        <v>2024</v>
      </c>
      <c r="C335" t="s">
        <v>27</v>
      </c>
      <c r="D335">
        <v>2</v>
      </c>
      <c r="E335" s="5">
        <v>0</v>
      </c>
      <c r="G335">
        <v>2023</v>
      </c>
      <c r="H335" t="str">
        <v>RECEIVABLE LOAN</v>
      </c>
      <c r="I335">
        <v>2</v>
      </c>
      <c r="J335" s="1">
        <v>0</v>
      </c>
      <c r="K335" s="25">
        <v>5.6131931650736817</v>
      </c>
      <c r="L335" s="25">
        <v>7.84</v>
      </c>
      <c r="M335" s="25">
        <v>10.97</v>
      </c>
      <c r="N335" s="25">
        <v>12.2968211469067</v>
      </c>
      <c r="O335" s="25">
        <v>2097.1</v>
      </c>
    </row>
    <row r="336" spans="2:15" x14ac:dyDescent="0.45">
      <c r="B336">
        <v>2024</v>
      </c>
      <c r="C336" t="s">
        <v>7</v>
      </c>
      <c r="D336">
        <v>1</v>
      </c>
      <c r="E336" s="5">
        <v>0.36738895115887349</v>
      </c>
      <c r="G336">
        <v>2024</v>
      </c>
      <c r="H336" t="str">
        <v>RECEIVABLE LOAN</v>
      </c>
      <c r="I336">
        <v>2</v>
      </c>
      <c r="J336" s="1">
        <v>0</v>
      </c>
      <c r="K336" s="25">
        <v>3.3</v>
      </c>
      <c r="L336" s="25">
        <v>4.0999999999999996</v>
      </c>
      <c r="M336" s="25">
        <v>11.953800000000001</v>
      </c>
      <c r="N336" s="25">
        <v>9.9340099482150723</v>
      </c>
      <c r="O336" s="25">
        <v>2240.41</v>
      </c>
    </row>
    <row r="337" spans="2:15" x14ac:dyDescent="0.45">
      <c r="B337">
        <v>2024</v>
      </c>
      <c r="C337" t="s">
        <v>7</v>
      </c>
      <c r="D337">
        <v>2</v>
      </c>
      <c r="E337" s="5">
        <v>0.62999259167318733</v>
      </c>
      <c r="G337">
        <v>2025</v>
      </c>
      <c r="H337" t="str">
        <v>RECEIVABLE LOAN</v>
      </c>
      <c r="I337">
        <v>2</v>
      </c>
      <c r="J337" s="1">
        <v>0</v>
      </c>
      <c r="K337" s="25">
        <v>3.9883664394333493</v>
      </c>
      <c r="L337" s="25">
        <v>5.6319999999999979</v>
      </c>
      <c r="M337" s="25">
        <v>10.726940000000013</v>
      </c>
      <c r="N337" s="25">
        <v>11.530012389337571</v>
      </c>
      <c r="O337" s="25">
        <v>2409.4910000000091</v>
      </c>
    </row>
    <row r="338" spans="2:15" x14ac:dyDescent="0.45">
      <c r="B338">
        <v>2025</v>
      </c>
      <c r="C338" t="s">
        <v>25</v>
      </c>
      <c r="D338">
        <v>1</v>
      </c>
      <c r="E338" s="5">
        <v>1.2675887527856542E-2</v>
      </c>
      <c r="G338">
        <v>2019</v>
      </c>
      <c r="H338" t="str">
        <v>RESI PER.HOME-EMI</v>
      </c>
      <c r="I338">
        <v>2</v>
      </c>
      <c r="J338" s="1">
        <v>2.0923988910437619E-3</v>
      </c>
      <c r="K338" s="25">
        <v>7.6223761076818732</v>
      </c>
      <c r="L338" s="25">
        <v>4.6399999999999997</v>
      </c>
      <c r="M338" s="25">
        <v>10.64</v>
      </c>
      <c r="N338" s="25">
        <v>12.134092700177552</v>
      </c>
      <c r="O338" s="25">
        <v>1259.02</v>
      </c>
    </row>
    <row r="339" spans="2:15" x14ac:dyDescent="0.45">
      <c r="B339">
        <v>2025</v>
      </c>
      <c r="C339" t="s">
        <v>25</v>
      </c>
      <c r="D339">
        <v>2</v>
      </c>
      <c r="E339" s="5">
        <v>4.1531125708018715E-2</v>
      </c>
      <c r="G339">
        <v>2020</v>
      </c>
      <c r="H339" t="str">
        <v>RESI PER.HOME-EMI</v>
      </c>
      <c r="I339">
        <v>2</v>
      </c>
      <c r="J339" s="1">
        <v>0.35237763459580679</v>
      </c>
      <c r="K339" s="25">
        <v>6.6570554280283449</v>
      </c>
      <c r="L339" s="25">
        <v>6.15</v>
      </c>
      <c r="M339" s="25">
        <v>13.119</v>
      </c>
      <c r="N339" s="25">
        <v>10.109165203675886</v>
      </c>
      <c r="O339" s="25">
        <v>1362.35</v>
      </c>
    </row>
    <row r="340" spans="2:15" x14ac:dyDescent="0.45">
      <c r="B340">
        <v>2025</v>
      </c>
      <c r="C340" t="s">
        <v>14</v>
      </c>
      <c r="D340">
        <v>1</v>
      </c>
      <c r="E340" s="5">
        <v>8.3882953150711342E-2</v>
      </c>
      <c r="G340">
        <v>2021</v>
      </c>
      <c r="H340" t="str">
        <v>RESI PER.HOME-EMI</v>
      </c>
      <c r="I340">
        <v>2</v>
      </c>
      <c r="J340" s="1">
        <v>0.24208473730086444</v>
      </c>
      <c r="K340" s="25">
        <v>-2.3696206265287998</v>
      </c>
      <c r="L340" s="25">
        <v>3.6</v>
      </c>
      <c r="M340" s="25">
        <v>12.581</v>
      </c>
      <c r="N340" s="25">
        <v>8.4600000000000009</v>
      </c>
      <c r="O340" s="25">
        <v>2883.41</v>
      </c>
    </row>
    <row r="341" spans="2:15" x14ac:dyDescent="0.45">
      <c r="B341">
        <v>2025</v>
      </c>
      <c r="C341" t="s">
        <v>14</v>
      </c>
      <c r="D341">
        <v>2</v>
      </c>
      <c r="E341" s="5">
        <v>0.2926079436429429</v>
      </c>
      <c r="G341">
        <v>2022</v>
      </c>
      <c r="H341" t="str">
        <v>RESI PER.HOME-EMI</v>
      </c>
      <c r="I341">
        <v>2</v>
      </c>
      <c r="J341" s="1">
        <v>0.27094632636178945</v>
      </c>
      <c r="K341" s="25">
        <v>4.8381498272749335</v>
      </c>
      <c r="L341" s="25">
        <v>6.26</v>
      </c>
      <c r="M341" s="25">
        <v>10.923</v>
      </c>
      <c r="N341" s="25">
        <v>11.620299693912473</v>
      </c>
      <c r="O341" s="25">
        <v>2009.47</v>
      </c>
    </row>
    <row r="342" spans="2:15" x14ac:dyDescent="0.45">
      <c r="B342">
        <v>2025</v>
      </c>
      <c r="C342" t="s">
        <v>18</v>
      </c>
      <c r="D342">
        <v>1</v>
      </c>
      <c r="E342" s="5">
        <v>0.19528280506701479</v>
      </c>
      <c r="G342">
        <v>2023</v>
      </c>
      <c r="H342" t="str">
        <v>RESI PER.HOME-EMI</v>
      </c>
      <c r="I342">
        <v>2</v>
      </c>
      <c r="J342" s="1">
        <v>0.32797838880152069</v>
      </c>
      <c r="K342" s="25">
        <v>5.6131931650736817</v>
      </c>
      <c r="L342" s="25">
        <v>7.84</v>
      </c>
      <c r="M342" s="25">
        <v>10.97</v>
      </c>
      <c r="N342" s="25">
        <v>12.2968211469067</v>
      </c>
      <c r="O342" s="25">
        <v>2097.1</v>
      </c>
    </row>
    <row r="343" spans="2:15" x14ac:dyDescent="0.45">
      <c r="B343">
        <v>2025</v>
      </c>
      <c r="C343" t="s">
        <v>18</v>
      </c>
      <c r="D343">
        <v>2</v>
      </c>
      <c r="E343" s="5">
        <v>0.50149529230205137</v>
      </c>
      <c r="G343">
        <v>2024</v>
      </c>
      <c r="H343" t="str">
        <v>RESI PER.HOME-EMI</v>
      </c>
      <c r="I343">
        <v>2</v>
      </c>
      <c r="J343" s="1">
        <v>0.34009432884632784</v>
      </c>
      <c r="K343" s="25">
        <v>3.3</v>
      </c>
      <c r="L343" s="25">
        <v>4.0999999999999996</v>
      </c>
      <c r="M343" s="25">
        <v>11.953800000000001</v>
      </c>
      <c r="N343" s="25">
        <v>9.9340099482150723</v>
      </c>
      <c r="O343" s="25">
        <v>2240.41</v>
      </c>
    </row>
    <row r="344" spans="2:15" x14ac:dyDescent="0.45">
      <c r="B344">
        <v>2025</v>
      </c>
      <c r="C344" t="s">
        <v>17</v>
      </c>
      <c r="D344">
        <v>1</v>
      </c>
      <c r="E344" s="5">
        <v>0</v>
      </c>
      <c r="G344">
        <v>2025</v>
      </c>
      <c r="H344" t="str">
        <v>RESI PER.HOME-EMI</v>
      </c>
      <c r="I344">
        <v>2</v>
      </c>
      <c r="J344" s="1">
        <v>0.27219558992150272</v>
      </c>
      <c r="K344" s="25">
        <v>3.9883664394333493</v>
      </c>
      <c r="L344" s="25">
        <v>5.6319999999999979</v>
      </c>
      <c r="M344" s="25">
        <v>10.726940000000013</v>
      </c>
      <c r="N344" s="25">
        <v>11.530012389337571</v>
      </c>
      <c r="O344" s="25">
        <v>2409.4910000000091</v>
      </c>
    </row>
    <row r="345" spans="2:15" x14ac:dyDescent="0.45">
      <c r="B345">
        <v>2025</v>
      </c>
      <c r="C345" t="s">
        <v>17</v>
      </c>
      <c r="D345">
        <v>2</v>
      </c>
      <c r="E345" s="5">
        <v>0</v>
      </c>
      <c r="G345">
        <v>2019</v>
      </c>
      <c r="H345" t="str">
        <v>RESI REAL EST LOAN</v>
      </c>
      <c r="I345">
        <v>2</v>
      </c>
      <c r="J345" s="1">
        <v>0.32165960507151431</v>
      </c>
      <c r="K345" s="25">
        <v>7.6223761076818732</v>
      </c>
      <c r="L345" s="25">
        <v>4.6399999999999997</v>
      </c>
      <c r="M345" s="25">
        <v>10.64</v>
      </c>
      <c r="N345" s="25">
        <v>12.134092700177552</v>
      </c>
      <c r="O345" s="25">
        <v>1259.02</v>
      </c>
    </row>
    <row r="346" spans="2:15" x14ac:dyDescent="0.45">
      <c r="B346">
        <v>2025</v>
      </c>
      <c r="C346" t="s">
        <v>12</v>
      </c>
      <c r="D346">
        <v>1</v>
      </c>
      <c r="E346" s="5">
        <v>2.8464920153483124E-3</v>
      </c>
      <c r="G346">
        <v>2020</v>
      </c>
      <c r="H346" t="str">
        <v>RESI REAL EST LOAN</v>
      </c>
      <c r="I346">
        <v>2</v>
      </c>
      <c r="J346" s="1">
        <v>0.53484864935222987</v>
      </c>
      <c r="K346" s="25">
        <v>6.6570554280283449</v>
      </c>
      <c r="L346" s="25">
        <v>6.15</v>
      </c>
      <c r="M346" s="25">
        <v>13.119</v>
      </c>
      <c r="N346" s="25">
        <v>10.109165203675886</v>
      </c>
      <c r="O346" s="25">
        <v>1362.35</v>
      </c>
    </row>
    <row r="347" spans="2:15" x14ac:dyDescent="0.45">
      <c r="B347">
        <v>2025</v>
      </c>
      <c r="C347" t="s">
        <v>12</v>
      </c>
      <c r="D347">
        <v>2</v>
      </c>
      <c r="E347" s="5">
        <v>0.14453319613355389</v>
      </c>
      <c r="G347">
        <v>2021</v>
      </c>
      <c r="H347" t="str">
        <v>RESI REAL EST LOAN</v>
      </c>
      <c r="I347">
        <v>2</v>
      </c>
      <c r="J347" s="1">
        <v>4.8450813912045289E-2</v>
      </c>
      <c r="K347" s="25">
        <v>-2.3696206265287998</v>
      </c>
      <c r="L347" s="25">
        <v>3.6</v>
      </c>
      <c r="M347" s="25">
        <v>12.581</v>
      </c>
      <c r="N347" s="25">
        <v>8.4600000000000009</v>
      </c>
      <c r="O347" s="25">
        <v>2883.41</v>
      </c>
    </row>
    <row r="348" spans="2:15" x14ac:dyDescent="0.45">
      <c r="B348">
        <v>2025</v>
      </c>
      <c r="C348" t="s">
        <v>26</v>
      </c>
      <c r="D348">
        <v>1</v>
      </c>
      <c r="E348" s="5">
        <v>0</v>
      </c>
      <c r="G348">
        <v>2022</v>
      </c>
      <c r="H348" t="str">
        <v>RESI REAL EST LOAN</v>
      </c>
      <c r="I348">
        <v>2</v>
      </c>
      <c r="J348" s="1">
        <v>0.16872018207515443</v>
      </c>
      <c r="K348" s="25">
        <v>4.8381498272749335</v>
      </c>
      <c r="L348" s="25">
        <v>6.26</v>
      </c>
      <c r="M348" s="25">
        <v>10.923</v>
      </c>
      <c r="N348" s="25">
        <v>11.620299693912473</v>
      </c>
      <c r="O348" s="25">
        <v>2009.47</v>
      </c>
    </row>
    <row r="349" spans="2:15" x14ac:dyDescent="0.45">
      <c r="B349">
        <v>2025</v>
      </c>
      <c r="C349" t="s">
        <v>26</v>
      </c>
      <c r="D349">
        <v>2</v>
      </c>
      <c r="E349" s="5">
        <v>0</v>
      </c>
      <c r="G349">
        <v>2023</v>
      </c>
      <c r="H349" t="str">
        <v>RESI REAL EST LOAN</v>
      </c>
      <c r="I349">
        <v>2</v>
      </c>
      <c r="J349" s="1">
        <v>7.0933115050792514E-2</v>
      </c>
      <c r="K349" s="25">
        <v>5.6131931650736817</v>
      </c>
      <c r="L349" s="25">
        <v>7.84</v>
      </c>
      <c r="M349" s="25">
        <v>10.97</v>
      </c>
      <c r="N349" s="25">
        <v>12.2968211469067</v>
      </c>
      <c r="O349" s="25">
        <v>2097.1</v>
      </c>
    </row>
    <row r="350" spans="2:15" x14ac:dyDescent="0.45">
      <c r="B350">
        <v>2025</v>
      </c>
      <c r="C350" t="s">
        <v>13</v>
      </c>
      <c r="D350">
        <v>1</v>
      </c>
      <c r="E350" s="5">
        <v>0</v>
      </c>
      <c r="G350">
        <v>2024</v>
      </c>
      <c r="H350" t="str">
        <v>RESI REAL EST LOAN</v>
      </c>
      <c r="I350">
        <v>2</v>
      </c>
      <c r="J350" s="1">
        <v>0.35632114439777962</v>
      </c>
      <c r="K350" s="25">
        <v>3.3</v>
      </c>
      <c r="L350" s="25">
        <v>4.0999999999999996</v>
      </c>
      <c r="M350" s="25">
        <v>11.953800000000001</v>
      </c>
      <c r="N350" s="25">
        <v>9.9340099482150723</v>
      </c>
      <c r="O350" s="25">
        <v>2240.41</v>
      </c>
    </row>
    <row r="351" spans="2:15" x14ac:dyDescent="0.45">
      <c r="B351">
        <v>2025</v>
      </c>
      <c r="C351" t="s">
        <v>13</v>
      </c>
      <c r="D351">
        <v>2</v>
      </c>
      <c r="E351" s="5">
        <v>0</v>
      </c>
      <c r="G351">
        <v>2025</v>
      </c>
      <c r="H351" t="str">
        <v>RESI REAL EST LOAN</v>
      </c>
      <c r="I351">
        <v>2</v>
      </c>
      <c r="J351" s="1">
        <v>0</v>
      </c>
      <c r="K351" s="25">
        <v>3.9883664394333493</v>
      </c>
      <c r="L351" s="25">
        <v>5.6319999999999979</v>
      </c>
      <c r="M351" s="25">
        <v>10.726940000000013</v>
      </c>
      <c r="N351" s="25">
        <v>11.530012389337571</v>
      </c>
      <c r="O351" s="25">
        <v>2409.4910000000091</v>
      </c>
    </row>
    <row r="352" spans="2:15" x14ac:dyDescent="0.45">
      <c r="B352">
        <v>2025</v>
      </c>
      <c r="C352" t="s">
        <v>29</v>
      </c>
      <c r="D352">
        <v>1</v>
      </c>
      <c r="E352" s="5">
        <v>0</v>
      </c>
      <c r="G352">
        <v>2019</v>
      </c>
      <c r="H352" t="str">
        <v>SME LOAN</v>
      </c>
      <c r="I352">
        <v>2</v>
      </c>
      <c r="J352" s="1">
        <v>0</v>
      </c>
      <c r="K352" s="25">
        <v>7.6223761076818732</v>
      </c>
      <c r="L352" s="25">
        <v>4.6399999999999997</v>
      </c>
      <c r="M352" s="25">
        <v>10.64</v>
      </c>
      <c r="N352" s="25">
        <v>12.134092700177552</v>
      </c>
      <c r="O352" s="25">
        <v>1259.02</v>
      </c>
    </row>
    <row r="353" spans="2:15" x14ac:dyDescent="0.45">
      <c r="B353">
        <v>2025</v>
      </c>
      <c r="C353" t="s">
        <v>29</v>
      </c>
      <c r="D353">
        <v>2</v>
      </c>
      <c r="E353" s="5">
        <v>0</v>
      </c>
      <c r="G353">
        <v>2020</v>
      </c>
      <c r="H353" t="str">
        <v>SME LOAN</v>
      </c>
      <c r="I353">
        <v>2</v>
      </c>
      <c r="J353" s="1">
        <v>0</v>
      </c>
      <c r="K353" s="25">
        <v>6.6570554280283449</v>
      </c>
      <c r="L353" s="25">
        <v>6.15</v>
      </c>
      <c r="M353" s="25">
        <v>13.119</v>
      </c>
      <c r="N353" s="25">
        <v>10.109165203675886</v>
      </c>
      <c r="O353" s="25">
        <v>1362.35</v>
      </c>
    </row>
    <row r="354" spans="2:15" x14ac:dyDescent="0.45">
      <c r="B354">
        <v>2025</v>
      </c>
      <c r="C354" t="s">
        <v>11</v>
      </c>
      <c r="D354">
        <v>1</v>
      </c>
      <c r="E354" s="5">
        <v>4.6706172782707431E-2</v>
      </c>
      <c r="G354">
        <v>2021</v>
      </c>
      <c r="H354" t="str">
        <v>SME LOAN</v>
      </c>
      <c r="I354">
        <v>2</v>
      </c>
      <c r="J354" s="1">
        <v>0</v>
      </c>
      <c r="K354" s="25">
        <v>-2.3696206265287998</v>
      </c>
      <c r="L354" s="25">
        <v>3.6</v>
      </c>
      <c r="M354" s="25">
        <v>12.581</v>
      </c>
      <c r="N354" s="25">
        <v>8.4600000000000009</v>
      </c>
      <c r="O354" s="25">
        <v>2883.41</v>
      </c>
    </row>
    <row r="355" spans="2:15" x14ac:dyDescent="0.45">
      <c r="B355">
        <v>2025</v>
      </c>
      <c r="C355" t="s">
        <v>11</v>
      </c>
      <c r="D355">
        <v>2</v>
      </c>
      <c r="E355" s="5">
        <v>0.53049772939435369</v>
      </c>
      <c r="G355">
        <v>2022</v>
      </c>
      <c r="H355" t="str">
        <v>SME LOAN</v>
      </c>
      <c r="I355">
        <v>2</v>
      </c>
      <c r="J355" s="1">
        <v>0</v>
      </c>
      <c r="K355" s="25">
        <v>4.8381498272749335</v>
      </c>
      <c r="L355" s="25">
        <v>6.26</v>
      </c>
      <c r="M355" s="25">
        <v>10.923</v>
      </c>
      <c r="N355" s="25">
        <v>11.620299693912473</v>
      </c>
      <c r="O355" s="25">
        <v>2009.47</v>
      </c>
    </row>
    <row r="356" spans="2:15" x14ac:dyDescent="0.45">
      <c r="B356">
        <v>2025</v>
      </c>
      <c r="C356" t="s">
        <v>8</v>
      </c>
      <c r="D356">
        <v>1</v>
      </c>
      <c r="E356" s="5">
        <v>0.19430909865599366</v>
      </c>
      <c r="G356">
        <v>2023</v>
      </c>
      <c r="H356" t="str">
        <v>SME LOAN</v>
      </c>
      <c r="I356">
        <v>2</v>
      </c>
      <c r="J356" s="1">
        <v>0</v>
      </c>
      <c r="K356" s="25">
        <v>5.6131931650736817</v>
      </c>
      <c r="L356" s="25">
        <v>7.84</v>
      </c>
      <c r="M356" s="25">
        <v>10.97</v>
      </c>
      <c r="N356" s="25">
        <v>12.2968211469067</v>
      </c>
      <c r="O356" s="25">
        <v>2097.1</v>
      </c>
    </row>
    <row r="357" spans="2:15" x14ac:dyDescent="0.45">
      <c r="B357">
        <v>2025</v>
      </c>
      <c r="C357" t="s">
        <v>8</v>
      </c>
      <c r="D357">
        <v>2</v>
      </c>
      <c r="E357" s="5">
        <v>0.33440376138467287</v>
      </c>
      <c r="G357">
        <v>2024</v>
      </c>
      <c r="H357" t="str">
        <v>SME LOAN</v>
      </c>
      <c r="I357">
        <v>2</v>
      </c>
      <c r="J357" s="1">
        <v>0</v>
      </c>
      <c r="K357" s="25">
        <v>3.3</v>
      </c>
      <c r="L357" s="25">
        <v>4.0999999999999996</v>
      </c>
      <c r="M357" s="25">
        <v>11.953800000000001</v>
      </c>
      <c r="N357" s="25">
        <v>9.9340099482150723</v>
      </c>
      <c r="O357" s="25">
        <v>2240.41</v>
      </c>
    </row>
    <row r="358" spans="2:15" x14ac:dyDescent="0.45">
      <c r="B358">
        <v>2025</v>
      </c>
      <c r="C358" t="s">
        <v>19</v>
      </c>
      <c r="D358">
        <v>1</v>
      </c>
      <c r="E358" s="5">
        <v>0</v>
      </c>
      <c r="G358">
        <v>2025</v>
      </c>
      <c r="H358" t="str">
        <v>SME LOAN</v>
      </c>
      <c r="I358">
        <v>2</v>
      </c>
      <c r="J358" s="1">
        <v>0</v>
      </c>
      <c r="K358" s="25">
        <v>3.9883664394333493</v>
      </c>
      <c r="L358" s="25">
        <v>5.6319999999999979</v>
      </c>
      <c r="M358" s="25">
        <v>10.726940000000013</v>
      </c>
      <c r="N358" s="25">
        <v>11.530012389337571</v>
      </c>
      <c r="O358" s="25">
        <v>2409.4910000000091</v>
      </c>
    </row>
    <row r="359" spans="2:15" x14ac:dyDescent="0.45">
      <c r="B359">
        <v>2025</v>
      </c>
      <c r="C359" t="s">
        <v>19</v>
      </c>
      <c r="D359">
        <v>2</v>
      </c>
      <c r="E359" s="5">
        <v>0</v>
      </c>
      <c r="G359">
        <v>2019</v>
      </c>
      <c r="H359" t="str">
        <v>STAFF LOAN</v>
      </c>
      <c r="I359">
        <v>2</v>
      </c>
      <c r="J359" s="1">
        <v>0.33333333333333331</v>
      </c>
      <c r="K359" s="25">
        <v>7.6223761076818732</v>
      </c>
      <c r="L359" s="25">
        <v>4.6399999999999997</v>
      </c>
      <c r="M359" s="25">
        <v>10.64</v>
      </c>
      <c r="N359" s="25">
        <v>12.134092700177552</v>
      </c>
      <c r="O359" s="25">
        <v>1259.02</v>
      </c>
    </row>
    <row r="360" spans="2:15" x14ac:dyDescent="0.45">
      <c r="B360">
        <v>2025</v>
      </c>
      <c r="C360" t="s">
        <v>22</v>
      </c>
      <c r="D360">
        <v>1</v>
      </c>
      <c r="E360" s="5">
        <v>0</v>
      </c>
      <c r="G360">
        <v>2020</v>
      </c>
      <c r="H360" t="str">
        <v>STAFF LOAN</v>
      </c>
      <c r="I360">
        <v>2</v>
      </c>
      <c r="J360" s="1">
        <v>0.27223742209731377</v>
      </c>
      <c r="K360" s="25">
        <v>6.6570554280283449</v>
      </c>
      <c r="L360" s="25">
        <v>6.15</v>
      </c>
      <c r="M360" s="25">
        <v>13.119</v>
      </c>
      <c r="N360" s="25">
        <v>10.109165203675886</v>
      </c>
      <c r="O360" s="25">
        <v>1362.35</v>
      </c>
    </row>
    <row r="361" spans="2:15" x14ac:dyDescent="0.45">
      <c r="B361">
        <v>2025</v>
      </c>
      <c r="C361" t="s">
        <v>22</v>
      </c>
      <c r="D361">
        <v>2</v>
      </c>
      <c r="E361" s="5">
        <v>0</v>
      </c>
      <c r="G361">
        <v>2021</v>
      </c>
      <c r="H361" t="str">
        <v>STAFF LOAN</v>
      </c>
      <c r="I361">
        <v>2</v>
      </c>
      <c r="J361" s="1">
        <v>0</v>
      </c>
      <c r="K361" s="25">
        <v>-2.3696206265287998</v>
      </c>
      <c r="L361" s="25">
        <v>3.6</v>
      </c>
      <c r="M361" s="25">
        <v>12.581</v>
      </c>
      <c r="N361" s="25">
        <v>8.4600000000000009</v>
      </c>
      <c r="O361" s="25">
        <v>2883.41</v>
      </c>
    </row>
    <row r="362" spans="2:15" x14ac:dyDescent="0.45">
      <c r="B362">
        <v>2025</v>
      </c>
      <c r="C362" t="s">
        <v>10</v>
      </c>
      <c r="D362">
        <v>1</v>
      </c>
      <c r="E362" s="5">
        <v>0</v>
      </c>
      <c r="G362">
        <v>2022</v>
      </c>
      <c r="H362" t="str">
        <v>STAFF LOAN</v>
      </c>
      <c r="I362">
        <v>2</v>
      </c>
      <c r="J362" s="1">
        <v>0</v>
      </c>
      <c r="K362" s="25">
        <v>4.8381498272749335</v>
      </c>
      <c r="L362" s="25">
        <v>6.26</v>
      </c>
      <c r="M362" s="25">
        <v>10.923</v>
      </c>
      <c r="N362" s="25">
        <v>11.620299693912473</v>
      </c>
      <c r="O362" s="25">
        <v>2009.47</v>
      </c>
    </row>
    <row r="363" spans="2:15" x14ac:dyDescent="0.45">
      <c r="B363">
        <v>2025</v>
      </c>
      <c r="C363" t="s">
        <v>10</v>
      </c>
      <c r="D363">
        <v>2</v>
      </c>
      <c r="E363" s="5">
        <v>0</v>
      </c>
      <c r="G363">
        <v>2023</v>
      </c>
      <c r="H363" t="str">
        <v>STAFF LOAN</v>
      </c>
      <c r="I363">
        <v>2</v>
      </c>
      <c r="J363" s="1">
        <v>0</v>
      </c>
      <c r="K363" s="25">
        <v>5.6131931650736817</v>
      </c>
      <c r="L363" s="25">
        <v>7.84</v>
      </c>
      <c r="M363" s="25">
        <v>10.97</v>
      </c>
      <c r="N363" s="25">
        <v>12.2968211469067</v>
      </c>
      <c r="O363" s="25">
        <v>2097.1</v>
      </c>
    </row>
    <row r="364" spans="2:15" x14ac:dyDescent="0.45">
      <c r="B364">
        <v>2025</v>
      </c>
      <c r="C364" t="s">
        <v>21</v>
      </c>
      <c r="D364">
        <v>1</v>
      </c>
      <c r="E364" s="5">
        <v>2.7180805999842732E-2</v>
      </c>
      <c r="G364">
        <v>2024</v>
      </c>
      <c r="H364" t="str">
        <v>STAFF LOAN</v>
      </c>
      <c r="I364">
        <v>2</v>
      </c>
      <c r="J364" s="1">
        <v>0</v>
      </c>
      <c r="K364" s="25">
        <v>3.3</v>
      </c>
      <c r="L364" s="25">
        <v>4.0999999999999996</v>
      </c>
      <c r="M364" s="25">
        <v>11.953800000000001</v>
      </c>
      <c r="N364" s="25">
        <v>9.9340099482150723</v>
      </c>
      <c r="O364" s="25">
        <v>2240.41</v>
      </c>
    </row>
    <row r="365" spans="2:15" x14ac:dyDescent="0.45">
      <c r="B365">
        <v>2025</v>
      </c>
      <c r="C365" t="s">
        <v>21</v>
      </c>
      <c r="D365">
        <v>2</v>
      </c>
      <c r="E365" s="5">
        <v>0.13346956069709026</v>
      </c>
      <c r="G365">
        <v>2025</v>
      </c>
      <c r="H365" t="str">
        <v>STAFF LOAN</v>
      </c>
      <c r="I365">
        <v>2</v>
      </c>
      <c r="J365" s="1">
        <v>0</v>
      </c>
      <c r="K365" s="25">
        <v>3.9883664394333493</v>
      </c>
      <c r="L365" s="25">
        <v>5.6319999999999979</v>
      </c>
      <c r="M365" s="25">
        <v>10.726940000000013</v>
      </c>
      <c r="N365" s="25">
        <v>11.530012389337571</v>
      </c>
      <c r="O365" s="25">
        <v>2409.4910000000091</v>
      </c>
    </row>
    <row r="366" spans="2:15" x14ac:dyDescent="0.45">
      <c r="B366">
        <v>2025</v>
      </c>
      <c r="C366" t="s">
        <v>4</v>
      </c>
      <c r="D366">
        <v>1</v>
      </c>
      <c r="E366" s="5">
        <v>0</v>
      </c>
      <c r="G366">
        <v>2019</v>
      </c>
      <c r="H366" t="str">
        <v>TERM LOAN</v>
      </c>
      <c r="I366">
        <v>2</v>
      </c>
      <c r="J366" s="1">
        <v>6.7846084998254189E-2</v>
      </c>
      <c r="K366" s="25">
        <v>7.6223761076818732</v>
      </c>
      <c r="L366" s="25">
        <v>4.6399999999999997</v>
      </c>
      <c r="M366" s="25">
        <v>10.64</v>
      </c>
      <c r="N366" s="25">
        <v>12.134092700177552</v>
      </c>
      <c r="O366" s="25">
        <v>1259.02</v>
      </c>
    </row>
    <row r="367" spans="2:15" x14ac:dyDescent="0.45">
      <c r="B367">
        <v>2025</v>
      </c>
      <c r="C367" t="s">
        <v>4</v>
      </c>
      <c r="D367">
        <v>2</v>
      </c>
      <c r="E367" s="5">
        <v>0</v>
      </c>
      <c r="G367">
        <v>2020</v>
      </c>
      <c r="H367" t="str">
        <v>TERM LOAN</v>
      </c>
      <c r="I367">
        <v>2</v>
      </c>
      <c r="J367" s="1">
        <v>0.38149963750209342</v>
      </c>
      <c r="K367" s="25">
        <v>6.6570554280283449</v>
      </c>
      <c r="L367" s="25">
        <v>6.15</v>
      </c>
      <c r="M367" s="25">
        <v>13.119</v>
      </c>
      <c r="N367" s="25">
        <v>10.109165203675886</v>
      </c>
      <c r="O367" s="25">
        <v>1362.35</v>
      </c>
    </row>
    <row r="368" spans="2:15" x14ac:dyDescent="0.45">
      <c r="B368">
        <v>2025</v>
      </c>
      <c r="C368" t="s">
        <v>3</v>
      </c>
      <c r="D368">
        <v>1</v>
      </c>
      <c r="E368" s="5">
        <v>0.12892252146601907</v>
      </c>
      <c r="G368">
        <v>2021</v>
      </c>
      <c r="H368" t="str">
        <v>TERM LOAN</v>
      </c>
      <c r="I368">
        <v>2</v>
      </c>
      <c r="J368" s="1">
        <v>0.1388312922385701</v>
      </c>
      <c r="K368" s="25">
        <v>-2.3696206265287998</v>
      </c>
      <c r="L368" s="25">
        <v>3.6</v>
      </c>
      <c r="M368" s="25">
        <v>12.581</v>
      </c>
      <c r="N368" s="25">
        <v>8.4600000000000009</v>
      </c>
      <c r="O368" s="25">
        <v>2883.41</v>
      </c>
    </row>
    <row r="369" spans="2:15" x14ac:dyDescent="0.45">
      <c r="B369">
        <v>2025</v>
      </c>
      <c r="C369" t="s">
        <v>3</v>
      </c>
      <c r="D369">
        <v>2</v>
      </c>
      <c r="E369" s="5">
        <v>0.19989453956925751</v>
      </c>
      <c r="G369">
        <v>2022</v>
      </c>
      <c r="H369" t="str">
        <v>TERM LOAN</v>
      </c>
      <c r="I369">
        <v>2</v>
      </c>
      <c r="J369" s="1">
        <v>0.15037994053212342</v>
      </c>
      <c r="K369" s="25">
        <v>4.8381498272749335</v>
      </c>
      <c r="L369" s="25">
        <v>6.26</v>
      </c>
      <c r="M369" s="25">
        <v>10.923</v>
      </c>
      <c r="N369" s="25">
        <v>11.620299693912473</v>
      </c>
      <c r="O369" s="25">
        <v>2009.47</v>
      </c>
    </row>
    <row r="370" spans="2:15" x14ac:dyDescent="0.45">
      <c r="B370">
        <v>2025</v>
      </c>
      <c r="C370" t="s">
        <v>5</v>
      </c>
      <c r="D370">
        <v>1</v>
      </c>
      <c r="E370" s="5">
        <v>0</v>
      </c>
      <c r="G370">
        <v>2023</v>
      </c>
      <c r="H370" t="str">
        <v>TERM LOAN</v>
      </c>
      <c r="I370">
        <v>2</v>
      </c>
      <c r="J370" s="1">
        <v>0.36439778653223043</v>
      </c>
      <c r="K370" s="25">
        <v>5.6131931650736817</v>
      </c>
      <c r="L370" s="25">
        <v>7.84</v>
      </c>
      <c r="M370" s="25">
        <v>10.97</v>
      </c>
      <c r="N370" s="25">
        <v>12.2968211469067</v>
      </c>
      <c r="O370" s="25">
        <v>2097.1</v>
      </c>
    </row>
    <row r="371" spans="2:15" x14ac:dyDescent="0.45">
      <c r="B371">
        <v>2025</v>
      </c>
      <c r="C371" t="s">
        <v>5</v>
      </c>
      <c r="D371">
        <v>2</v>
      </c>
      <c r="E371" s="5">
        <v>0</v>
      </c>
      <c r="G371">
        <v>2024</v>
      </c>
      <c r="H371" t="str">
        <v>TERM LOAN</v>
      </c>
      <c r="I371">
        <v>2</v>
      </c>
      <c r="J371" s="1">
        <v>0.51918912644992166</v>
      </c>
      <c r="K371" s="25">
        <v>3.3</v>
      </c>
      <c r="L371" s="25">
        <v>4.0999999999999996</v>
      </c>
      <c r="M371" s="25">
        <v>11.953800000000001</v>
      </c>
      <c r="N371" s="25">
        <v>9.9340099482150723</v>
      </c>
      <c r="O371" s="25">
        <v>2240.41</v>
      </c>
    </row>
    <row r="372" spans="2:15" x14ac:dyDescent="0.45">
      <c r="B372">
        <v>2025</v>
      </c>
      <c r="C372" t="s">
        <v>30</v>
      </c>
      <c r="D372">
        <v>1</v>
      </c>
      <c r="E372" s="5">
        <v>0</v>
      </c>
      <c r="G372">
        <v>2025</v>
      </c>
      <c r="H372" t="str">
        <v>TERM LOAN</v>
      </c>
      <c r="I372">
        <v>2</v>
      </c>
      <c r="J372" s="1">
        <v>0.27760798271423498</v>
      </c>
      <c r="K372" s="25">
        <v>3.9883664394333493</v>
      </c>
      <c r="L372" s="25">
        <v>5.6319999999999979</v>
      </c>
      <c r="M372" s="25">
        <v>10.726940000000013</v>
      </c>
      <c r="N372" s="25">
        <v>11.530012389337571</v>
      </c>
      <c r="O372" s="25">
        <v>2409.4910000000091</v>
      </c>
    </row>
    <row r="373" spans="2:15" x14ac:dyDescent="0.45">
      <c r="B373">
        <v>2025</v>
      </c>
      <c r="C373" t="s">
        <v>30</v>
      </c>
      <c r="D373">
        <v>2</v>
      </c>
      <c r="E373" s="5">
        <v>0</v>
      </c>
      <c r="G373">
        <v>2019</v>
      </c>
      <c r="H373" t="str">
        <v>TERM LOAN - BUSINESS</v>
      </c>
      <c r="I373">
        <v>2</v>
      </c>
      <c r="J373" s="1">
        <v>0</v>
      </c>
      <c r="K373" s="25">
        <v>7.6223761076818732</v>
      </c>
      <c r="L373" s="25">
        <v>4.6399999999999997</v>
      </c>
      <c r="M373" s="25">
        <v>10.64</v>
      </c>
      <c r="N373" s="25">
        <v>12.134092700177552</v>
      </c>
      <c r="O373" s="25">
        <v>1259.02</v>
      </c>
    </row>
    <row r="374" spans="2:15" x14ac:dyDescent="0.45">
      <c r="B374">
        <v>2025</v>
      </c>
      <c r="C374" t="s">
        <v>20</v>
      </c>
      <c r="D374">
        <v>1</v>
      </c>
      <c r="E374" s="5">
        <v>7.5862093206630316E-2</v>
      </c>
      <c r="G374">
        <v>2020</v>
      </c>
      <c r="H374" t="str">
        <v>TERM LOAN - BUSINESS</v>
      </c>
      <c r="I374">
        <v>2</v>
      </c>
      <c r="J374" s="1">
        <v>0</v>
      </c>
      <c r="K374" s="25">
        <v>6.6570554280283449</v>
      </c>
      <c r="L374" s="25">
        <v>6.15</v>
      </c>
      <c r="M374" s="25">
        <v>13.119</v>
      </c>
      <c r="N374" s="25">
        <v>10.109165203675886</v>
      </c>
      <c r="O374" s="25">
        <v>1362.35</v>
      </c>
    </row>
    <row r="375" spans="2:15" x14ac:dyDescent="0.45">
      <c r="B375">
        <v>2025</v>
      </c>
      <c r="C375" t="s">
        <v>20</v>
      </c>
      <c r="D375">
        <v>2</v>
      </c>
      <c r="E375" s="5">
        <v>0.14291013368759392</v>
      </c>
      <c r="G375">
        <v>2021</v>
      </c>
      <c r="H375" t="str">
        <v>TERM LOAN - BUSINESS</v>
      </c>
      <c r="I375">
        <v>2</v>
      </c>
      <c r="J375" s="1">
        <v>0</v>
      </c>
      <c r="K375" s="25">
        <v>-2.3696206265287998</v>
      </c>
      <c r="L375" s="25">
        <v>3.6</v>
      </c>
      <c r="M375" s="25">
        <v>12.581</v>
      </c>
      <c r="N375" s="25">
        <v>8.4600000000000009</v>
      </c>
      <c r="O375" s="25">
        <v>2883.41</v>
      </c>
    </row>
    <row r="376" spans="2:15" x14ac:dyDescent="0.45">
      <c r="B376">
        <v>2025</v>
      </c>
      <c r="C376" t="s">
        <v>23</v>
      </c>
      <c r="D376">
        <v>1</v>
      </c>
      <c r="E376" s="5">
        <v>0</v>
      </c>
      <c r="G376">
        <v>2022</v>
      </c>
      <c r="H376" t="str">
        <v>TERM LOAN - BUSINESS</v>
      </c>
      <c r="I376">
        <v>2</v>
      </c>
      <c r="J376" s="1">
        <v>0</v>
      </c>
      <c r="K376" s="25">
        <v>4.8381498272749335</v>
      </c>
      <c r="L376" s="25">
        <v>6.26</v>
      </c>
      <c r="M376" s="25">
        <v>10.923</v>
      </c>
      <c r="N376" s="25">
        <v>11.620299693912473</v>
      </c>
      <c r="O376" s="25">
        <v>2009.47</v>
      </c>
    </row>
    <row r="377" spans="2:15" x14ac:dyDescent="0.45">
      <c r="B377">
        <v>2025</v>
      </c>
      <c r="C377" t="s">
        <v>23</v>
      </c>
      <c r="D377">
        <v>2</v>
      </c>
      <c r="E377" s="5">
        <v>0</v>
      </c>
      <c r="G377">
        <v>2023</v>
      </c>
      <c r="H377" t="str">
        <v>TERM LOAN - BUSINESS</v>
      </c>
      <c r="I377">
        <v>2</v>
      </c>
      <c r="J377" s="1">
        <v>0.38882205619441651</v>
      </c>
      <c r="K377" s="25">
        <v>5.6131931650736817</v>
      </c>
      <c r="L377" s="25">
        <v>7.84</v>
      </c>
      <c r="M377" s="25">
        <v>10.97</v>
      </c>
      <c r="N377" s="25">
        <v>12.2968211469067</v>
      </c>
      <c r="O377" s="25">
        <v>2097.1</v>
      </c>
    </row>
    <row r="378" spans="2:15" x14ac:dyDescent="0.45">
      <c r="B378">
        <v>2025</v>
      </c>
      <c r="C378" t="s">
        <v>15</v>
      </c>
      <c r="D378">
        <v>1</v>
      </c>
      <c r="E378" s="5">
        <v>0.169393802772486</v>
      </c>
      <c r="G378">
        <v>2024</v>
      </c>
      <c r="H378" t="str">
        <v>TERM LOAN - BUSINESS</v>
      </c>
      <c r="I378">
        <v>2</v>
      </c>
      <c r="J378" s="1">
        <v>0.48523678536049081</v>
      </c>
      <c r="K378" s="25">
        <v>3.3</v>
      </c>
      <c r="L378" s="25">
        <v>4.0999999999999996</v>
      </c>
      <c r="M378" s="25">
        <v>11.953800000000001</v>
      </c>
      <c r="N378" s="25">
        <v>9.9340099482150723</v>
      </c>
      <c r="O378" s="25">
        <v>2240.41</v>
      </c>
    </row>
    <row r="379" spans="2:15" x14ac:dyDescent="0.45">
      <c r="B379">
        <v>2025</v>
      </c>
      <c r="C379" t="s">
        <v>15</v>
      </c>
      <c r="D379">
        <v>2</v>
      </c>
      <c r="E379" s="5">
        <v>0.27219558992150272</v>
      </c>
      <c r="G379">
        <v>2025</v>
      </c>
      <c r="H379" t="str">
        <v>TERM LOAN - BUSINESS</v>
      </c>
      <c r="I379">
        <v>2</v>
      </c>
      <c r="J379" s="1">
        <v>0.37308697078314568</v>
      </c>
      <c r="K379" s="25">
        <v>3.9883664394333493</v>
      </c>
      <c r="L379" s="25">
        <v>5.6319999999999979</v>
      </c>
      <c r="M379" s="25">
        <v>10.726940000000013</v>
      </c>
      <c r="N379" s="25">
        <v>11.530012389337571</v>
      </c>
      <c r="O379" s="25">
        <v>2409.4910000000091</v>
      </c>
    </row>
    <row r="380" spans="2:15" x14ac:dyDescent="0.45">
      <c r="B380">
        <v>2025</v>
      </c>
      <c r="C380" t="s">
        <v>9</v>
      </c>
      <c r="D380">
        <v>1</v>
      </c>
      <c r="E380" s="5">
        <v>0</v>
      </c>
      <c r="G380">
        <v>2019</v>
      </c>
      <c r="H380" t="str">
        <v>TOURISM SECTOR LOAN</v>
      </c>
      <c r="I380">
        <v>2</v>
      </c>
      <c r="J380" s="1">
        <v>0</v>
      </c>
      <c r="K380" s="25">
        <v>7.6223761076818732</v>
      </c>
      <c r="L380" s="25">
        <v>4.6399999999999997</v>
      </c>
      <c r="M380" s="25">
        <v>10.64</v>
      </c>
      <c r="N380" s="25">
        <v>12.134092700177552</v>
      </c>
      <c r="O380" s="25">
        <v>1259.02</v>
      </c>
    </row>
    <row r="381" spans="2:15" x14ac:dyDescent="0.45">
      <c r="B381">
        <v>2025</v>
      </c>
      <c r="C381" t="s">
        <v>9</v>
      </c>
      <c r="D381">
        <v>2</v>
      </c>
      <c r="E381" s="5">
        <v>0</v>
      </c>
      <c r="G381">
        <v>2020</v>
      </c>
      <c r="H381" t="str">
        <v>TOURISM SECTOR LOAN</v>
      </c>
      <c r="I381">
        <v>2</v>
      </c>
      <c r="J381" s="1">
        <v>0</v>
      </c>
      <c r="K381" s="25">
        <v>6.6570554280283449</v>
      </c>
      <c r="L381" s="25">
        <v>6.15</v>
      </c>
      <c r="M381" s="25">
        <v>13.119</v>
      </c>
      <c r="N381" s="25">
        <v>10.109165203675886</v>
      </c>
      <c r="O381" s="25">
        <v>1362.35</v>
      </c>
    </row>
    <row r="382" spans="2:15" x14ac:dyDescent="0.45">
      <c r="B382">
        <v>2025</v>
      </c>
      <c r="C382" t="s">
        <v>28</v>
      </c>
      <c r="D382">
        <v>1</v>
      </c>
      <c r="E382" s="5">
        <v>0</v>
      </c>
      <c r="G382">
        <v>2021</v>
      </c>
      <c r="H382" t="str">
        <v>TOURISM SECTOR LOAN</v>
      </c>
      <c r="I382">
        <v>2</v>
      </c>
      <c r="J382" s="1">
        <v>0</v>
      </c>
      <c r="K382" s="25">
        <v>-2.3696206265287998</v>
      </c>
      <c r="L382" s="25">
        <v>3.6</v>
      </c>
      <c r="M382" s="25">
        <v>12.581</v>
      </c>
      <c r="N382" s="25">
        <v>8.4600000000000009</v>
      </c>
      <c r="O382" s="25">
        <v>2883.41</v>
      </c>
    </row>
    <row r="383" spans="2:15" x14ac:dyDescent="0.45">
      <c r="B383">
        <v>2025</v>
      </c>
      <c r="C383" t="s">
        <v>28</v>
      </c>
      <c r="D383">
        <v>2</v>
      </c>
      <c r="E383" s="5">
        <v>0</v>
      </c>
      <c r="G383">
        <v>2022</v>
      </c>
      <c r="H383" t="str">
        <v>TOURISM SECTOR LOAN</v>
      </c>
      <c r="I383">
        <v>2</v>
      </c>
      <c r="J383" s="1">
        <v>0</v>
      </c>
      <c r="K383" s="25">
        <v>4.8381498272749335</v>
      </c>
      <c r="L383" s="25">
        <v>6.26</v>
      </c>
      <c r="M383" s="25">
        <v>10.923</v>
      </c>
      <c r="N383" s="25">
        <v>11.620299693912473</v>
      </c>
      <c r="O383" s="25">
        <v>2009.47</v>
      </c>
    </row>
    <row r="384" spans="2:15" x14ac:dyDescent="0.45">
      <c r="B384">
        <v>2025</v>
      </c>
      <c r="C384" t="s">
        <v>24</v>
      </c>
      <c r="D384">
        <v>1</v>
      </c>
      <c r="E384" s="5">
        <v>0</v>
      </c>
      <c r="G384">
        <v>2023</v>
      </c>
      <c r="H384" t="str">
        <v>TOURISM SECTOR LOAN</v>
      </c>
      <c r="I384">
        <v>2</v>
      </c>
      <c r="J384" s="1">
        <v>0</v>
      </c>
      <c r="K384" s="25">
        <v>5.6131931650736817</v>
      </c>
      <c r="L384" s="25">
        <v>7.84</v>
      </c>
      <c r="M384" s="25">
        <v>10.97</v>
      </c>
      <c r="N384" s="25">
        <v>12.2968211469067</v>
      </c>
      <c r="O384" s="25">
        <v>2097.1</v>
      </c>
    </row>
    <row r="385" spans="2:15" x14ac:dyDescent="0.45">
      <c r="B385">
        <v>2025</v>
      </c>
      <c r="C385" t="s">
        <v>24</v>
      </c>
      <c r="D385">
        <v>2</v>
      </c>
      <c r="E385" s="5">
        <v>0</v>
      </c>
      <c r="G385">
        <v>2024</v>
      </c>
      <c r="H385" t="str">
        <v>TOURISM SECTOR LOAN</v>
      </c>
      <c r="I385">
        <v>2</v>
      </c>
      <c r="J385" s="1">
        <v>0</v>
      </c>
      <c r="K385" s="25">
        <v>3.3</v>
      </c>
      <c r="L385" s="25">
        <v>4.0999999999999996</v>
      </c>
      <c r="M385" s="25">
        <v>11.953800000000001</v>
      </c>
      <c r="N385" s="25">
        <v>9.9340099482150723</v>
      </c>
      <c r="O385" s="25">
        <v>2240.41</v>
      </c>
    </row>
    <row r="386" spans="2:15" x14ac:dyDescent="0.45">
      <c r="B386">
        <v>2025</v>
      </c>
      <c r="C386" t="s">
        <v>6</v>
      </c>
      <c r="D386">
        <v>1</v>
      </c>
      <c r="E386" s="5">
        <v>9.1355400283232524E-2</v>
      </c>
      <c r="G386">
        <v>2025</v>
      </c>
      <c r="H386" t="str">
        <v>TOURISM SECTOR LOAN</v>
      </c>
      <c r="I386">
        <v>2</v>
      </c>
      <c r="J386" s="1">
        <v>0</v>
      </c>
      <c r="K386" s="25">
        <v>3.9883664394333493</v>
      </c>
      <c r="L386" s="25">
        <v>5.6319999999999979</v>
      </c>
      <c r="M386" s="25">
        <v>10.726940000000013</v>
      </c>
      <c r="N386" s="25">
        <v>11.530012389337571</v>
      </c>
      <c r="O386" s="25">
        <v>2409.4910000000091</v>
      </c>
    </row>
    <row r="387" spans="2:15" x14ac:dyDescent="0.45">
      <c r="B387">
        <v>2025</v>
      </c>
      <c r="C387" t="s">
        <v>6</v>
      </c>
      <c r="D387">
        <v>2</v>
      </c>
      <c r="E387" s="5">
        <v>0.27760798271423498</v>
      </c>
      <c r="G387">
        <v>2019</v>
      </c>
      <c r="H387" t="str">
        <v>WC TRADING/IND LOAN</v>
      </c>
      <c r="I387">
        <v>2</v>
      </c>
      <c r="J387" s="1">
        <v>0.10891980534962335</v>
      </c>
      <c r="K387" s="25">
        <v>7.6223761076818732</v>
      </c>
      <c r="L387" s="25">
        <v>4.6399999999999997</v>
      </c>
      <c r="M387" s="25">
        <v>10.64</v>
      </c>
      <c r="N387" s="25">
        <v>12.134092700177552</v>
      </c>
      <c r="O387" s="25">
        <v>1259.02</v>
      </c>
    </row>
    <row r="388" spans="2:15" x14ac:dyDescent="0.45">
      <c r="B388">
        <v>2025</v>
      </c>
      <c r="C388" t="s">
        <v>16</v>
      </c>
      <c r="D388">
        <v>1</v>
      </c>
      <c r="E388" s="5">
        <v>0.10875601451192747</v>
      </c>
      <c r="G388">
        <v>2020</v>
      </c>
      <c r="H388" t="str">
        <v>WC TRADING/IND LOAN</v>
      </c>
      <c r="I388">
        <v>2</v>
      </c>
      <c r="J388" s="1">
        <v>0.33482358547960628</v>
      </c>
      <c r="K388" s="25">
        <v>6.6570554280283449</v>
      </c>
      <c r="L388" s="25">
        <v>6.15</v>
      </c>
      <c r="M388" s="25">
        <v>13.119</v>
      </c>
      <c r="N388" s="25">
        <v>10.109165203675886</v>
      </c>
      <c r="O388" s="25">
        <v>1362.35</v>
      </c>
    </row>
    <row r="389" spans="2:15" x14ac:dyDescent="0.45">
      <c r="B389">
        <v>2025</v>
      </c>
      <c r="C389" t="s">
        <v>16</v>
      </c>
      <c r="D389">
        <v>2</v>
      </c>
      <c r="E389" s="5">
        <v>0.37308697078314568</v>
      </c>
      <c r="G389">
        <v>2021</v>
      </c>
      <c r="H389" t="str">
        <v>WC TRADING/IND LOAN</v>
      </c>
      <c r="I389">
        <v>2</v>
      </c>
      <c r="J389" s="1">
        <v>0.12658752692542233</v>
      </c>
      <c r="K389" s="25">
        <v>-2.3696206265287998</v>
      </c>
      <c r="L389" s="25">
        <v>3.6</v>
      </c>
      <c r="M389" s="25">
        <v>12.581</v>
      </c>
      <c r="N389" s="25">
        <v>8.4600000000000009</v>
      </c>
      <c r="O389" s="25">
        <v>2883.41</v>
      </c>
    </row>
    <row r="390" spans="2:15" x14ac:dyDescent="0.45">
      <c r="B390">
        <v>2025</v>
      </c>
      <c r="C390" t="s">
        <v>27</v>
      </c>
      <c r="D390">
        <v>1</v>
      </c>
      <c r="E390" s="5">
        <v>0</v>
      </c>
      <c r="G390">
        <v>2022</v>
      </c>
      <c r="H390" t="str">
        <v>WC TRADING/IND LOAN</v>
      </c>
      <c r="I390">
        <v>2</v>
      </c>
      <c r="J390" s="1">
        <v>0.18991821390437566</v>
      </c>
      <c r="K390" s="25">
        <v>4.8381498272749335</v>
      </c>
      <c r="L390" s="25">
        <v>6.26</v>
      </c>
      <c r="M390" s="25">
        <v>10.923</v>
      </c>
      <c r="N390" s="25">
        <v>11.620299693912473</v>
      </c>
      <c r="O390" s="25">
        <v>2009.47</v>
      </c>
    </row>
    <row r="391" spans="2:15" x14ac:dyDescent="0.45">
      <c r="B391">
        <v>2025</v>
      </c>
      <c r="C391" t="s">
        <v>27</v>
      </c>
      <c r="D391">
        <v>2</v>
      </c>
      <c r="E391" s="5">
        <v>0</v>
      </c>
      <c r="G391">
        <v>2023</v>
      </c>
      <c r="H391" t="str">
        <v>WC TRADING/IND LOAN</v>
      </c>
      <c r="I391">
        <v>2</v>
      </c>
      <c r="J391" s="1">
        <v>0.45012508182088556</v>
      </c>
      <c r="K391" s="25">
        <v>5.6131931650736817</v>
      </c>
      <c r="L391" s="25">
        <v>7.84</v>
      </c>
      <c r="M391" s="25">
        <v>10.97</v>
      </c>
      <c r="N391" s="25">
        <v>12.2968211469067</v>
      </c>
      <c r="O391" s="25">
        <v>2097.1</v>
      </c>
    </row>
    <row r="392" spans="2:15" x14ac:dyDescent="0.45">
      <c r="B392">
        <v>2025</v>
      </c>
      <c r="C392" t="s">
        <v>7</v>
      </c>
      <c r="D392">
        <v>1</v>
      </c>
      <c r="E392" s="5">
        <v>0.12010395924220262</v>
      </c>
      <c r="G392">
        <v>2024</v>
      </c>
      <c r="H392" t="str">
        <v>WC TRADING/IND LOAN</v>
      </c>
      <c r="I392">
        <v>2</v>
      </c>
      <c r="J392" s="1">
        <v>0.62999259167318733</v>
      </c>
      <c r="K392" s="25">
        <v>3.3</v>
      </c>
      <c r="L392" s="25">
        <v>4.0999999999999996</v>
      </c>
      <c r="M392" s="25">
        <v>11.953800000000001</v>
      </c>
      <c r="N392" s="25">
        <v>9.9340099482150723</v>
      </c>
      <c r="O392" s="25">
        <v>2240.41</v>
      </c>
    </row>
    <row r="393" spans="2:15" x14ac:dyDescent="0.45">
      <c r="B393">
        <v>2025</v>
      </c>
      <c r="C393" t="s">
        <v>7</v>
      </c>
      <c r="D393">
        <v>2</v>
      </c>
      <c r="E393" s="5">
        <v>0.17640008496844142</v>
      </c>
      <c r="G393">
        <v>2025</v>
      </c>
      <c r="H393" t="str">
        <v>WC TRADING/IND LOAN</v>
      </c>
      <c r="I393">
        <v>2</v>
      </c>
      <c r="J393" s="1">
        <v>0.17640008496844142</v>
      </c>
      <c r="K393" s="25">
        <v>3.9883664394333493</v>
      </c>
      <c r="L393" s="25">
        <v>5.6319999999999979</v>
      </c>
      <c r="M393" s="25">
        <v>10.726940000000013</v>
      </c>
      <c r="N393" s="25">
        <v>11.530012389337571</v>
      </c>
      <c r="O393" s="25">
        <v>2409.4910000000091</v>
      </c>
    </row>
    <row r="394" spans="2:15" x14ac:dyDescent="0.45">
      <c r="J394" s="1"/>
    </row>
  </sheetData>
  <autoFilter ref="G1:O393" xr:uid="{AD602559-D7D7-4E80-A857-C4BF4BCFAF53}"/>
  <pageMargins left="0.7" right="0.7" top="0.75" bottom="0.75" header="0.3" footer="0.3"/>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3662A-42BF-47C4-BEC2-EB2562607B24}">
  <sheetPr codeName="Sheet7"/>
  <dimension ref="A1:XFA31"/>
  <sheetViews>
    <sheetView topLeftCell="N1" workbookViewId="0">
      <selection activeCell="W2" sqref="W2"/>
    </sheetView>
  </sheetViews>
  <sheetFormatPr defaultRowHeight="14.25" x14ac:dyDescent="0.45"/>
  <cols>
    <col min="1" max="1" width="28.9296875" bestFit="1" customWidth="1"/>
    <col min="2" max="2" width="25.19921875" customWidth="1"/>
    <col min="3" max="3" width="10.86328125" bestFit="1" customWidth="1"/>
    <col min="4" max="4" width="17.796875" bestFit="1" customWidth="1"/>
    <col min="5" max="5" width="11.265625" bestFit="1" customWidth="1"/>
    <col min="6" max="6" width="10.796875" bestFit="1" customWidth="1"/>
    <col min="7" max="7" width="25.86328125" customWidth="1"/>
    <col min="8" max="8" width="25.19921875" bestFit="1" customWidth="1"/>
    <col min="10" max="10" width="9.53125" bestFit="1" customWidth="1"/>
    <col min="11" max="11" width="25.19921875" customWidth="1"/>
    <col min="12" max="12" width="13" bestFit="1" customWidth="1"/>
    <col min="13" max="13" width="9.53125" bestFit="1" customWidth="1"/>
    <col min="14" max="14" width="25.19921875" bestFit="1" customWidth="1"/>
    <col min="16" max="16" width="9.53125" bestFit="1" customWidth="1"/>
    <col min="17" max="17" width="25.19921875" customWidth="1"/>
    <col min="19" max="19" width="9.53125" bestFit="1" customWidth="1"/>
    <col min="20" max="20" width="25.19921875" bestFit="1" customWidth="1"/>
    <col min="22" max="22" width="9.53125" bestFit="1" customWidth="1"/>
    <col min="23" max="23" width="25.19921875" bestFit="1" customWidth="1"/>
    <col min="25" max="25" width="9.53125" bestFit="1" customWidth="1"/>
    <col min="26" max="26" width="25.19921875" bestFit="1" customWidth="1"/>
    <col min="28" max="28" width="9.53125" bestFit="1" customWidth="1"/>
    <col min="29" max="29" width="25.19921875" bestFit="1" customWidth="1"/>
    <col min="31" max="31" width="9.53125" bestFit="1" customWidth="1"/>
    <col min="32" max="32" width="25.19921875" bestFit="1" customWidth="1"/>
    <col min="34" max="34" width="9.53125" bestFit="1" customWidth="1"/>
    <col min="35" max="35" width="25.19921875" bestFit="1" customWidth="1"/>
    <col min="37" max="37" width="9.53125" bestFit="1" customWidth="1"/>
    <col min="38" max="38" width="25.19921875" bestFit="1" customWidth="1"/>
    <col min="40" max="40" width="9.53125" bestFit="1" customWidth="1"/>
    <col min="41" max="41" width="25.19921875" bestFit="1" customWidth="1"/>
    <col min="43" max="43" width="9.53125" bestFit="1" customWidth="1"/>
    <col min="44" max="44" width="25.19921875" bestFit="1" customWidth="1"/>
    <col min="46" max="46" width="9.53125" bestFit="1" customWidth="1"/>
    <col min="47" max="47" width="25.19921875" bestFit="1" customWidth="1"/>
    <col min="49" max="49" width="9.53125" bestFit="1" customWidth="1"/>
    <col min="50" max="50" width="25.19921875" bestFit="1" customWidth="1"/>
    <col min="52" max="52" width="9.53125" bestFit="1" customWidth="1"/>
    <col min="53" max="53" width="25.19921875" bestFit="1" customWidth="1"/>
    <col min="55" max="55" width="9.53125" bestFit="1" customWidth="1"/>
    <col min="56" max="56" width="25.19921875" bestFit="1" customWidth="1"/>
    <col min="58" max="58" width="9.53125" bestFit="1" customWidth="1"/>
    <col min="59" max="59" width="25.19921875" bestFit="1" customWidth="1"/>
    <col min="61" max="61" width="9.53125" bestFit="1" customWidth="1"/>
    <col min="62" max="62" width="25.19921875" bestFit="1" customWidth="1"/>
    <col min="64" max="64" width="9.53125" bestFit="1" customWidth="1"/>
    <col min="65" max="65" width="25.19921875" bestFit="1" customWidth="1"/>
    <col min="67" max="67" width="9.53125" bestFit="1" customWidth="1"/>
    <col min="68" max="68" width="25.19921875" bestFit="1" customWidth="1"/>
    <col min="70" max="70" width="9.53125" bestFit="1" customWidth="1"/>
    <col min="71" max="71" width="25.19921875" bestFit="1" customWidth="1"/>
    <col min="73" max="73" width="9.53125" bestFit="1" customWidth="1"/>
    <col min="74" max="74" width="25.19921875" bestFit="1" customWidth="1"/>
    <col min="76" max="76" width="9.53125" bestFit="1" customWidth="1"/>
    <col min="77" max="77" width="25.19921875" bestFit="1" customWidth="1"/>
    <col min="79" max="79" width="9.53125" bestFit="1" customWidth="1"/>
    <col min="80" max="80" width="25.19921875" bestFit="1" customWidth="1"/>
    <col min="82" max="82" width="9.53125" bestFit="1" customWidth="1"/>
    <col min="83" max="83" width="25.19921875" bestFit="1" customWidth="1"/>
    <col min="85" max="85" width="9.53125" bestFit="1" customWidth="1"/>
    <col min="86" max="86" width="25.19921875" bestFit="1" customWidth="1"/>
    <col min="88" max="88" width="9.53125" bestFit="1" customWidth="1"/>
    <col min="89" max="89" width="25.19921875" bestFit="1" customWidth="1"/>
    <col min="91" max="91" width="9.53125" bestFit="1" customWidth="1"/>
    <col min="92" max="92" width="25.19921875" bestFit="1" customWidth="1"/>
    <col min="94" max="94" width="9.53125" bestFit="1" customWidth="1"/>
    <col min="95" max="95" width="25.19921875" bestFit="1" customWidth="1"/>
    <col min="97" max="97" width="9.53125" bestFit="1" customWidth="1"/>
    <col min="98" max="98" width="25.19921875" bestFit="1" customWidth="1"/>
    <col min="100" max="100" width="9.53125" bestFit="1" customWidth="1"/>
    <col min="101" max="101" width="25.19921875" bestFit="1" customWidth="1"/>
    <col min="103" max="103" width="9.53125" bestFit="1" customWidth="1"/>
    <col min="104" max="104" width="25.19921875" bestFit="1" customWidth="1"/>
    <col min="106" max="106" width="9.53125" bestFit="1" customWidth="1"/>
    <col min="107" max="107" width="25.19921875" bestFit="1" customWidth="1"/>
    <col min="109" max="109" width="9.53125" bestFit="1" customWidth="1"/>
    <col min="110" max="110" width="25.19921875" bestFit="1" customWidth="1"/>
    <col min="112" max="112" width="9.53125" bestFit="1" customWidth="1"/>
    <col min="113" max="113" width="25.19921875" bestFit="1" customWidth="1"/>
    <col min="115" max="115" width="9.53125" bestFit="1" customWidth="1"/>
    <col min="116" max="116" width="25.19921875" bestFit="1" customWidth="1"/>
    <col min="118" max="118" width="9.53125" bestFit="1" customWidth="1"/>
    <col min="119" max="119" width="25.19921875" bestFit="1" customWidth="1"/>
    <col min="121" max="121" width="9.53125" bestFit="1" customWidth="1"/>
    <col min="122" max="122" width="25.19921875" bestFit="1" customWidth="1"/>
    <col min="124" max="124" width="9.53125" bestFit="1" customWidth="1"/>
    <col min="125" max="125" width="25.19921875" bestFit="1" customWidth="1"/>
    <col min="127" max="127" width="9.53125" bestFit="1" customWidth="1"/>
    <col min="128" max="128" width="25.19921875" bestFit="1" customWidth="1"/>
    <col min="130" max="130" width="9.53125" bestFit="1" customWidth="1"/>
    <col min="131" max="131" width="25.19921875" bestFit="1" customWidth="1"/>
    <col min="133" max="133" width="9.53125" bestFit="1" customWidth="1"/>
    <col min="134" max="134" width="25.19921875" bestFit="1" customWidth="1"/>
    <col min="136" max="136" width="9.53125" bestFit="1" customWidth="1"/>
    <col min="137" max="137" width="25.19921875" bestFit="1" customWidth="1"/>
    <col min="139" max="139" width="9.53125" bestFit="1" customWidth="1"/>
    <col min="140" max="140" width="25.19921875" bestFit="1" customWidth="1"/>
    <col min="142" max="142" width="9.53125" bestFit="1" customWidth="1"/>
    <col min="143" max="143" width="25.19921875" bestFit="1" customWidth="1"/>
    <col min="145" max="145" width="9.53125" bestFit="1" customWidth="1"/>
    <col min="146" max="146" width="25.19921875" bestFit="1" customWidth="1"/>
    <col min="148" max="148" width="9.53125" bestFit="1" customWidth="1"/>
    <col min="149" max="149" width="25.19921875" bestFit="1" customWidth="1"/>
    <col min="151" max="151" width="9.53125" bestFit="1" customWidth="1"/>
    <col min="152" max="152" width="25.19921875" bestFit="1" customWidth="1"/>
    <col min="154" max="154" width="9.53125" bestFit="1" customWidth="1"/>
    <col min="155" max="155" width="25.19921875" bestFit="1" customWidth="1"/>
    <col min="157" max="157" width="9.53125" bestFit="1" customWidth="1"/>
    <col min="158" max="158" width="25.19921875" bestFit="1" customWidth="1"/>
    <col min="160" max="160" width="9.53125" bestFit="1" customWidth="1"/>
    <col min="161" max="161" width="25.19921875" bestFit="1" customWidth="1"/>
    <col min="163" max="163" width="9.53125" bestFit="1" customWidth="1"/>
    <col min="164" max="164" width="25.19921875" bestFit="1" customWidth="1"/>
    <col min="166" max="166" width="9.53125" bestFit="1" customWidth="1"/>
    <col min="167" max="167" width="25.19921875" bestFit="1" customWidth="1"/>
    <col min="16377" max="16377" width="6" bestFit="1" customWidth="1"/>
    <col min="16378" max="16378" width="7.86328125" bestFit="1" customWidth="1"/>
    <col min="16379" max="16379" width="17.86328125" bestFit="1" customWidth="1"/>
    <col min="16380" max="16380" width="11.46484375" bestFit="1" customWidth="1"/>
    <col min="16381" max="16381" width="12.06640625" bestFit="1" customWidth="1"/>
  </cols>
  <sheetData>
    <row r="1" spans="1:447 16377:16381" s="24" customFormat="1" x14ac:dyDescent="0.45">
      <c r="A1" t="s">
        <v>42</v>
      </c>
      <c r="B1" t="s">
        <v>35</v>
      </c>
      <c r="C1" t="s">
        <v>36</v>
      </c>
      <c r="D1" t="s">
        <v>37</v>
      </c>
      <c r="E1" t="s">
        <v>39</v>
      </c>
      <c r="F1" t="s">
        <v>40</v>
      </c>
      <c r="G1" t="s">
        <v>43</v>
      </c>
      <c r="I1" s="24" t="s">
        <v>42</v>
      </c>
      <c r="J1" s="24" t="s">
        <v>35</v>
      </c>
      <c r="K1" s="24" t="s">
        <v>36</v>
      </c>
      <c r="L1" t="s">
        <v>37</v>
      </c>
      <c r="M1" t="s">
        <v>39</v>
      </c>
      <c r="N1" t="s">
        <v>40</v>
      </c>
      <c r="O1" t="s">
        <v>43</v>
      </c>
      <c r="P1"/>
      <c r="Q1" t="s">
        <v>42</v>
      </c>
      <c r="R1" t="s">
        <v>35</v>
      </c>
      <c r="S1" t="s">
        <v>36</v>
      </c>
      <c r="T1" t="s">
        <v>37</v>
      </c>
      <c r="U1" t="s">
        <v>39</v>
      </c>
      <c r="V1" s="24" t="s">
        <v>40</v>
      </c>
      <c r="W1" s="24" t="s">
        <v>43</v>
      </c>
      <c r="Y1" s="24" t="s">
        <v>42</v>
      </c>
      <c r="Z1" s="24" t="s">
        <v>35</v>
      </c>
      <c r="AA1" s="24" t="s">
        <v>36</v>
      </c>
      <c r="AB1" s="24" t="s">
        <v>37</v>
      </c>
      <c r="AC1" s="24" t="s">
        <v>39</v>
      </c>
      <c r="AD1" s="24" t="s">
        <v>40</v>
      </c>
      <c r="AE1" s="24" t="s">
        <v>43</v>
      </c>
      <c r="AG1" s="24" t="s">
        <v>42</v>
      </c>
      <c r="AH1" s="24" t="s">
        <v>35</v>
      </c>
      <c r="AI1" s="24" t="s">
        <v>36</v>
      </c>
      <c r="AJ1" s="24" t="s">
        <v>37</v>
      </c>
      <c r="AK1" s="24" t="s">
        <v>39</v>
      </c>
      <c r="AL1" s="24" t="s">
        <v>40</v>
      </c>
      <c r="AM1" s="24" t="s">
        <v>43</v>
      </c>
      <c r="AO1" s="24" t="s">
        <v>42</v>
      </c>
      <c r="AP1" s="24" t="s">
        <v>35</v>
      </c>
      <c r="AQ1" s="24" t="s">
        <v>36</v>
      </c>
      <c r="AR1" s="24" t="s">
        <v>37</v>
      </c>
      <c r="AS1" s="24" t="s">
        <v>39</v>
      </c>
      <c r="AT1" s="24" t="s">
        <v>40</v>
      </c>
      <c r="AU1" s="24" t="s">
        <v>43</v>
      </c>
      <c r="AW1" s="24" t="s">
        <v>42</v>
      </c>
      <c r="AX1" s="24" t="s">
        <v>35</v>
      </c>
      <c r="AY1" s="24" t="s">
        <v>36</v>
      </c>
      <c r="AZ1" s="24" t="s">
        <v>37</v>
      </c>
      <c r="BA1" s="24" t="s">
        <v>39</v>
      </c>
      <c r="BB1" s="24" t="s">
        <v>40</v>
      </c>
      <c r="BC1" s="24" t="s">
        <v>43</v>
      </c>
      <c r="BE1" s="24" t="s">
        <v>42</v>
      </c>
      <c r="BF1" s="24" t="s">
        <v>35</v>
      </c>
      <c r="BG1" s="24" t="s">
        <v>36</v>
      </c>
      <c r="BH1" s="24" t="s">
        <v>37</v>
      </c>
      <c r="BI1" s="24" t="s">
        <v>39</v>
      </c>
      <c r="BJ1" s="24" t="s">
        <v>40</v>
      </c>
      <c r="BK1" s="24" t="s">
        <v>43</v>
      </c>
      <c r="BM1" s="24" t="s">
        <v>42</v>
      </c>
      <c r="BN1" s="24" t="s">
        <v>35</v>
      </c>
      <c r="BO1" s="24" t="s">
        <v>36</v>
      </c>
      <c r="BP1" s="24" t="s">
        <v>37</v>
      </c>
      <c r="BQ1" s="24" t="s">
        <v>39</v>
      </c>
      <c r="BR1" s="24" t="s">
        <v>40</v>
      </c>
      <c r="BS1" s="24" t="s">
        <v>43</v>
      </c>
      <c r="BU1" s="24" t="s">
        <v>42</v>
      </c>
      <c r="BV1" s="24" t="s">
        <v>35</v>
      </c>
      <c r="BW1" s="24" t="s">
        <v>36</v>
      </c>
      <c r="BX1" s="24" t="s">
        <v>37</v>
      </c>
      <c r="BY1" s="24" t="s">
        <v>39</v>
      </c>
      <c r="BZ1" s="24" t="s">
        <v>40</v>
      </c>
      <c r="CA1" s="24" t="s">
        <v>43</v>
      </c>
      <c r="CC1" s="24" t="s">
        <v>42</v>
      </c>
      <c r="CD1" s="24" t="s">
        <v>35</v>
      </c>
      <c r="CE1" s="24" t="s">
        <v>36</v>
      </c>
      <c r="CF1" s="24" t="s">
        <v>37</v>
      </c>
      <c r="CG1" s="24" t="s">
        <v>39</v>
      </c>
      <c r="CH1" s="24" t="s">
        <v>40</v>
      </c>
      <c r="CI1" s="24" t="s">
        <v>43</v>
      </c>
      <c r="CK1" s="24" t="s">
        <v>42</v>
      </c>
      <c r="CL1" s="24" t="s">
        <v>35</v>
      </c>
      <c r="CM1" s="24" t="s">
        <v>36</v>
      </c>
      <c r="CN1" s="24" t="s">
        <v>37</v>
      </c>
      <c r="CO1" s="24" t="s">
        <v>39</v>
      </c>
      <c r="CP1" s="24" t="s">
        <v>40</v>
      </c>
      <c r="CQ1" s="24" t="s">
        <v>43</v>
      </c>
      <c r="CS1" s="24" t="s">
        <v>42</v>
      </c>
      <c r="CT1" s="24" t="s">
        <v>35</v>
      </c>
      <c r="CU1" s="24" t="s">
        <v>36</v>
      </c>
      <c r="CV1" s="24" t="s">
        <v>37</v>
      </c>
      <c r="CW1" s="24" t="s">
        <v>39</v>
      </c>
      <c r="CX1" s="24" t="s">
        <v>40</v>
      </c>
      <c r="CY1" s="24" t="s">
        <v>43</v>
      </c>
      <c r="DA1" s="24" t="s">
        <v>42</v>
      </c>
      <c r="DB1" s="24" t="s">
        <v>35</v>
      </c>
      <c r="DC1" s="24" t="s">
        <v>36</v>
      </c>
      <c r="DD1" s="24" t="s">
        <v>37</v>
      </c>
      <c r="DE1" s="24" t="s">
        <v>39</v>
      </c>
      <c r="DF1" s="24" t="s">
        <v>40</v>
      </c>
      <c r="DG1" s="24" t="s">
        <v>43</v>
      </c>
      <c r="DI1" s="24" t="s">
        <v>42</v>
      </c>
      <c r="DJ1" s="24" t="s">
        <v>35</v>
      </c>
      <c r="DK1" s="24" t="s">
        <v>36</v>
      </c>
      <c r="DL1" s="24" t="s">
        <v>37</v>
      </c>
      <c r="DM1" s="24" t="s">
        <v>39</v>
      </c>
      <c r="DN1" s="24" t="s">
        <v>40</v>
      </c>
      <c r="DO1" s="24" t="s">
        <v>43</v>
      </c>
      <c r="DQ1" s="24" t="s">
        <v>42</v>
      </c>
      <c r="DR1" s="24" t="s">
        <v>35</v>
      </c>
      <c r="DS1" s="24" t="s">
        <v>36</v>
      </c>
      <c r="DT1" s="24" t="s">
        <v>37</v>
      </c>
      <c r="DU1" s="24" t="s">
        <v>39</v>
      </c>
      <c r="DV1" s="24" t="s">
        <v>40</v>
      </c>
      <c r="DW1" s="24" t="s">
        <v>43</v>
      </c>
      <c r="DY1" s="24" t="s">
        <v>42</v>
      </c>
      <c r="DZ1" s="24" t="s">
        <v>35</v>
      </c>
      <c r="EA1" s="24" t="s">
        <v>36</v>
      </c>
      <c r="EB1" s="24" t="s">
        <v>37</v>
      </c>
      <c r="EC1" s="24" t="s">
        <v>39</v>
      </c>
      <c r="ED1" s="24" t="s">
        <v>40</v>
      </c>
      <c r="EE1" s="24" t="s">
        <v>43</v>
      </c>
      <c r="EG1" s="24" t="s">
        <v>42</v>
      </c>
      <c r="EH1" s="24" t="s">
        <v>35</v>
      </c>
      <c r="EI1" s="24" t="s">
        <v>36</v>
      </c>
      <c r="EJ1" s="24" t="s">
        <v>37</v>
      </c>
      <c r="EK1" s="24" t="s">
        <v>39</v>
      </c>
      <c r="EL1" s="24" t="s">
        <v>40</v>
      </c>
      <c r="EM1" s="24" t="s">
        <v>43</v>
      </c>
      <c r="EO1" s="24" t="s">
        <v>42</v>
      </c>
      <c r="EP1" s="24" t="s">
        <v>35</v>
      </c>
      <c r="EQ1" s="24" t="s">
        <v>36</v>
      </c>
      <c r="ER1" s="24" t="s">
        <v>37</v>
      </c>
      <c r="ES1" s="24" t="s">
        <v>39</v>
      </c>
      <c r="ET1" s="24" t="s">
        <v>40</v>
      </c>
      <c r="EU1" s="24" t="s">
        <v>43</v>
      </c>
      <c r="EW1" s="24" t="s">
        <v>42</v>
      </c>
      <c r="EX1" s="24" t="s">
        <v>35</v>
      </c>
      <c r="EY1" s="24" t="s">
        <v>36</v>
      </c>
      <c r="EZ1" s="24" t="s">
        <v>37</v>
      </c>
      <c r="FA1" s="24" t="s">
        <v>39</v>
      </c>
      <c r="FB1" s="24" t="s">
        <v>40</v>
      </c>
      <c r="FC1" s="24" t="s">
        <v>43</v>
      </c>
      <c r="FE1" s="24" t="s">
        <v>42</v>
      </c>
      <c r="FF1" s="24" t="s">
        <v>35</v>
      </c>
      <c r="FG1" s="24" t="s">
        <v>36</v>
      </c>
      <c r="FH1" s="24" t="s">
        <v>37</v>
      </c>
      <c r="FI1" s="24" t="s">
        <v>39</v>
      </c>
      <c r="FJ1" s="24" t="s">
        <v>40</v>
      </c>
      <c r="FK1" s="24" t="s">
        <v>43</v>
      </c>
      <c r="FM1" s="24" t="s">
        <v>42</v>
      </c>
      <c r="FN1" s="24" t="s">
        <v>35</v>
      </c>
      <c r="FO1" s="24" t="s">
        <v>36</v>
      </c>
      <c r="FP1" s="24" t="s">
        <v>37</v>
      </c>
      <c r="FQ1" s="24" t="s">
        <v>39</v>
      </c>
      <c r="FR1" s="24" t="s">
        <v>40</v>
      </c>
      <c r="FS1" s="24" t="s">
        <v>43</v>
      </c>
      <c r="FU1" s="24" t="s">
        <v>42</v>
      </c>
      <c r="FV1" s="24" t="s">
        <v>35</v>
      </c>
      <c r="FW1" s="24" t="s">
        <v>36</v>
      </c>
      <c r="FX1" s="24" t="s">
        <v>37</v>
      </c>
      <c r="FY1" s="24" t="s">
        <v>39</v>
      </c>
      <c r="FZ1" s="24" t="s">
        <v>40</v>
      </c>
      <c r="GA1" s="24" t="s">
        <v>43</v>
      </c>
      <c r="GC1" s="24" t="s">
        <v>42</v>
      </c>
      <c r="GD1" s="24" t="s">
        <v>35</v>
      </c>
      <c r="GE1" s="24" t="s">
        <v>36</v>
      </c>
      <c r="GF1" s="24" t="s">
        <v>37</v>
      </c>
      <c r="GG1" s="24" t="s">
        <v>39</v>
      </c>
      <c r="GH1" s="24" t="s">
        <v>40</v>
      </c>
      <c r="GI1" s="24" t="s">
        <v>43</v>
      </c>
      <c r="GK1" s="24" t="s">
        <v>42</v>
      </c>
      <c r="GL1" s="24" t="s">
        <v>35</v>
      </c>
      <c r="GM1" s="24" t="s">
        <v>36</v>
      </c>
      <c r="GN1" s="24" t="s">
        <v>37</v>
      </c>
      <c r="GO1" s="24" t="s">
        <v>39</v>
      </c>
      <c r="GP1" s="24" t="s">
        <v>40</v>
      </c>
      <c r="GQ1" s="24" t="s">
        <v>43</v>
      </c>
      <c r="GS1" s="24" t="s">
        <v>42</v>
      </c>
      <c r="GT1" s="24" t="s">
        <v>35</v>
      </c>
      <c r="GU1" s="24" t="s">
        <v>36</v>
      </c>
      <c r="GV1" s="24" t="s">
        <v>37</v>
      </c>
      <c r="GW1" s="24" t="s">
        <v>39</v>
      </c>
      <c r="GX1" s="24" t="s">
        <v>40</v>
      </c>
      <c r="GY1" s="24" t="s">
        <v>43</v>
      </c>
      <c r="HA1" s="24" t="s">
        <v>42</v>
      </c>
      <c r="HB1" s="24" t="s">
        <v>35</v>
      </c>
      <c r="HC1" s="24" t="s">
        <v>36</v>
      </c>
      <c r="HD1" s="24" t="s">
        <v>37</v>
      </c>
      <c r="HE1" s="24" t="s">
        <v>39</v>
      </c>
      <c r="HF1" s="24" t="s">
        <v>40</v>
      </c>
      <c r="HG1" s="24" t="s">
        <v>43</v>
      </c>
      <c r="HI1" s="24" t="s">
        <v>42</v>
      </c>
      <c r="HJ1" s="24" t="s">
        <v>35</v>
      </c>
      <c r="HK1" s="24" t="s">
        <v>36</v>
      </c>
      <c r="HL1" s="24" t="s">
        <v>37</v>
      </c>
      <c r="HM1" s="24" t="s">
        <v>39</v>
      </c>
      <c r="HN1" s="24" t="s">
        <v>40</v>
      </c>
      <c r="HO1" s="24" t="s">
        <v>43</v>
      </c>
      <c r="HQ1" s="24" t="s">
        <v>42</v>
      </c>
      <c r="HR1" s="24" t="s">
        <v>35</v>
      </c>
      <c r="HS1" s="24" t="s">
        <v>36</v>
      </c>
      <c r="HT1" s="24" t="s">
        <v>37</v>
      </c>
      <c r="HU1" s="24" t="s">
        <v>39</v>
      </c>
      <c r="HV1" s="24" t="s">
        <v>40</v>
      </c>
      <c r="HW1" s="24" t="s">
        <v>43</v>
      </c>
      <c r="HY1" s="24" t="s">
        <v>42</v>
      </c>
      <c r="HZ1" s="24" t="s">
        <v>35</v>
      </c>
      <c r="IA1" s="24" t="s">
        <v>36</v>
      </c>
      <c r="IB1" s="24" t="s">
        <v>37</v>
      </c>
      <c r="IC1" s="24" t="s">
        <v>39</v>
      </c>
      <c r="ID1" s="24" t="s">
        <v>40</v>
      </c>
      <c r="IE1" s="24" t="s">
        <v>43</v>
      </c>
      <c r="IG1" s="24" t="s">
        <v>42</v>
      </c>
      <c r="IH1" s="24" t="s">
        <v>35</v>
      </c>
      <c r="II1" s="24" t="s">
        <v>36</v>
      </c>
      <c r="IJ1" s="24" t="s">
        <v>37</v>
      </c>
      <c r="IK1" s="24" t="s">
        <v>39</v>
      </c>
      <c r="IL1" s="24" t="s">
        <v>40</v>
      </c>
      <c r="IM1" s="24" t="s">
        <v>43</v>
      </c>
      <c r="IO1" s="24" t="s">
        <v>42</v>
      </c>
      <c r="IP1" s="24" t="s">
        <v>35</v>
      </c>
      <c r="IQ1" s="24" t="s">
        <v>36</v>
      </c>
      <c r="IR1" s="24" t="s">
        <v>37</v>
      </c>
      <c r="IS1" s="24" t="s">
        <v>39</v>
      </c>
      <c r="IT1" s="24" t="s">
        <v>40</v>
      </c>
      <c r="IU1" s="24" t="s">
        <v>43</v>
      </c>
      <c r="IW1" s="24" t="s">
        <v>42</v>
      </c>
      <c r="IX1" s="24" t="s">
        <v>35</v>
      </c>
      <c r="IY1" s="24" t="s">
        <v>36</v>
      </c>
      <c r="IZ1" s="24" t="s">
        <v>37</v>
      </c>
      <c r="JA1" s="24" t="s">
        <v>39</v>
      </c>
      <c r="JB1" s="24" t="s">
        <v>40</v>
      </c>
      <c r="JC1" s="24" t="s">
        <v>43</v>
      </c>
      <c r="JE1" s="24" t="s">
        <v>42</v>
      </c>
      <c r="JF1" s="24" t="s">
        <v>35</v>
      </c>
      <c r="JG1" s="24" t="s">
        <v>36</v>
      </c>
      <c r="JH1" s="24" t="s">
        <v>37</v>
      </c>
      <c r="JI1" s="24" t="s">
        <v>39</v>
      </c>
      <c r="JJ1" s="24" t="s">
        <v>40</v>
      </c>
      <c r="JK1" s="24" t="s">
        <v>43</v>
      </c>
      <c r="JM1" s="24" t="s">
        <v>42</v>
      </c>
      <c r="JN1" s="24" t="s">
        <v>35</v>
      </c>
      <c r="JO1" s="24" t="s">
        <v>36</v>
      </c>
      <c r="JP1" s="24" t="s">
        <v>37</v>
      </c>
      <c r="JQ1" s="24" t="s">
        <v>39</v>
      </c>
      <c r="JR1" s="24" t="s">
        <v>40</v>
      </c>
      <c r="JS1" s="24" t="s">
        <v>43</v>
      </c>
      <c r="JU1" s="24" t="s">
        <v>42</v>
      </c>
      <c r="JV1" s="24" t="s">
        <v>35</v>
      </c>
      <c r="JW1" s="24" t="s">
        <v>36</v>
      </c>
      <c r="JX1" s="24" t="s">
        <v>37</v>
      </c>
      <c r="JY1" s="24" t="s">
        <v>39</v>
      </c>
      <c r="JZ1" s="24" t="s">
        <v>40</v>
      </c>
      <c r="KA1" s="24" t="s">
        <v>43</v>
      </c>
      <c r="KC1" s="24" t="s">
        <v>42</v>
      </c>
      <c r="KD1" s="24" t="s">
        <v>35</v>
      </c>
      <c r="KE1" s="24" t="s">
        <v>36</v>
      </c>
      <c r="KF1" s="24" t="s">
        <v>37</v>
      </c>
      <c r="KG1" s="24" t="s">
        <v>39</v>
      </c>
      <c r="KH1" s="24" t="s">
        <v>40</v>
      </c>
      <c r="KI1" s="24" t="s">
        <v>43</v>
      </c>
      <c r="KK1" s="24" t="s">
        <v>42</v>
      </c>
      <c r="KL1" s="24" t="s">
        <v>35</v>
      </c>
      <c r="KM1" s="24" t="s">
        <v>36</v>
      </c>
      <c r="KN1" s="24" t="s">
        <v>37</v>
      </c>
      <c r="KO1" s="24" t="s">
        <v>39</v>
      </c>
      <c r="KP1" s="24" t="s">
        <v>40</v>
      </c>
      <c r="KQ1" s="24" t="s">
        <v>43</v>
      </c>
      <c r="KS1" s="24" t="s">
        <v>42</v>
      </c>
      <c r="KT1" s="24" t="s">
        <v>35</v>
      </c>
      <c r="KU1" s="24" t="s">
        <v>36</v>
      </c>
      <c r="KV1" s="24" t="s">
        <v>37</v>
      </c>
      <c r="KW1" s="24" t="s">
        <v>39</v>
      </c>
      <c r="KX1" s="24" t="s">
        <v>40</v>
      </c>
      <c r="KY1" s="24" t="s">
        <v>43</v>
      </c>
      <c r="LA1" s="24" t="s">
        <v>42</v>
      </c>
      <c r="LB1" s="24" t="s">
        <v>35</v>
      </c>
      <c r="LC1" s="24" t="s">
        <v>36</v>
      </c>
      <c r="LD1" s="24" t="s">
        <v>37</v>
      </c>
      <c r="LE1" s="24" t="s">
        <v>39</v>
      </c>
      <c r="LF1" s="24" t="s">
        <v>40</v>
      </c>
      <c r="LG1" s="24" t="s">
        <v>43</v>
      </c>
      <c r="LI1" s="24" t="s">
        <v>42</v>
      </c>
      <c r="LJ1" s="24" t="s">
        <v>35</v>
      </c>
      <c r="LK1" s="24" t="s">
        <v>36</v>
      </c>
      <c r="LL1" s="24" t="s">
        <v>37</v>
      </c>
      <c r="LM1" s="24" t="s">
        <v>39</v>
      </c>
      <c r="LN1" s="24" t="s">
        <v>40</v>
      </c>
      <c r="LO1" s="24" t="s">
        <v>43</v>
      </c>
      <c r="LQ1" s="24" t="s">
        <v>42</v>
      </c>
      <c r="LR1" s="24" t="s">
        <v>35</v>
      </c>
      <c r="LS1" s="24" t="s">
        <v>36</v>
      </c>
      <c r="LT1" s="24" t="s">
        <v>37</v>
      </c>
      <c r="LU1" s="24" t="s">
        <v>39</v>
      </c>
      <c r="LV1" s="24" t="s">
        <v>40</v>
      </c>
      <c r="LW1" s="24" t="s">
        <v>43</v>
      </c>
      <c r="LY1" s="24" t="s">
        <v>42</v>
      </c>
      <c r="LZ1" s="24" t="s">
        <v>35</v>
      </c>
      <c r="MA1" s="24" t="s">
        <v>36</v>
      </c>
      <c r="MB1" s="24" t="s">
        <v>37</v>
      </c>
      <c r="MC1" s="24" t="s">
        <v>39</v>
      </c>
      <c r="MD1" s="24" t="s">
        <v>40</v>
      </c>
      <c r="ME1" s="24" t="s">
        <v>43</v>
      </c>
      <c r="MG1" s="24" t="s">
        <v>42</v>
      </c>
      <c r="MH1" s="24" t="s">
        <v>35</v>
      </c>
      <c r="MI1" s="24" t="s">
        <v>36</v>
      </c>
      <c r="MJ1" s="24" t="s">
        <v>37</v>
      </c>
      <c r="MK1" s="24" t="s">
        <v>39</v>
      </c>
      <c r="ML1" s="24" t="s">
        <v>40</v>
      </c>
      <c r="MM1" s="24" t="s">
        <v>43</v>
      </c>
      <c r="MO1" s="24" t="s">
        <v>42</v>
      </c>
      <c r="MP1" s="24" t="s">
        <v>35</v>
      </c>
      <c r="MQ1" s="24" t="s">
        <v>36</v>
      </c>
      <c r="MR1" s="24" t="s">
        <v>37</v>
      </c>
      <c r="MS1" s="24" t="s">
        <v>39</v>
      </c>
      <c r="MT1" s="24" t="s">
        <v>40</v>
      </c>
      <c r="MU1" s="24" t="s">
        <v>43</v>
      </c>
      <c r="MW1" s="24" t="s">
        <v>42</v>
      </c>
      <c r="MX1" s="24" t="s">
        <v>35</v>
      </c>
      <c r="MY1" s="24" t="s">
        <v>36</v>
      </c>
      <c r="MZ1" s="24" t="s">
        <v>37</v>
      </c>
      <c r="NA1" s="24" t="s">
        <v>39</v>
      </c>
      <c r="NB1" s="24" t="s">
        <v>40</v>
      </c>
      <c r="NC1" s="24" t="s">
        <v>43</v>
      </c>
      <c r="NE1" s="24" t="s">
        <v>42</v>
      </c>
      <c r="NF1" s="24" t="s">
        <v>35</v>
      </c>
      <c r="NG1" s="24" t="s">
        <v>36</v>
      </c>
      <c r="NH1" s="24" t="s">
        <v>37</v>
      </c>
      <c r="NI1" s="24" t="s">
        <v>39</v>
      </c>
      <c r="NJ1" s="24" t="s">
        <v>40</v>
      </c>
      <c r="NK1" s="24" t="s">
        <v>43</v>
      </c>
      <c r="NM1" s="24" t="s">
        <v>42</v>
      </c>
      <c r="NN1" s="24" t="s">
        <v>35</v>
      </c>
      <c r="NO1" s="24" t="s">
        <v>36</v>
      </c>
      <c r="NP1" s="24" t="s">
        <v>37</v>
      </c>
      <c r="NQ1" s="24" t="s">
        <v>39</v>
      </c>
      <c r="NR1" s="24" t="s">
        <v>40</v>
      </c>
      <c r="NS1" s="24" t="s">
        <v>43</v>
      </c>
      <c r="NU1" s="24" t="s">
        <v>42</v>
      </c>
      <c r="NV1" s="24" t="s">
        <v>35</v>
      </c>
      <c r="NW1" s="24" t="s">
        <v>36</v>
      </c>
      <c r="NX1" s="24" t="s">
        <v>37</v>
      </c>
      <c r="NY1" s="24" t="s">
        <v>39</v>
      </c>
      <c r="NZ1" s="24" t="s">
        <v>40</v>
      </c>
      <c r="OA1" s="24" t="s">
        <v>43</v>
      </c>
      <c r="OC1" s="24" t="s">
        <v>42</v>
      </c>
      <c r="OD1" s="24" t="s">
        <v>35</v>
      </c>
      <c r="OE1" s="24" t="s">
        <v>36</v>
      </c>
      <c r="OF1" s="24" t="s">
        <v>37</v>
      </c>
      <c r="OG1" s="24" t="s">
        <v>39</v>
      </c>
      <c r="OH1" s="24" t="s">
        <v>40</v>
      </c>
      <c r="OI1" s="24" t="s">
        <v>43</v>
      </c>
      <c r="OK1" s="24" t="s">
        <v>42</v>
      </c>
      <c r="OL1" s="24" t="s">
        <v>35</v>
      </c>
      <c r="OM1" s="24" t="s">
        <v>36</v>
      </c>
      <c r="ON1" s="24" t="s">
        <v>37</v>
      </c>
      <c r="OO1" s="24" t="s">
        <v>39</v>
      </c>
      <c r="OP1" s="24" t="s">
        <v>40</v>
      </c>
      <c r="OQ1" s="24" t="s">
        <v>43</v>
      </c>
      <c r="OS1" s="24" t="s">
        <v>42</v>
      </c>
      <c r="OT1" s="24" t="s">
        <v>35</v>
      </c>
      <c r="OU1" s="24" t="s">
        <v>36</v>
      </c>
      <c r="OV1" s="24" t="s">
        <v>37</v>
      </c>
      <c r="OW1" s="24" t="s">
        <v>39</v>
      </c>
      <c r="OX1" s="24" t="s">
        <v>40</v>
      </c>
      <c r="OY1" s="24" t="s">
        <v>43</v>
      </c>
      <c r="PA1" s="24" t="s">
        <v>42</v>
      </c>
      <c r="PB1" s="24" t="s">
        <v>35</v>
      </c>
      <c r="PC1" s="24" t="s">
        <v>36</v>
      </c>
      <c r="PD1" s="24" t="s">
        <v>37</v>
      </c>
      <c r="PE1" s="24" t="s">
        <v>39</v>
      </c>
      <c r="PF1" s="24" t="s">
        <v>40</v>
      </c>
      <c r="PG1" s="24" t="s">
        <v>43</v>
      </c>
      <c r="PI1" s="24" t="s">
        <v>42</v>
      </c>
      <c r="PJ1" s="24" t="s">
        <v>35</v>
      </c>
      <c r="PK1" s="24" t="s">
        <v>36</v>
      </c>
      <c r="PL1" s="24" t="s">
        <v>37</v>
      </c>
      <c r="PM1" s="24" t="s">
        <v>39</v>
      </c>
      <c r="PN1" s="24" t="s">
        <v>40</v>
      </c>
      <c r="PO1" s="24" t="s">
        <v>43</v>
      </c>
      <c r="PQ1" s="24" t="s">
        <v>42</v>
      </c>
      <c r="PR1" s="24" t="s">
        <v>35</v>
      </c>
      <c r="PS1" s="24" t="s">
        <v>36</v>
      </c>
      <c r="PT1" s="24" t="s">
        <v>37</v>
      </c>
      <c r="PU1" s="24" t="s">
        <v>39</v>
      </c>
      <c r="PV1" s="24" t="s">
        <v>40</v>
      </c>
      <c r="PW1" s="24" t="s">
        <v>43</v>
      </c>
      <c r="PY1" s="24" t="s">
        <v>42</v>
      </c>
      <c r="PZ1" s="24" t="s">
        <v>35</v>
      </c>
      <c r="QA1" s="24" t="s">
        <v>36</v>
      </c>
      <c r="QB1" s="24" t="s">
        <v>37</v>
      </c>
      <c r="QC1" s="24" t="s">
        <v>39</v>
      </c>
      <c r="QD1" s="24" t="s">
        <v>40</v>
      </c>
      <c r="QE1" s="24" t="s">
        <v>43</v>
      </c>
    </row>
    <row r="2" spans="1:447 16377:16381" x14ac:dyDescent="0.45">
      <c r="A2">
        <v>2019</v>
      </c>
      <c r="B2">
        <v>7.6223761076818732</v>
      </c>
      <c r="C2">
        <v>4.6399999999999997</v>
      </c>
      <c r="D2">
        <v>10.64</v>
      </c>
      <c r="E2">
        <v>12.134092700177552</v>
      </c>
      <c r="F2">
        <v>1259.02</v>
      </c>
      <c r="G2" s="1">
        <v>0</v>
      </c>
      <c r="H2" s="1"/>
      <c r="I2">
        <v>2019</v>
      </c>
      <c r="J2">
        <v>7.6223761076818732</v>
      </c>
      <c r="K2">
        <v>4.6399999999999997</v>
      </c>
      <c r="L2">
        <v>10.64</v>
      </c>
      <c r="M2">
        <v>12.134092700177552</v>
      </c>
      <c r="N2">
        <v>1259.02</v>
      </c>
      <c r="O2">
        <v>0</v>
      </c>
      <c r="Q2">
        <v>2019</v>
      </c>
      <c r="R2">
        <v>7.6223761076818732</v>
      </c>
      <c r="S2">
        <v>4.6399999999999997</v>
      </c>
      <c r="T2">
        <v>10.64</v>
      </c>
      <c r="U2">
        <v>12.134092700177552</v>
      </c>
      <c r="V2">
        <v>1259.02</v>
      </c>
      <c r="W2">
        <v>5.5775284337631188E-2</v>
      </c>
      <c r="Y2">
        <v>2019</v>
      </c>
      <c r="Z2">
        <v>7.6223761076818732</v>
      </c>
      <c r="AA2">
        <v>4.6399999999999997</v>
      </c>
      <c r="AB2">
        <v>10.64</v>
      </c>
      <c r="AC2">
        <v>12.134092700177552</v>
      </c>
      <c r="AD2">
        <v>1259.02</v>
      </c>
      <c r="AE2">
        <v>0.28420826543692868</v>
      </c>
      <c r="AG2">
        <v>2019</v>
      </c>
      <c r="AH2">
        <v>7.6223761076818732</v>
      </c>
      <c r="AI2">
        <v>4.6399999999999997</v>
      </c>
      <c r="AJ2">
        <v>10.64</v>
      </c>
      <c r="AK2">
        <v>12.134092700177552</v>
      </c>
      <c r="AL2">
        <v>1259.02</v>
      </c>
      <c r="AM2">
        <v>2.304297112104714E-2</v>
      </c>
      <c r="AO2">
        <v>2019</v>
      </c>
      <c r="AP2">
        <v>7.6223761076818732</v>
      </c>
      <c r="AQ2">
        <v>4.6399999999999997</v>
      </c>
      <c r="AR2">
        <v>10.64</v>
      </c>
      <c r="AS2">
        <v>12.134092700177552</v>
      </c>
      <c r="AT2">
        <v>1259.02</v>
      </c>
      <c r="AU2">
        <v>1.1807773519184939E-2</v>
      </c>
      <c r="AW2">
        <v>2019</v>
      </c>
      <c r="AX2">
        <v>7.6223761076818732</v>
      </c>
      <c r="AY2">
        <v>4.6399999999999997</v>
      </c>
      <c r="AZ2">
        <v>10.64</v>
      </c>
      <c r="BA2">
        <v>12.134092700177552</v>
      </c>
      <c r="BB2">
        <v>1259.02</v>
      </c>
      <c r="BC2">
        <v>0</v>
      </c>
      <c r="BE2">
        <v>2019</v>
      </c>
      <c r="BF2">
        <v>7.6223761076818732</v>
      </c>
      <c r="BG2">
        <v>4.6399999999999997</v>
      </c>
      <c r="BH2">
        <v>10.64</v>
      </c>
      <c r="BI2">
        <v>12.134092700177552</v>
      </c>
      <c r="BJ2">
        <v>1259.02</v>
      </c>
      <c r="BK2">
        <v>0</v>
      </c>
      <c r="BM2">
        <v>2019</v>
      </c>
      <c r="BN2">
        <v>7.6223761076818732</v>
      </c>
      <c r="BO2">
        <v>4.6399999999999997</v>
      </c>
      <c r="BP2">
        <v>10.64</v>
      </c>
      <c r="BQ2">
        <v>12.134092700177552</v>
      </c>
      <c r="BR2">
        <v>1259.02</v>
      </c>
      <c r="BS2">
        <v>1.5021941619212604E-2</v>
      </c>
      <c r="BU2">
        <v>2019</v>
      </c>
      <c r="BV2">
        <v>7.6223761076818732</v>
      </c>
      <c r="BW2">
        <v>4.6399999999999997</v>
      </c>
      <c r="BX2">
        <v>10.64</v>
      </c>
      <c r="BY2">
        <v>12.134092700177552</v>
      </c>
      <c r="BZ2">
        <v>1259.02</v>
      </c>
      <c r="CA2">
        <v>8.2035743495987731E-2</v>
      </c>
      <c r="CC2">
        <v>2019</v>
      </c>
      <c r="CD2">
        <v>7.6223761076818732</v>
      </c>
      <c r="CE2">
        <v>4.6399999999999997</v>
      </c>
      <c r="CF2">
        <v>10.64</v>
      </c>
      <c r="CG2">
        <v>12.134092700177552</v>
      </c>
      <c r="CH2">
        <v>1259.02</v>
      </c>
      <c r="CI2">
        <v>4.9309727776318861E-2</v>
      </c>
      <c r="CK2">
        <v>2019</v>
      </c>
      <c r="CL2">
        <v>7.6223761076818732</v>
      </c>
      <c r="CM2">
        <v>4.6399999999999997</v>
      </c>
      <c r="CN2">
        <v>10.64</v>
      </c>
      <c r="CO2">
        <v>12.134092700177552</v>
      </c>
      <c r="CP2">
        <v>1259.02</v>
      </c>
      <c r="CQ2">
        <v>0</v>
      </c>
      <c r="CS2">
        <v>2019</v>
      </c>
      <c r="CT2">
        <v>7.6223761076818732</v>
      </c>
      <c r="CU2">
        <v>4.6399999999999997</v>
      </c>
      <c r="CV2">
        <v>10.64</v>
      </c>
      <c r="CW2">
        <v>12.134092700177552</v>
      </c>
      <c r="CX2">
        <v>1259.02</v>
      </c>
      <c r="CY2">
        <v>4.787499419544549E-2</v>
      </c>
      <c r="DA2">
        <v>2019</v>
      </c>
      <c r="DB2">
        <v>7.6223761076818732</v>
      </c>
      <c r="DC2">
        <v>4.6399999999999997</v>
      </c>
      <c r="DD2">
        <v>10.64</v>
      </c>
      <c r="DE2">
        <v>12.134092700177552</v>
      </c>
      <c r="DF2">
        <v>1259.02</v>
      </c>
      <c r="DG2">
        <v>0.15042161813205565</v>
      </c>
      <c r="DI2">
        <v>2019</v>
      </c>
      <c r="DJ2">
        <v>7.6223761076818732</v>
      </c>
      <c r="DK2">
        <v>4.6399999999999997</v>
      </c>
      <c r="DL2">
        <v>10.64</v>
      </c>
      <c r="DM2">
        <v>12.134092700177552</v>
      </c>
      <c r="DN2">
        <v>1259.02</v>
      </c>
      <c r="DO2">
        <v>0</v>
      </c>
      <c r="DQ2">
        <v>2019</v>
      </c>
      <c r="DR2">
        <v>7.6223761076818732</v>
      </c>
      <c r="DS2">
        <v>4.6399999999999997</v>
      </c>
      <c r="DT2">
        <v>10.64</v>
      </c>
      <c r="DU2">
        <v>12.134092700177552</v>
      </c>
      <c r="DV2">
        <v>1259.02</v>
      </c>
      <c r="DW2">
        <v>0</v>
      </c>
      <c r="DY2">
        <v>2019</v>
      </c>
      <c r="DZ2">
        <v>7.6223761076818732</v>
      </c>
      <c r="EA2">
        <v>4.6399999999999997</v>
      </c>
      <c r="EB2">
        <v>10.64</v>
      </c>
      <c r="EC2">
        <v>12.134092700177552</v>
      </c>
      <c r="ED2">
        <v>1259.02</v>
      </c>
      <c r="EE2">
        <v>0.18678504939702459</v>
      </c>
      <c r="EG2">
        <v>2019</v>
      </c>
      <c r="EH2">
        <v>7.6223761076818732</v>
      </c>
      <c r="EI2">
        <v>4.6399999999999997</v>
      </c>
      <c r="EJ2">
        <v>10.64</v>
      </c>
      <c r="EK2">
        <v>12.134092700177552</v>
      </c>
      <c r="EL2">
        <v>1259.02</v>
      </c>
      <c r="EM2">
        <v>0.31447423074424308</v>
      </c>
      <c r="EO2">
        <v>2019</v>
      </c>
      <c r="EP2">
        <v>7.6223761076818732</v>
      </c>
      <c r="EQ2">
        <v>4.6399999999999997</v>
      </c>
      <c r="ER2">
        <v>10.64</v>
      </c>
      <c r="ES2">
        <v>12.134092700177552</v>
      </c>
      <c r="ET2">
        <v>1259.02</v>
      </c>
      <c r="EU2">
        <v>6.8734176962897131E-2</v>
      </c>
      <c r="EW2">
        <v>2019</v>
      </c>
      <c r="EX2">
        <v>7.6223761076818732</v>
      </c>
      <c r="EY2">
        <v>4.6399999999999997</v>
      </c>
      <c r="EZ2">
        <v>10.64</v>
      </c>
      <c r="FA2">
        <v>12.134092700177552</v>
      </c>
      <c r="FB2">
        <v>1259.02</v>
      </c>
      <c r="FC2">
        <v>0.22102807594396157</v>
      </c>
      <c r="FE2">
        <v>2019</v>
      </c>
      <c r="FF2">
        <v>7.6223761076818732</v>
      </c>
      <c r="FG2">
        <v>4.6399999999999997</v>
      </c>
      <c r="FH2">
        <v>10.64</v>
      </c>
      <c r="FI2">
        <v>12.134092700177552</v>
      </c>
      <c r="FJ2">
        <v>1259.02</v>
      </c>
      <c r="FK2">
        <v>0</v>
      </c>
      <c r="FM2">
        <v>2019</v>
      </c>
      <c r="FN2">
        <v>7.6223761076818732</v>
      </c>
      <c r="FO2">
        <v>4.6399999999999997</v>
      </c>
      <c r="FP2">
        <v>10.64</v>
      </c>
      <c r="FQ2">
        <v>12.134092700177552</v>
      </c>
      <c r="FR2">
        <v>1259.02</v>
      </c>
      <c r="FS2">
        <v>0</v>
      </c>
      <c r="FU2">
        <v>2019</v>
      </c>
      <c r="FV2">
        <v>7.6223761076818732</v>
      </c>
      <c r="FW2">
        <v>4.6399999999999997</v>
      </c>
      <c r="FX2">
        <v>10.64</v>
      </c>
      <c r="FY2">
        <v>12.134092700177552</v>
      </c>
      <c r="FZ2">
        <v>1259.02</v>
      </c>
      <c r="GA2">
        <v>0</v>
      </c>
      <c r="GC2">
        <v>2019</v>
      </c>
      <c r="GD2">
        <v>7.6223761076818732</v>
      </c>
      <c r="GE2">
        <v>4.6399999999999997</v>
      </c>
      <c r="GF2">
        <v>10.64</v>
      </c>
      <c r="GG2">
        <v>12.134092700177552</v>
      </c>
      <c r="GH2">
        <v>1259.02</v>
      </c>
      <c r="GI2">
        <v>0</v>
      </c>
      <c r="GK2">
        <v>2019</v>
      </c>
      <c r="GL2">
        <v>7.6223761076818732</v>
      </c>
      <c r="GM2">
        <v>4.6399999999999997</v>
      </c>
      <c r="GN2">
        <v>10.64</v>
      </c>
      <c r="GO2">
        <v>12.134092700177552</v>
      </c>
      <c r="GP2">
        <v>1259.02</v>
      </c>
      <c r="GQ2">
        <v>0</v>
      </c>
      <c r="GS2">
        <v>2019</v>
      </c>
      <c r="GT2">
        <v>7.6223761076818732</v>
      </c>
      <c r="GU2">
        <v>4.6399999999999997</v>
      </c>
      <c r="GV2">
        <v>10.64</v>
      </c>
      <c r="GW2">
        <v>12.134092700177552</v>
      </c>
      <c r="GX2">
        <v>1259.02</v>
      </c>
      <c r="GY2">
        <v>0</v>
      </c>
      <c r="HA2">
        <v>2019</v>
      </c>
      <c r="HB2">
        <v>7.6223761076818732</v>
      </c>
      <c r="HC2">
        <v>4.6399999999999997</v>
      </c>
      <c r="HD2">
        <v>10.64</v>
      </c>
      <c r="HE2">
        <v>12.134092700177552</v>
      </c>
      <c r="HF2">
        <v>1259.02</v>
      </c>
      <c r="HG2">
        <v>0</v>
      </c>
      <c r="HI2">
        <v>2019</v>
      </c>
      <c r="HJ2">
        <v>7.6223761076818732</v>
      </c>
      <c r="HK2">
        <v>4.6399999999999997</v>
      </c>
      <c r="HL2">
        <v>10.64</v>
      </c>
      <c r="HM2">
        <v>12.134092700177552</v>
      </c>
      <c r="HN2">
        <v>1259.02</v>
      </c>
      <c r="HO2">
        <v>0</v>
      </c>
      <c r="HQ2">
        <v>2019</v>
      </c>
      <c r="HR2">
        <v>7.6223761076818732</v>
      </c>
      <c r="HS2">
        <v>4.6399999999999997</v>
      </c>
      <c r="HT2">
        <v>10.64</v>
      </c>
      <c r="HU2">
        <v>12.134092700177552</v>
      </c>
      <c r="HV2">
        <v>1259.02</v>
      </c>
      <c r="HW2">
        <v>0</v>
      </c>
      <c r="HY2">
        <v>2019</v>
      </c>
      <c r="HZ2">
        <v>7.6223761076818732</v>
      </c>
      <c r="IA2">
        <v>4.6399999999999997</v>
      </c>
      <c r="IB2">
        <v>10.64</v>
      </c>
      <c r="IC2">
        <v>12.134092700177552</v>
      </c>
      <c r="ID2">
        <v>1259.02</v>
      </c>
      <c r="IE2">
        <v>0</v>
      </c>
      <c r="IG2">
        <v>2019</v>
      </c>
      <c r="IH2">
        <v>7.6223761076818732</v>
      </c>
      <c r="II2">
        <v>4.6399999999999997</v>
      </c>
      <c r="IJ2">
        <v>10.64</v>
      </c>
      <c r="IK2">
        <v>12.134092700177552</v>
      </c>
      <c r="IL2">
        <v>1259.02</v>
      </c>
      <c r="IM2">
        <v>0</v>
      </c>
      <c r="IO2">
        <v>2019</v>
      </c>
      <c r="IP2">
        <v>7.6223761076818732</v>
      </c>
      <c r="IQ2">
        <v>4.6399999999999997</v>
      </c>
      <c r="IR2">
        <v>10.64</v>
      </c>
      <c r="IS2">
        <v>12.134092700177552</v>
      </c>
      <c r="IT2">
        <v>1259.02</v>
      </c>
      <c r="IU2">
        <v>0</v>
      </c>
      <c r="IW2">
        <v>2019</v>
      </c>
      <c r="IX2">
        <v>7.6223761076818732</v>
      </c>
      <c r="IY2">
        <v>4.6399999999999997</v>
      </c>
      <c r="IZ2">
        <v>10.64</v>
      </c>
      <c r="JA2">
        <v>12.134092700177552</v>
      </c>
      <c r="JB2">
        <v>1259.02</v>
      </c>
      <c r="JC2">
        <v>0</v>
      </c>
      <c r="JE2">
        <v>2019</v>
      </c>
      <c r="JF2">
        <v>7.6223761076818732</v>
      </c>
      <c r="JG2">
        <v>4.6399999999999997</v>
      </c>
      <c r="JH2">
        <v>10.64</v>
      </c>
      <c r="JI2">
        <v>12.134092700177552</v>
      </c>
      <c r="JJ2">
        <v>1259.02</v>
      </c>
      <c r="JK2">
        <v>0</v>
      </c>
      <c r="JM2">
        <v>2019</v>
      </c>
      <c r="JN2">
        <v>7.6223761076818732</v>
      </c>
      <c r="JO2">
        <v>4.6399999999999997</v>
      </c>
      <c r="JP2">
        <v>10.64</v>
      </c>
      <c r="JQ2">
        <v>12.134092700177552</v>
      </c>
      <c r="JR2">
        <v>1259.02</v>
      </c>
      <c r="JS2">
        <v>0</v>
      </c>
      <c r="JU2">
        <v>2019</v>
      </c>
      <c r="JV2">
        <v>7.6223761076818732</v>
      </c>
      <c r="JW2">
        <v>4.6399999999999997</v>
      </c>
      <c r="JX2">
        <v>10.64</v>
      </c>
      <c r="JY2">
        <v>12.134092700177552</v>
      </c>
      <c r="JZ2">
        <v>1259.02</v>
      </c>
      <c r="KA2">
        <v>0</v>
      </c>
      <c r="KC2">
        <v>2019</v>
      </c>
      <c r="KD2">
        <v>7.6223761076818732</v>
      </c>
      <c r="KE2">
        <v>4.6399999999999997</v>
      </c>
      <c r="KF2">
        <v>10.64</v>
      </c>
      <c r="KG2">
        <v>12.134092700177552</v>
      </c>
      <c r="KH2">
        <v>1259.02</v>
      </c>
      <c r="KI2">
        <v>5.3840010414532201E-2</v>
      </c>
      <c r="KK2">
        <v>2019</v>
      </c>
      <c r="KL2">
        <v>7.6223761076818732</v>
      </c>
      <c r="KM2">
        <v>4.6399999999999997</v>
      </c>
      <c r="KN2">
        <v>10.64</v>
      </c>
      <c r="KO2">
        <v>12.134092700177552</v>
      </c>
      <c r="KP2">
        <v>1259.02</v>
      </c>
      <c r="KQ2">
        <v>6.70136608004996E-2</v>
      </c>
      <c r="KS2">
        <v>2019</v>
      </c>
      <c r="KT2">
        <v>7.6223761076818732</v>
      </c>
      <c r="KU2">
        <v>4.6399999999999997</v>
      </c>
      <c r="KV2">
        <v>10.64</v>
      </c>
      <c r="KW2">
        <v>12.134092700177552</v>
      </c>
      <c r="KX2">
        <v>1259.02</v>
      </c>
      <c r="KY2">
        <v>0</v>
      </c>
      <c r="LA2">
        <v>2019</v>
      </c>
      <c r="LB2">
        <v>7.6223761076818732</v>
      </c>
      <c r="LC2">
        <v>4.6399999999999997</v>
      </c>
      <c r="LD2">
        <v>10.64</v>
      </c>
      <c r="LE2">
        <v>12.134092700177552</v>
      </c>
      <c r="LF2">
        <v>1259.02</v>
      </c>
      <c r="LG2">
        <v>0</v>
      </c>
      <c r="LI2">
        <v>2019</v>
      </c>
      <c r="LJ2">
        <v>7.6223761076818732</v>
      </c>
      <c r="LK2">
        <v>4.6399999999999997</v>
      </c>
      <c r="LL2">
        <v>10.64</v>
      </c>
      <c r="LM2">
        <v>12.134092700177552</v>
      </c>
      <c r="LN2">
        <v>1259.02</v>
      </c>
      <c r="LO2">
        <v>2.5386848493703274E-3</v>
      </c>
      <c r="LQ2">
        <v>2019</v>
      </c>
      <c r="LR2">
        <v>7.6223761076818732</v>
      </c>
      <c r="LS2">
        <v>4.6399999999999997</v>
      </c>
      <c r="LT2">
        <v>10.64</v>
      </c>
      <c r="LU2">
        <v>12.134092700177552</v>
      </c>
      <c r="LV2">
        <v>1259.02</v>
      </c>
      <c r="LW2">
        <v>2.1918734659204745E-3</v>
      </c>
      <c r="LY2">
        <v>2019</v>
      </c>
      <c r="LZ2">
        <v>7.6223761076818732</v>
      </c>
      <c r="MA2">
        <v>4.6399999999999997</v>
      </c>
      <c r="MB2">
        <v>10.64</v>
      </c>
      <c r="MC2">
        <v>12.134092700177552</v>
      </c>
      <c r="MD2">
        <v>1259.02</v>
      </c>
      <c r="ME2">
        <v>3.6477118096634724E-2</v>
      </c>
      <c r="MG2">
        <v>2019</v>
      </c>
      <c r="MH2">
        <v>7.6223761076818732</v>
      </c>
      <c r="MI2">
        <v>4.6399999999999997</v>
      </c>
      <c r="MJ2">
        <v>10.64</v>
      </c>
      <c r="MK2">
        <v>12.134092700177552</v>
      </c>
      <c r="ML2">
        <v>1259.02</v>
      </c>
      <c r="MM2">
        <v>0.32119980488436273</v>
      </c>
      <c r="MO2">
        <v>2019</v>
      </c>
      <c r="MP2">
        <v>7.6223761076818732</v>
      </c>
      <c r="MQ2">
        <v>4.6399999999999997</v>
      </c>
      <c r="MR2">
        <v>10.64</v>
      </c>
      <c r="MS2">
        <v>12.134092700177552</v>
      </c>
      <c r="MT2">
        <v>1259.02</v>
      </c>
      <c r="MU2">
        <v>0</v>
      </c>
      <c r="MW2">
        <v>2019</v>
      </c>
      <c r="MX2">
        <v>7.6223761076818732</v>
      </c>
      <c r="MY2">
        <v>4.6399999999999997</v>
      </c>
      <c r="MZ2">
        <v>10.64</v>
      </c>
      <c r="NA2">
        <v>12.134092700177552</v>
      </c>
      <c r="NB2">
        <v>1259.02</v>
      </c>
      <c r="NC2">
        <v>0</v>
      </c>
      <c r="NE2">
        <v>2019</v>
      </c>
      <c r="NF2">
        <v>7.6223761076818732</v>
      </c>
      <c r="NG2">
        <v>4.6399999999999997</v>
      </c>
      <c r="NH2">
        <v>10.64</v>
      </c>
      <c r="NI2">
        <v>12.134092700177552</v>
      </c>
      <c r="NJ2">
        <v>1259.02</v>
      </c>
      <c r="NK2">
        <v>0</v>
      </c>
      <c r="NM2">
        <v>2019</v>
      </c>
      <c r="NN2">
        <v>7.6223761076818732</v>
      </c>
      <c r="NO2">
        <v>4.6399999999999997</v>
      </c>
      <c r="NP2">
        <v>10.64</v>
      </c>
      <c r="NQ2">
        <v>12.134092700177552</v>
      </c>
      <c r="NR2">
        <v>1259.02</v>
      </c>
      <c r="NS2">
        <v>0.33333333333333331</v>
      </c>
      <c r="NU2">
        <v>2019</v>
      </c>
      <c r="NV2">
        <v>7.6223761076818732</v>
      </c>
      <c r="NW2">
        <v>4.6399999999999997</v>
      </c>
      <c r="NX2">
        <v>10.64</v>
      </c>
      <c r="NY2">
        <v>12.134092700177552</v>
      </c>
      <c r="NZ2">
        <v>1259.02</v>
      </c>
      <c r="OA2">
        <v>3.9929230590671279E-2</v>
      </c>
      <c r="OC2">
        <v>2019</v>
      </c>
      <c r="OD2">
        <v>7.6223761076818732</v>
      </c>
      <c r="OE2">
        <v>4.6399999999999997</v>
      </c>
      <c r="OF2">
        <v>10.64</v>
      </c>
      <c r="OG2">
        <v>12.134092700177552</v>
      </c>
      <c r="OH2">
        <v>1259.02</v>
      </c>
      <c r="OI2">
        <v>8.1199949528312873E-2</v>
      </c>
      <c r="OK2">
        <v>2019</v>
      </c>
      <c r="OL2">
        <v>7.6223761076818732</v>
      </c>
      <c r="OM2">
        <v>4.6399999999999997</v>
      </c>
      <c r="ON2">
        <v>10.64</v>
      </c>
      <c r="OO2">
        <v>12.134092700177552</v>
      </c>
      <c r="OP2">
        <v>1259.02</v>
      </c>
      <c r="OQ2">
        <v>0</v>
      </c>
      <c r="OS2">
        <v>2019</v>
      </c>
      <c r="OT2">
        <v>7.6223761076818732</v>
      </c>
      <c r="OU2">
        <v>4.6399999999999997</v>
      </c>
      <c r="OV2">
        <v>10.64</v>
      </c>
      <c r="OW2">
        <v>12.134092700177552</v>
      </c>
      <c r="OX2">
        <v>1259.02</v>
      </c>
      <c r="OY2">
        <v>0</v>
      </c>
      <c r="PA2">
        <v>2019</v>
      </c>
      <c r="PB2">
        <v>7.6223761076818732</v>
      </c>
      <c r="PC2">
        <v>4.6399999999999997</v>
      </c>
      <c r="PD2">
        <v>10.64</v>
      </c>
      <c r="PE2">
        <v>12.134092700177552</v>
      </c>
      <c r="PF2">
        <v>1259.02</v>
      </c>
      <c r="PG2">
        <v>0</v>
      </c>
      <c r="PI2">
        <v>2019</v>
      </c>
      <c r="PJ2">
        <v>7.6223761076818732</v>
      </c>
      <c r="PK2">
        <v>4.6399999999999997</v>
      </c>
      <c r="PL2">
        <v>10.64</v>
      </c>
      <c r="PM2">
        <v>12.134092700177552</v>
      </c>
      <c r="PN2">
        <v>1259.02</v>
      </c>
      <c r="PO2">
        <v>0</v>
      </c>
      <c r="PQ2">
        <v>2019</v>
      </c>
      <c r="PR2">
        <v>7.6223761076818732</v>
      </c>
      <c r="PS2">
        <v>4.6399999999999997</v>
      </c>
      <c r="PT2">
        <v>10.64</v>
      </c>
      <c r="PU2">
        <v>12.134092700177552</v>
      </c>
      <c r="PV2">
        <v>1259.02</v>
      </c>
      <c r="PW2">
        <v>6.9851796247773601E-2</v>
      </c>
      <c r="PY2">
        <v>2019</v>
      </c>
      <c r="PZ2">
        <v>7.6223761076818732</v>
      </c>
      <c r="QA2">
        <v>4.6399999999999997</v>
      </c>
      <c r="QB2">
        <v>10.64</v>
      </c>
      <c r="QC2">
        <v>12.134092700177552</v>
      </c>
      <c r="QD2">
        <v>1259.02</v>
      </c>
      <c r="QE2" s="1">
        <v>0.11949318322786014</v>
      </c>
      <c r="XEW2" s="25"/>
      <c r="XEX2" s="25"/>
      <c r="XEY2" s="25"/>
      <c r="XEZ2" s="25"/>
      <c r="XFA2" s="25"/>
    </row>
    <row r="3" spans="1:447 16377:16381" x14ac:dyDescent="0.45">
      <c r="A3">
        <v>2020</v>
      </c>
      <c r="B3">
        <v>6.6570554280283449</v>
      </c>
      <c r="C3">
        <v>6.15</v>
      </c>
      <c r="D3">
        <v>13.119</v>
      </c>
      <c r="E3">
        <v>10.109165203675886</v>
      </c>
      <c r="F3">
        <v>1362.35</v>
      </c>
      <c r="G3" s="1">
        <v>0</v>
      </c>
      <c r="H3" s="1"/>
      <c r="I3">
        <v>2020</v>
      </c>
      <c r="J3">
        <v>6.6570554280283449</v>
      </c>
      <c r="K3">
        <v>6.15</v>
      </c>
      <c r="L3">
        <v>13.119</v>
      </c>
      <c r="M3">
        <v>10.109165203675886</v>
      </c>
      <c r="N3">
        <v>1362.35</v>
      </c>
      <c r="O3">
        <v>0</v>
      </c>
      <c r="Q3">
        <v>2020</v>
      </c>
      <c r="R3">
        <v>6.6570554280283449</v>
      </c>
      <c r="S3">
        <v>6.15</v>
      </c>
      <c r="T3">
        <v>13.119</v>
      </c>
      <c r="U3">
        <v>10.109165203675886</v>
      </c>
      <c r="V3">
        <v>1362.35</v>
      </c>
      <c r="W3">
        <v>0.14451416407392118</v>
      </c>
      <c r="Y3">
        <v>2020</v>
      </c>
      <c r="Z3">
        <v>6.6570554280283449</v>
      </c>
      <c r="AA3">
        <v>6.15</v>
      </c>
      <c r="AB3">
        <v>13.119</v>
      </c>
      <c r="AC3">
        <v>10.109165203675886</v>
      </c>
      <c r="AD3">
        <v>1362.35</v>
      </c>
      <c r="AE3">
        <v>0.19932377816913158</v>
      </c>
      <c r="AG3">
        <v>2020</v>
      </c>
      <c r="AH3">
        <v>6.6570554280283449</v>
      </c>
      <c r="AI3">
        <v>6.15</v>
      </c>
      <c r="AJ3">
        <v>13.119</v>
      </c>
      <c r="AK3">
        <v>10.109165203675886</v>
      </c>
      <c r="AL3">
        <v>1362.35</v>
      </c>
      <c r="AM3">
        <v>0.3878417016805934</v>
      </c>
      <c r="AO3">
        <v>2020</v>
      </c>
      <c r="AP3">
        <v>6.6570554280283449</v>
      </c>
      <c r="AQ3">
        <v>6.15</v>
      </c>
      <c r="AR3">
        <v>13.119</v>
      </c>
      <c r="AS3">
        <v>10.109165203675886</v>
      </c>
      <c r="AT3">
        <v>1362.35</v>
      </c>
      <c r="AU3">
        <v>0.5657577598473047</v>
      </c>
      <c r="AW3">
        <v>2020</v>
      </c>
      <c r="AX3">
        <v>6.6570554280283449</v>
      </c>
      <c r="AY3">
        <v>6.15</v>
      </c>
      <c r="AZ3">
        <v>13.119</v>
      </c>
      <c r="BA3">
        <v>10.109165203675886</v>
      </c>
      <c r="BB3">
        <v>1362.35</v>
      </c>
      <c r="BC3">
        <v>0</v>
      </c>
      <c r="BE3">
        <v>2020</v>
      </c>
      <c r="BF3">
        <v>6.6570554280283449</v>
      </c>
      <c r="BG3">
        <v>6.15</v>
      </c>
      <c r="BH3">
        <v>13.119</v>
      </c>
      <c r="BI3">
        <v>10.109165203675886</v>
      </c>
      <c r="BJ3">
        <v>1362.35</v>
      </c>
      <c r="BK3">
        <v>0</v>
      </c>
      <c r="BM3">
        <v>2020</v>
      </c>
      <c r="BN3">
        <v>6.6570554280283449</v>
      </c>
      <c r="BO3">
        <v>6.15</v>
      </c>
      <c r="BP3">
        <v>13.119</v>
      </c>
      <c r="BQ3">
        <v>10.109165203675886</v>
      </c>
      <c r="BR3">
        <v>1362.35</v>
      </c>
      <c r="BS3">
        <v>0.13292107132767988</v>
      </c>
      <c r="BU3">
        <v>2020</v>
      </c>
      <c r="BV3">
        <v>6.6570554280283449</v>
      </c>
      <c r="BW3">
        <v>6.15</v>
      </c>
      <c r="BX3">
        <v>13.119</v>
      </c>
      <c r="BY3">
        <v>10.109165203675886</v>
      </c>
      <c r="BZ3">
        <v>1362.35</v>
      </c>
      <c r="CA3">
        <v>0.26789421366755567</v>
      </c>
      <c r="CC3">
        <v>2020</v>
      </c>
      <c r="CD3">
        <v>6.6570554280283449</v>
      </c>
      <c r="CE3">
        <v>6.15</v>
      </c>
      <c r="CF3">
        <v>13.119</v>
      </c>
      <c r="CG3">
        <v>10.109165203675886</v>
      </c>
      <c r="CH3">
        <v>1362.35</v>
      </c>
      <c r="CI3">
        <v>0</v>
      </c>
      <c r="CK3">
        <v>2020</v>
      </c>
      <c r="CL3">
        <v>6.6570554280283449</v>
      </c>
      <c r="CM3">
        <v>6.15</v>
      </c>
      <c r="CN3">
        <v>13.119</v>
      </c>
      <c r="CO3">
        <v>10.109165203675886</v>
      </c>
      <c r="CP3">
        <v>1362.35</v>
      </c>
      <c r="CQ3">
        <v>0</v>
      </c>
      <c r="CS3">
        <v>2020</v>
      </c>
      <c r="CT3">
        <v>6.6570554280283449</v>
      </c>
      <c r="CU3">
        <v>6.15</v>
      </c>
      <c r="CV3">
        <v>13.119</v>
      </c>
      <c r="CW3">
        <v>10.109165203675886</v>
      </c>
      <c r="CX3">
        <v>1362.35</v>
      </c>
      <c r="CY3">
        <v>0.23284122121665513</v>
      </c>
      <c r="DA3">
        <v>2020</v>
      </c>
      <c r="DB3">
        <v>6.6570554280283449</v>
      </c>
      <c r="DC3">
        <v>6.15</v>
      </c>
      <c r="DD3">
        <v>13.119</v>
      </c>
      <c r="DE3">
        <v>10.109165203675886</v>
      </c>
      <c r="DF3">
        <v>1362.35</v>
      </c>
      <c r="DG3">
        <v>0.29601776701523341</v>
      </c>
      <c r="DI3">
        <v>2020</v>
      </c>
      <c r="DJ3">
        <v>6.6570554280283449</v>
      </c>
      <c r="DK3">
        <v>6.15</v>
      </c>
      <c r="DL3">
        <v>13.119</v>
      </c>
      <c r="DM3">
        <v>10.109165203675886</v>
      </c>
      <c r="DN3">
        <v>1362.35</v>
      </c>
      <c r="DO3">
        <v>0</v>
      </c>
      <c r="DQ3">
        <v>2020</v>
      </c>
      <c r="DR3">
        <v>6.6570554280283449</v>
      </c>
      <c r="DS3">
        <v>6.15</v>
      </c>
      <c r="DT3">
        <v>13.119</v>
      </c>
      <c r="DU3">
        <v>10.109165203675886</v>
      </c>
      <c r="DV3">
        <v>1362.35</v>
      </c>
      <c r="DW3">
        <v>0</v>
      </c>
      <c r="DY3">
        <v>2020</v>
      </c>
      <c r="DZ3">
        <v>6.6570554280283449</v>
      </c>
      <c r="EA3">
        <v>6.15</v>
      </c>
      <c r="EB3">
        <v>13.119</v>
      </c>
      <c r="EC3">
        <v>10.109165203675886</v>
      </c>
      <c r="ED3">
        <v>1362.35</v>
      </c>
      <c r="EE3">
        <v>0.39575425486085847</v>
      </c>
      <c r="EG3">
        <v>2020</v>
      </c>
      <c r="EH3">
        <v>6.6570554280283449</v>
      </c>
      <c r="EI3">
        <v>6.15</v>
      </c>
      <c r="EJ3">
        <v>13.119</v>
      </c>
      <c r="EK3">
        <v>10.109165203675886</v>
      </c>
      <c r="EL3">
        <v>1362.35</v>
      </c>
      <c r="EM3">
        <v>0.53412778161485375</v>
      </c>
      <c r="EO3">
        <v>2020</v>
      </c>
      <c r="EP3">
        <v>6.6570554280283449</v>
      </c>
      <c r="EQ3">
        <v>6.15</v>
      </c>
      <c r="ER3">
        <v>13.119</v>
      </c>
      <c r="ES3">
        <v>10.109165203675886</v>
      </c>
      <c r="ET3">
        <v>1362.35</v>
      </c>
      <c r="EU3">
        <v>0.20861299154065782</v>
      </c>
      <c r="EW3">
        <v>2020</v>
      </c>
      <c r="EX3">
        <v>6.6570554280283449</v>
      </c>
      <c r="EY3">
        <v>6.15</v>
      </c>
      <c r="EZ3">
        <v>13.119</v>
      </c>
      <c r="FA3">
        <v>10.109165203675886</v>
      </c>
      <c r="FB3">
        <v>1362.35</v>
      </c>
      <c r="FC3">
        <v>0.39633159927334727</v>
      </c>
      <c r="FE3">
        <v>2020</v>
      </c>
      <c r="FF3">
        <v>6.6570554280283449</v>
      </c>
      <c r="FG3">
        <v>6.15</v>
      </c>
      <c r="FH3">
        <v>13.119</v>
      </c>
      <c r="FI3">
        <v>10.109165203675886</v>
      </c>
      <c r="FJ3">
        <v>1362.35</v>
      </c>
      <c r="FK3">
        <v>0</v>
      </c>
      <c r="FM3">
        <v>2020</v>
      </c>
      <c r="FN3">
        <v>6.6570554280283449</v>
      </c>
      <c r="FO3">
        <v>6.15</v>
      </c>
      <c r="FP3">
        <v>13.119</v>
      </c>
      <c r="FQ3">
        <v>10.109165203675886</v>
      </c>
      <c r="FR3">
        <v>1362.35</v>
      </c>
      <c r="FS3">
        <v>0</v>
      </c>
      <c r="FU3">
        <v>2020</v>
      </c>
      <c r="FV3">
        <v>6.6570554280283449</v>
      </c>
      <c r="FW3">
        <v>6.15</v>
      </c>
      <c r="FX3">
        <v>13.119</v>
      </c>
      <c r="FY3">
        <v>10.109165203675886</v>
      </c>
      <c r="FZ3">
        <v>1362.35</v>
      </c>
      <c r="GA3">
        <v>0</v>
      </c>
      <c r="GC3">
        <v>2020</v>
      </c>
      <c r="GD3">
        <v>6.6570554280283449</v>
      </c>
      <c r="GE3">
        <v>6.15</v>
      </c>
      <c r="GF3">
        <v>13.119</v>
      </c>
      <c r="GG3">
        <v>10.109165203675886</v>
      </c>
      <c r="GH3">
        <v>1362.35</v>
      </c>
      <c r="GI3">
        <v>0</v>
      </c>
      <c r="GK3">
        <v>2020</v>
      </c>
      <c r="GL3">
        <v>6.6570554280283449</v>
      </c>
      <c r="GM3">
        <v>6.15</v>
      </c>
      <c r="GN3">
        <v>13.119</v>
      </c>
      <c r="GO3">
        <v>10.109165203675886</v>
      </c>
      <c r="GP3">
        <v>1362.35</v>
      </c>
      <c r="GQ3">
        <v>7.7831623817863849E-2</v>
      </c>
      <c r="GS3">
        <v>2020</v>
      </c>
      <c r="GT3">
        <v>6.6570554280283449</v>
      </c>
      <c r="GU3">
        <v>6.15</v>
      </c>
      <c r="GV3">
        <v>13.119</v>
      </c>
      <c r="GW3">
        <v>10.109165203675886</v>
      </c>
      <c r="GX3">
        <v>1362.35</v>
      </c>
      <c r="GY3">
        <v>0.25285730504724613</v>
      </c>
      <c r="HA3">
        <v>2020</v>
      </c>
      <c r="HB3">
        <v>6.6570554280283449</v>
      </c>
      <c r="HC3">
        <v>6.15</v>
      </c>
      <c r="HD3">
        <v>13.119</v>
      </c>
      <c r="HE3">
        <v>10.109165203675886</v>
      </c>
      <c r="HF3">
        <v>1362.35</v>
      </c>
      <c r="HG3">
        <v>0</v>
      </c>
      <c r="HI3">
        <v>2020</v>
      </c>
      <c r="HJ3">
        <v>6.6570554280283449</v>
      </c>
      <c r="HK3">
        <v>6.15</v>
      </c>
      <c r="HL3">
        <v>13.119</v>
      </c>
      <c r="HM3">
        <v>10.109165203675886</v>
      </c>
      <c r="HN3">
        <v>1362.35</v>
      </c>
      <c r="HO3">
        <v>0</v>
      </c>
      <c r="HQ3">
        <v>2020</v>
      </c>
      <c r="HR3">
        <v>6.6570554280283449</v>
      </c>
      <c r="HS3">
        <v>6.15</v>
      </c>
      <c r="HT3">
        <v>13.119</v>
      </c>
      <c r="HU3">
        <v>10.109165203675886</v>
      </c>
      <c r="HV3">
        <v>1362.35</v>
      </c>
      <c r="HW3">
        <v>0</v>
      </c>
      <c r="HY3">
        <v>2020</v>
      </c>
      <c r="HZ3">
        <v>6.6570554280283449</v>
      </c>
      <c r="IA3">
        <v>6.15</v>
      </c>
      <c r="IB3">
        <v>13.119</v>
      </c>
      <c r="IC3">
        <v>10.109165203675886</v>
      </c>
      <c r="ID3">
        <v>1362.35</v>
      </c>
      <c r="IE3">
        <v>0</v>
      </c>
      <c r="IG3">
        <v>2020</v>
      </c>
      <c r="IH3">
        <v>6.6570554280283449</v>
      </c>
      <c r="II3">
        <v>6.15</v>
      </c>
      <c r="IJ3">
        <v>13.119</v>
      </c>
      <c r="IK3">
        <v>10.109165203675886</v>
      </c>
      <c r="IL3">
        <v>1362.35</v>
      </c>
      <c r="IM3">
        <v>0</v>
      </c>
      <c r="IO3">
        <v>2020</v>
      </c>
      <c r="IP3">
        <v>6.6570554280283449</v>
      </c>
      <c r="IQ3">
        <v>6.15</v>
      </c>
      <c r="IR3">
        <v>13.119</v>
      </c>
      <c r="IS3">
        <v>10.109165203675886</v>
      </c>
      <c r="IT3">
        <v>1362.35</v>
      </c>
      <c r="IU3">
        <v>0</v>
      </c>
      <c r="IW3">
        <v>2020</v>
      </c>
      <c r="IX3">
        <v>6.6570554280283449</v>
      </c>
      <c r="IY3">
        <v>6.15</v>
      </c>
      <c r="IZ3">
        <v>13.119</v>
      </c>
      <c r="JA3">
        <v>10.109165203675886</v>
      </c>
      <c r="JB3">
        <v>1362.35</v>
      </c>
      <c r="JC3">
        <v>0</v>
      </c>
      <c r="JE3">
        <v>2020</v>
      </c>
      <c r="JF3">
        <v>6.6570554280283449</v>
      </c>
      <c r="JG3">
        <v>6.15</v>
      </c>
      <c r="JH3">
        <v>13.119</v>
      </c>
      <c r="JI3">
        <v>10.109165203675886</v>
      </c>
      <c r="JJ3">
        <v>1362.35</v>
      </c>
      <c r="JK3">
        <v>0</v>
      </c>
      <c r="JM3">
        <v>2020</v>
      </c>
      <c r="JN3">
        <v>6.6570554280283449</v>
      </c>
      <c r="JO3">
        <v>6.15</v>
      </c>
      <c r="JP3">
        <v>13.119</v>
      </c>
      <c r="JQ3">
        <v>10.109165203675886</v>
      </c>
      <c r="JR3">
        <v>1362.35</v>
      </c>
      <c r="JS3">
        <v>0</v>
      </c>
      <c r="JU3">
        <v>2020</v>
      </c>
      <c r="JV3">
        <v>6.6570554280283449</v>
      </c>
      <c r="JW3">
        <v>6.15</v>
      </c>
      <c r="JX3">
        <v>13.119</v>
      </c>
      <c r="JY3">
        <v>10.109165203675886</v>
      </c>
      <c r="JZ3">
        <v>1362.35</v>
      </c>
      <c r="KA3">
        <v>0</v>
      </c>
      <c r="KC3">
        <v>2020</v>
      </c>
      <c r="KD3">
        <v>6.6570554280283449</v>
      </c>
      <c r="KE3">
        <v>6.15</v>
      </c>
      <c r="KF3">
        <v>13.119</v>
      </c>
      <c r="KG3">
        <v>10.109165203675886</v>
      </c>
      <c r="KH3">
        <v>1362.35</v>
      </c>
      <c r="KI3">
        <v>0.13402171451810785</v>
      </c>
      <c r="KK3">
        <v>2020</v>
      </c>
      <c r="KL3">
        <v>6.6570554280283449</v>
      </c>
      <c r="KM3">
        <v>6.15</v>
      </c>
      <c r="KN3">
        <v>13.119</v>
      </c>
      <c r="KO3">
        <v>10.109165203675886</v>
      </c>
      <c r="KP3">
        <v>1362.35</v>
      </c>
      <c r="KQ3">
        <v>0.19109988985846119</v>
      </c>
      <c r="KS3">
        <v>2020</v>
      </c>
      <c r="KT3">
        <v>6.6570554280283449</v>
      </c>
      <c r="KU3">
        <v>6.15</v>
      </c>
      <c r="KV3">
        <v>13.119</v>
      </c>
      <c r="KW3">
        <v>10.109165203675886</v>
      </c>
      <c r="KX3">
        <v>1362.35</v>
      </c>
      <c r="KY3">
        <v>0</v>
      </c>
      <c r="LA3">
        <v>2020</v>
      </c>
      <c r="LB3">
        <v>6.6570554280283449</v>
      </c>
      <c r="LC3">
        <v>6.15</v>
      </c>
      <c r="LD3">
        <v>13.119</v>
      </c>
      <c r="LE3">
        <v>10.109165203675886</v>
      </c>
      <c r="LF3">
        <v>1362.35</v>
      </c>
      <c r="LG3">
        <v>0</v>
      </c>
      <c r="LI3">
        <v>2020</v>
      </c>
      <c r="LJ3">
        <v>6.6570554280283449</v>
      </c>
      <c r="LK3">
        <v>6.15</v>
      </c>
      <c r="LL3">
        <v>13.119</v>
      </c>
      <c r="LM3">
        <v>10.109165203675886</v>
      </c>
      <c r="LN3">
        <v>1362.35</v>
      </c>
      <c r="LO3">
        <v>0.29137996931886523</v>
      </c>
      <c r="LQ3">
        <v>2020</v>
      </c>
      <c r="LR3">
        <v>6.6570554280283449</v>
      </c>
      <c r="LS3">
        <v>6.15</v>
      </c>
      <c r="LT3">
        <v>13.119</v>
      </c>
      <c r="LU3">
        <v>10.109165203675886</v>
      </c>
      <c r="LV3">
        <v>1362.35</v>
      </c>
      <c r="LW3">
        <v>0.57934763824409696</v>
      </c>
      <c r="LY3">
        <v>2020</v>
      </c>
      <c r="LZ3">
        <v>6.6570554280283449</v>
      </c>
      <c r="MA3">
        <v>6.15</v>
      </c>
      <c r="MB3">
        <v>13.119</v>
      </c>
      <c r="MC3">
        <v>10.109165203675886</v>
      </c>
      <c r="MD3">
        <v>1362.35</v>
      </c>
      <c r="ME3">
        <v>0.13826086829635212</v>
      </c>
      <c r="MG3">
        <v>2020</v>
      </c>
      <c r="MH3">
        <v>6.6570554280283449</v>
      </c>
      <c r="MI3">
        <v>6.15</v>
      </c>
      <c r="MJ3">
        <v>13.119</v>
      </c>
      <c r="MK3">
        <v>10.109165203675886</v>
      </c>
      <c r="ML3">
        <v>1362.35</v>
      </c>
      <c r="MM3">
        <v>0.508726363165101</v>
      </c>
      <c r="MO3">
        <v>2020</v>
      </c>
      <c r="MP3">
        <v>6.6570554280283449</v>
      </c>
      <c r="MQ3">
        <v>6.15</v>
      </c>
      <c r="MR3">
        <v>13.119</v>
      </c>
      <c r="MS3">
        <v>10.109165203675886</v>
      </c>
      <c r="MT3">
        <v>1362.35</v>
      </c>
      <c r="MU3">
        <v>0.22041218102651125</v>
      </c>
      <c r="MW3">
        <v>2020</v>
      </c>
      <c r="MX3">
        <v>6.6570554280283449</v>
      </c>
      <c r="MY3">
        <v>6.15</v>
      </c>
      <c r="MZ3">
        <v>13.119</v>
      </c>
      <c r="NA3">
        <v>10.109165203675886</v>
      </c>
      <c r="NB3">
        <v>1362.35</v>
      </c>
      <c r="NC3">
        <v>0</v>
      </c>
      <c r="NE3">
        <v>2020</v>
      </c>
      <c r="NF3">
        <v>6.6570554280283449</v>
      </c>
      <c r="NG3">
        <v>6.15</v>
      </c>
      <c r="NH3">
        <v>13.119</v>
      </c>
      <c r="NI3">
        <v>10.109165203675886</v>
      </c>
      <c r="NJ3">
        <v>1362.35</v>
      </c>
      <c r="NK3">
        <v>3.8667701366168164E-2</v>
      </c>
      <c r="NM3">
        <v>2020</v>
      </c>
      <c r="NN3">
        <v>6.6570554280283449</v>
      </c>
      <c r="NO3">
        <v>6.15</v>
      </c>
      <c r="NP3">
        <v>13.119</v>
      </c>
      <c r="NQ3">
        <v>10.109165203675886</v>
      </c>
      <c r="NR3">
        <v>1362.35</v>
      </c>
      <c r="NS3">
        <v>0.27584841779042579</v>
      </c>
      <c r="NU3">
        <v>2020</v>
      </c>
      <c r="NV3">
        <v>6.6570554280283449</v>
      </c>
      <c r="NW3">
        <v>6.15</v>
      </c>
      <c r="NX3">
        <v>13.119</v>
      </c>
      <c r="NY3">
        <v>10.109165203675886</v>
      </c>
      <c r="NZ3">
        <v>1362.35</v>
      </c>
      <c r="OA3">
        <v>0.25351081501814926</v>
      </c>
      <c r="OC3">
        <v>2020</v>
      </c>
      <c r="OD3">
        <v>6.6570554280283449</v>
      </c>
      <c r="OE3">
        <v>6.15</v>
      </c>
      <c r="OF3">
        <v>13.119</v>
      </c>
      <c r="OG3">
        <v>10.109165203675886</v>
      </c>
      <c r="OH3">
        <v>1362.35</v>
      </c>
      <c r="OI3">
        <v>0.39250571676141011</v>
      </c>
      <c r="OK3">
        <v>2020</v>
      </c>
      <c r="OL3">
        <v>6.6570554280283449</v>
      </c>
      <c r="OM3">
        <v>6.15</v>
      </c>
      <c r="ON3">
        <v>13.119</v>
      </c>
      <c r="OO3">
        <v>10.109165203675886</v>
      </c>
      <c r="OP3">
        <v>1362.35</v>
      </c>
      <c r="OQ3">
        <v>0</v>
      </c>
      <c r="OS3">
        <v>2020</v>
      </c>
      <c r="OT3">
        <v>6.6570554280283449</v>
      </c>
      <c r="OU3">
        <v>6.15</v>
      </c>
      <c r="OV3">
        <v>13.119</v>
      </c>
      <c r="OW3">
        <v>10.109165203675886</v>
      </c>
      <c r="OX3">
        <v>1362.35</v>
      </c>
      <c r="OY3">
        <v>0</v>
      </c>
      <c r="PA3">
        <v>2020</v>
      </c>
      <c r="PB3">
        <v>6.6570554280283449</v>
      </c>
      <c r="PC3">
        <v>6.15</v>
      </c>
      <c r="PD3">
        <v>13.119</v>
      </c>
      <c r="PE3">
        <v>10.109165203675886</v>
      </c>
      <c r="PF3">
        <v>1362.35</v>
      </c>
      <c r="PG3">
        <v>0</v>
      </c>
      <c r="PI3">
        <v>2020</v>
      </c>
      <c r="PJ3">
        <v>6.6570554280283449</v>
      </c>
      <c r="PK3">
        <v>6.15</v>
      </c>
      <c r="PL3">
        <v>13.119</v>
      </c>
      <c r="PM3">
        <v>10.109165203675886</v>
      </c>
      <c r="PN3">
        <v>1362.35</v>
      </c>
      <c r="PO3">
        <v>0</v>
      </c>
      <c r="PQ3">
        <v>2020</v>
      </c>
      <c r="PR3">
        <v>6.6570554280283449</v>
      </c>
      <c r="PS3">
        <v>6.15</v>
      </c>
      <c r="PT3">
        <v>13.119</v>
      </c>
      <c r="PU3">
        <v>10.109165203675886</v>
      </c>
      <c r="PV3">
        <v>1362.35</v>
      </c>
      <c r="PW3">
        <v>0.22439234936790958</v>
      </c>
      <c r="PY3">
        <v>2020</v>
      </c>
      <c r="PZ3">
        <v>6.6570554280283449</v>
      </c>
      <c r="QA3">
        <v>6.15</v>
      </c>
      <c r="QB3">
        <v>13.119</v>
      </c>
      <c r="QC3">
        <v>10.109165203675886</v>
      </c>
      <c r="QD3">
        <v>1362.35</v>
      </c>
      <c r="QE3" s="1">
        <v>0.32516061006072228</v>
      </c>
      <c r="XEW3" s="25"/>
      <c r="XEX3" s="25"/>
      <c r="XEY3" s="25"/>
      <c r="XEZ3" s="25"/>
      <c r="XFA3" s="25"/>
    </row>
    <row r="4" spans="1:447 16377:16381" x14ac:dyDescent="0.45">
      <c r="A4">
        <v>2021</v>
      </c>
      <c r="B4">
        <v>-2.3696206265287998</v>
      </c>
      <c r="C4">
        <v>3.6</v>
      </c>
      <c r="D4">
        <v>12.581</v>
      </c>
      <c r="E4">
        <v>8.4600000000000009</v>
      </c>
      <c r="F4">
        <v>2883.41</v>
      </c>
      <c r="G4" s="1">
        <v>0</v>
      </c>
      <c r="H4" s="1"/>
      <c r="I4">
        <v>2021</v>
      </c>
      <c r="J4">
        <v>-2.3696206265287998</v>
      </c>
      <c r="K4">
        <v>3.6</v>
      </c>
      <c r="L4">
        <v>12.581</v>
      </c>
      <c r="M4">
        <v>8.4600000000000009</v>
      </c>
      <c r="N4">
        <v>2883.41</v>
      </c>
      <c r="O4">
        <v>0</v>
      </c>
      <c r="Q4">
        <v>2021</v>
      </c>
      <c r="R4">
        <v>-2.3696206265287998</v>
      </c>
      <c r="S4">
        <v>3.6</v>
      </c>
      <c r="T4">
        <v>12.581</v>
      </c>
      <c r="U4">
        <v>8.4600000000000009</v>
      </c>
      <c r="V4">
        <v>2883.41</v>
      </c>
      <c r="W4">
        <v>7.0708937979033132E-2</v>
      </c>
      <c r="Y4">
        <v>2021</v>
      </c>
      <c r="Z4">
        <v>-2.3696206265287998</v>
      </c>
      <c r="AA4">
        <v>3.6</v>
      </c>
      <c r="AB4">
        <v>12.581</v>
      </c>
      <c r="AC4">
        <v>8.4600000000000009</v>
      </c>
      <c r="AD4">
        <v>2883.41</v>
      </c>
      <c r="AE4">
        <v>0.17377612444519785</v>
      </c>
      <c r="AG4">
        <v>2021</v>
      </c>
      <c r="AH4">
        <v>-2.3696206265287998</v>
      </c>
      <c r="AI4">
        <v>3.6</v>
      </c>
      <c r="AJ4">
        <v>12.581</v>
      </c>
      <c r="AK4">
        <v>8.4600000000000009</v>
      </c>
      <c r="AL4">
        <v>2883.41</v>
      </c>
      <c r="AM4">
        <v>0.12730488899478898</v>
      </c>
      <c r="AO4">
        <v>2021</v>
      </c>
      <c r="AP4">
        <v>-2.3696206265287998</v>
      </c>
      <c r="AQ4">
        <v>3.6</v>
      </c>
      <c r="AR4">
        <v>12.581</v>
      </c>
      <c r="AS4">
        <v>8.4600000000000009</v>
      </c>
      <c r="AT4">
        <v>2883.41</v>
      </c>
      <c r="AU4">
        <v>0.21113124027005384</v>
      </c>
      <c r="AW4">
        <v>2021</v>
      </c>
      <c r="AX4">
        <v>-2.3696206265287998</v>
      </c>
      <c r="AY4">
        <v>3.6</v>
      </c>
      <c r="AZ4">
        <v>12.581</v>
      </c>
      <c r="BA4">
        <v>8.4600000000000009</v>
      </c>
      <c r="BB4">
        <v>2883.41</v>
      </c>
      <c r="BC4">
        <v>0</v>
      </c>
      <c r="BE4">
        <v>2021</v>
      </c>
      <c r="BF4">
        <v>-2.3696206265287998</v>
      </c>
      <c r="BG4">
        <v>3.6</v>
      </c>
      <c r="BH4">
        <v>12.581</v>
      </c>
      <c r="BI4">
        <v>8.4600000000000009</v>
      </c>
      <c r="BJ4">
        <v>2883.41</v>
      </c>
      <c r="BK4">
        <v>0</v>
      </c>
      <c r="BM4">
        <v>2021</v>
      </c>
      <c r="BN4">
        <v>-2.3696206265287998</v>
      </c>
      <c r="BO4">
        <v>3.6</v>
      </c>
      <c r="BP4">
        <v>12.581</v>
      </c>
      <c r="BQ4">
        <v>8.4600000000000009</v>
      </c>
      <c r="BR4">
        <v>2883.41</v>
      </c>
      <c r="BS4">
        <v>2.0523633646639207E-2</v>
      </c>
      <c r="BU4">
        <v>2021</v>
      </c>
      <c r="BV4">
        <v>-2.3696206265287998</v>
      </c>
      <c r="BW4">
        <v>3.6</v>
      </c>
      <c r="BX4">
        <v>12.581</v>
      </c>
      <c r="BY4">
        <v>8.4600000000000009</v>
      </c>
      <c r="BZ4">
        <v>2883.41</v>
      </c>
      <c r="CA4">
        <v>0.23078085360764161</v>
      </c>
      <c r="CC4">
        <v>2021</v>
      </c>
      <c r="CD4">
        <v>-2.3696206265287998</v>
      </c>
      <c r="CE4">
        <v>3.6</v>
      </c>
      <c r="CF4">
        <v>12.581</v>
      </c>
      <c r="CG4">
        <v>8.4600000000000009</v>
      </c>
      <c r="CH4">
        <v>2883.41</v>
      </c>
      <c r="CI4">
        <v>0</v>
      </c>
      <c r="CK4">
        <v>2021</v>
      </c>
      <c r="CL4">
        <v>-2.3696206265287998</v>
      </c>
      <c r="CM4">
        <v>3.6</v>
      </c>
      <c r="CN4">
        <v>12.581</v>
      </c>
      <c r="CO4">
        <v>8.4600000000000009</v>
      </c>
      <c r="CP4">
        <v>2883.41</v>
      </c>
      <c r="CQ4">
        <v>0</v>
      </c>
      <c r="CS4">
        <v>2021</v>
      </c>
      <c r="CT4">
        <v>-2.3696206265287998</v>
      </c>
      <c r="CU4">
        <v>3.6</v>
      </c>
      <c r="CV4">
        <v>12.581</v>
      </c>
      <c r="CW4">
        <v>8.4600000000000009</v>
      </c>
      <c r="CX4">
        <v>2883.41</v>
      </c>
      <c r="CY4">
        <v>0.13909616231124988</v>
      </c>
      <c r="DA4">
        <v>2021</v>
      </c>
      <c r="DB4">
        <v>-2.3696206265287998</v>
      </c>
      <c r="DC4">
        <v>3.6</v>
      </c>
      <c r="DD4">
        <v>12.581</v>
      </c>
      <c r="DE4">
        <v>8.4600000000000009</v>
      </c>
      <c r="DF4">
        <v>2883.41</v>
      </c>
      <c r="DG4">
        <v>0.27232097163319835</v>
      </c>
      <c r="DI4">
        <v>2021</v>
      </c>
      <c r="DJ4">
        <v>-2.3696206265287998</v>
      </c>
      <c r="DK4">
        <v>3.6</v>
      </c>
      <c r="DL4">
        <v>12.581</v>
      </c>
      <c r="DM4">
        <v>8.4600000000000009</v>
      </c>
      <c r="DN4">
        <v>2883.41</v>
      </c>
      <c r="DO4">
        <v>0</v>
      </c>
      <c r="DQ4">
        <v>2021</v>
      </c>
      <c r="DR4">
        <v>-2.3696206265287998</v>
      </c>
      <c r="DS4">
        <v>3.6</v>
      </c>
      <c r="DT4">
        <v>12.581</v>
      </c>
      <c r="DU4">
        <v>8.4600000000000009</v>
      </c>
      <c r="DV4">
        <v>2883.41</v>
      </c>
      <c r="DW4">
        <v>0</v>
      </c>
      <c r="DY4">
        <v>2021</v>
      </c>
      <c r="DZ4">
        <v>-2.3696206265287998</v>
      </c>
      <c r="EA4">
        <v>3.6</v>
      </c>
      <c r="EB4">
        <v>12.581</v>
      </c>
      <c r="EC4">
        <v>8.4600000000000009</v>
      </c>
      <c r="ED4">
        <v>2883.41</v>
      </c>
      <c r="EE4">
        <v>0.26259404041381085</v>
      </c>
      <c r="EG4">
        <v>2021</v>
      </c>
      <c r="EH4">
        <v>-2.3696206265287998</v>
      </c>
      <c r="EI4">
        <v>3.6</v>
      </c>
      <c r="EJ4">
        <v>12.581</v>
      </c>
      <c r="EK4">
        <v>8.4600000000000009</v>
      </c>
      <c r="EL4">
        <v>2883.41</v>
      </c>
      <c r="EM4">
        <v>0.49241431133578589</v>
      </c>
      <c r="EO4">
        <v>2021</v>
      </c>
      <c r="EP4">
        <v>-2.3696206265287998</v>
      </c>
      <c r="EQ4">
        <v>3.6</v>
      </c>
      <c r="ER4">
        <v>12.581</v>
      </c>
      <c r="ES4">
        <v>8.4600000000000009</v>
      </c>
      <c r="ET4">
        <v>2883.41</v>
      </c>
      <c r="EU4">
        <v>0.10936330741432684</v>
      </c>
      <c r="EW4">
        <v>2021</v>
      </c>
      <c r="EX4">
        <v>-2.3696206265287998</v>
      </c>
      <c r="EY4">
        <v>3.6</v>
      </c>
      <c r="EZ4">
        <v>12.581</v>
      </c>
      <c r="FA4">
        <v>8.4600000000000009</v>
      </c>
      <c r="FB4">
        <v>2883.41</v>
      </c>
      <c r="FC4">
        <v>0.24271831357470744</v>
      </c>
      <c r="FE4">
        <v>2021</v>
      </c>
      <c r="FF4">
        <v>-2.3696206265287998</v>
      </c>
      <c r="FG4">
        <v>3.6</v>
      </c>
      <c r="FH4">
        <v>12.581</v>
      </c>
      <c r="FI4">
        <v>8.4600000000000009</v>
      </c>
      <c r="FJ4">
        <v>2883.41</v>
      </c>
      <c r="FK4">
        <v>0</v>
      </c>
      <c r="FM4">
        <v>2021</v>
      </c>
      <c r="FN4">
        <v>-2.3696206265287998</v>
      </c>
      <c r="FO4">
        <v>3.6</v>
      </c>
      <c r="FP4">
        <v>12.581</v>
      </c>
      <c r="FQ4">
        <v>8.4600000000000009</v>
      </c>
      <c r="FR4">
        <v>2883.41</v>
      </c>
      <c r="FS4">
        <v>0</v>
      </c>
      <c r="FU4">
        <v>2021</v>
      </c>
      <c r="FV4">
        <v>-2.3696206265287998</v>
      </c>
      <c r="FW4">
        <v>3.6</v>
      </c>
      <c r="FX4">
        <v>12.581</v>
      </c>
      <c r="FY4">
        <v>8.4600000000000009</v>
      </c>
      <c r="FZ4">
        <v>2883.41</v>
      </c>
      <c r="GA4">
        <v>0</v>
      </c>
      <c r="GC4">
        <v>2021</v>
      </c>
      <c r="GD4">
        <v>-2.3696206265287998</v>
      </c>
      <c r="GE4">
        <v>3.6</v>
      </c>
      <c r="GF4">
        <v>12.581</v>
      </c>
      <c r="GG4">
        <v>8.4600000000000009</v>
      </c>
      <c r="GH4">
        <v>2883.41</v>
      </c>
      <c r="GI4">
        <v>0</v>
      </c>
      <c r="GK4">
        <v>2021</v>
      </c>
      <c r="GL4">
        <v>-2.3696206265287998</v>
      </c>
      <c r="GM4">
        <v>3.6</v>
      </c>
      <c r="GN4">
        <v>12.581</v>
      </c>
      <c r="GO4">
        <v>8.4600000000000009</v>
      </c>
      <c r="GP4">
        <v>2883.41</v>
      </c>
      <c r="GQ4">
        <v>0</v>
      </c>
      <c r="GS4">
        <v>2021</v>
      </c>
      <c r="GT4">
        <v>-2.3696206265287998</v>
      </c>
      <c r="GU4">
        <v>3.6</v>
      </c>
      <c r="GV4">
        <v>12.581</v>
      </c>
      <c r="GW4">
        <v>8.4600000000000009</v>
      </c>
      <c r="GX4">
        <v>2883.41</v>
      </c>
      <c r="GY4">
        <v>0</v>
      </c>
      <c r="HA4">
        <v>2021</v>
      </c>
      <c r="HB4">
        <v>-2.3696206265287998</v>
      </c>
      <c r="HC4">
        <v>3.6</v>
      </c>
      <c r="HD4">
        <v>12.581</v>
      </c>
      <c r="HE4">
        <v>8.4600000000000009</v>
      </c>
      <c r="HF4">
        <v>2883.41</v>
      </c>
      <c r="HG4">
        <v>0</v>
      </c>
      <c r="HI4">
        <v>2021</v>
      </c>
      <c r="HJ4">
        <v>-2.3696206265287998</v>
      </c>
      <c r="HK4">
        <v>3.6</v>
      </c>
      <c r="HL4">
        <v>12.581</v>
      </c>
      <c r="HM4">
        <v>8.4600000000000009</v>
      </c>
      <c r="HN4">
        <v>2883.41</v>
      </c>
      <c r="HO4">
        <v>0</v>
      </c>
      <c r="HQ4">
        <v>2021</v>
      </c>
      <c r="HR4">
        <v>-2.3696206265287998</v>
      </c>
      <c r="HS4">
        <v>3.6</v>
      </c>
      <c r="HT4">
        <v>12.581</v>
      </c>
      <c r="HU4">
        <v>8.4600000000000009</v>
      </c>
      <c r="HV4">
        <v>2883.41</v>
      </c>
      <c r="HW4">
        <v>0</v>
      </c>
      <c r="HY4">
        <v>2021</v>
      </c>
      <c r="HZ4">
        <v>-2.3696206265287998</v>
      </c>
      <c r="IA4">
        <v>3.6</v>
      </c>
      <c r="IB4">
        <v>12.581</v>
      </c>
      <c r="IC4">
        <v>8.4600000000000009</v>
      </c>
      <c r="ID4">
        <v>2883.41</v>
      </c>
      <c r="IE4">
        <v>0</v>
      </c>
      <c r="IG4">
        <v>2021</v>
      </c>
      <c r="IH4">
        <v>-2.3696206265287998</v>
      </c>
      <c r="II4">
        <v>3.6</v>
      </c>
      <c r="IJ4">
        <v>12.581</v>
      </c>
      <c r="IK4">
        <v>8.4600000000000009</v>
      </c>
      <c r="IL4">
        <v>2883.41</v>
      </c>
      <c r="IM4">
        <v>5.0463891798771818E-3</v>
      </c>
      <c r="IO4">
        <v>2021</v>
      </c>
      <c r="IP4">
        <v>-2.3696206265287998</v>
      </c>
      <c r="IQ4">
        <v>3.6</v>
      </c>
      <c r="IR4">
        <v>12.581</v>
      </c>
      <c r="IS4">
        <v>8.4600000000000009</v>
      </c>
      <c r="IT4">
        <v>2883.41</v>
      </c>
      <c r="IU4">
        <v>0</v>
      </c>
      <c r="IW4">
        <v>2021</v>
      </c>
      <c r="IX4">
        <v>-2.3696206265287998</v>
      </c>
      <c r="IY4">
        <v>3.6</v>
      </c>
      <c r="IZ4">
        <v>12.581</v>
      </c>
      <c r="JA4">
        <v>8.4600000000000009</v>
      </c>
      <c r="JB4">
        <v>2883.41</v>
      </c>
      <c r="JC4">
        <v>0</v>
      </c>
      <c r="JE4">
        <v>2021</v>
      </c>
      <c r="JF4">
        <v>-2.3696206265287998</v>
      </c>
      <c r="JG4">
        <v>3.6</v>
      </c>
      <c r="JH4">
        <v>12.581</v>
      </c>
      <c r="JI4">
        <v>8.4600000000000009</v>
      </c>
      <c r="JJ4">
        <v>2883.41</v>
      </c>
      <c r="JK4">
        <v>0</v>
      </c>
      <c r="JM4">
        <v>2021</v>
      </c>
      <c r="JN4">
        <v>-2.3696206265287998</v>
      </c>
      <c r="JO4">
        <v>3.6</v>
      </c>
      <c r="JP4">
        <v>12.581</v>
      </c>
      <c r="JQ4">
        <v>8.4600000000000009</v>
      </c>
      <c r="JR4">
        <v>2883.41</v>
      </c>
      <c r="JS4">
        <v>0</v>
      </c>
      <c r="JU4">
        <v>2021</v>
      </c>
      <c r="JV4">
        <v>-2.3696206265287998</v>
      </c>
      <c r="JW4">
        <v>3.6</v>
      </c>
      <c r="JX4">
        <v>12.581</v>
      </c>
      <c r="JY4">
        <v>8.4600000000000009</v>
      </c>
      <c r="JZ4">
        <v>2883.41</v>
      </c>
      <c r="KA4">
        <v>0</v>
      </c>
      <c r="KC4">
        <v>2021</v>
      </c>
      <c r="KD4">
        <v>-2.3696206265287998</v>
      </c>
      <c r="KE4">
        <v>3.6</v>
      </c>
      <c r="KF4">
        <v>12.581</v>
      </c>
      <c r="KG4">
        <v>8.4600000000000009</v>
      </c>
      <c r="KH4">
        <v>2883.41</v>
      </c>
      <c r="KI4">
        <v>6.3399393675220489E-2</v>
      </c>
      <c r="KK4">
        <v>2021</v>
      </c>
      <c r="KL4">
        <v>-2.3696206265287998</v>
      </c>
      <c r="KM4">
        <v>3.6</v>
      </c>
      <c r="KN4">
        <v>12.581</v>
      </c>
      <c r="KO4">
        <v>8.4600000000000009</v>
      </c>
      <c r="KP4">
        <v>2883.41</v>
      </c>
      <c r="KQ4">
        <v>0.15344718241788033</v>
      </c>
      <c r="KS4">
        <v>2021</v>
      </c>
      <c r="KT4">
        <v>-2.3696206265287998</v>
      </c>
      <c r="KU4">
        <v>3.6</v>
      </c>
      <c r="KV4">
        <v>12.581</v>
      </c>
      <c r="KW4">
        <v>8.4600000000000009</v>
      </c>
      <c r="KX4">
        <v>2883.41</v>
      </c>
      <c r="KY4">
        <v>0.22056528002100295</v>
      </c>
      <c r="LA4">
        <v>2021</v>
      </c>
      <c r="LB4">
        <v>-2.3696206265287998</v>
      </c>
      <c r="LC4">
        <v>3.6</v>
      </c>
      <c r="LD4">
        <v>12.581</v>
      </c>
      <c r="LE4">
        <v>8.4600000000000009</v>
      </c>
      <c r="LF4">
        <v>2883.41</v>
      </c>
      <c r="LG4">
        <v>0.25</v>
      </c>
      <c r="LI4">
        <v>2021</v>
      </c>
      <c r="LJ4">
        <v>-2.3696206265287998</v>
      </c>
      <c r="LK4">
        <v>3.6</v>
      </c>
      <c r="LL4">
        <v>12.581</v>
      </c>
      <c r="LM4">
        <v>8.4600000000000009</v>
      </c>
      <c r="LN4">
        <v>2883.41</v>
      </c>
      <c r="LO4">
        <v>6.0307130875190379E-2</v>
      </c>
      <c r="LQ4">
        <v>2021</v>
      </c>
      <c r="LR4">
        <v>-2.3696206265287998</v>
      </c>
      <c r="LS4">
        <v>3.6</v>
      </c>
      <c r="LT4">
        <v>12.581</v>
      </c>
      <c r="LU4">
        <v>8.4600000000000009</v>
      </c>
      <c r="LV4">
        <v>2883.41</v>
      </c>
      <c r="LW4">
        <v>0.22678849418139013</v>
      </c>
      <c r="LY4">
        <v>2021</v>
      </c>
      <c r="LZ4">
        <v>-2.3696206265287998</v>
      </c>
      <c r="MA4">
        <v>3.6</v>
      </c>
      <c r="MB4">
        <v>12.581</v>
      </c>
      <c r="MC4">
        <v>8.4600000000000009</v>
      </c>
      <c r="MD4">
        <v>2883.41</v>
      </c>
      <c r="ME4">
        <v>8.2358504235901769E-2</v>
      </c>
      <c r="MG4">
        <v>2021</v>
      </c>
      <c r="MH4">
        <v>-2.3696206265287998</v>
      </c>
      <c r="MI4">
        <v>3.6</v>
      </c>
      <c r="MJ4">
        <v>12.581</v>
      </c>
      <c r="MK4">
        <v>8.4600000000000009</v>
      </c>
      <c r="ML4">
        <v>2883.41</v>
      </c>
      <c r="MM4">
        <v>5.2189690635747417E-2</v>
      </c>
      <c r="MO4">
        <v>2021</v>
      </c>
      <c r="MP4">
        <v>-2.3696206265287998</v>
      </c>
      <c r="MQ4">
        <v>3.6</v>
      </c>
      <c r="MR4">
        <v>12.581</v>
      </c>
      <c r="MS4">
        <v>8.4600000000000009</v>
      </c>
      <c r="MT4">
        <v>2883.41</v>
      </c>
      <c r="MU4">
        <v>0</v>
      </c>
      <c r="MW4">
        <v>2021</v>
      </c>
      <c r="MX4">
        <v>-2.3696206265287998</v>
      </c>
      <c r="MY4">
        <v>3.6</v>
      </c>
      <c r="MZ4">
        <v>12.581</v>
      </c>
      <c r="NA4">
        <v>8.4600000000000009</v>
      </c>
      <c r="NB4">
        <v>2883.41</v>
      </c>
      <c r="NC4">
        <v>0</v>
      </c>
      <c r="NE4">
        <v>2021</v>
      </c>
      <c r="NF4">
        <v>-2.3696206265287998</v>
      </c>
      <c r="NG4">
        <v>3.6</v>
      </c>
      <c r="NH4">
        <v>12.581</v>
      </c>
      <c r="NI4">
        <v>8.4600000000000009</v>
      </c>
      <c r="NJ4">
        <v>2883.41</v>
      </c>
      <c r="NK4">
        <v>1.0685400887948632E-2</v>
      </c>
      <c r="NM4">
        <v>2021</v>
      </c>
      <c r="NN4">
        <v>-2.3696206265287998</v>
      </c>
      <c r="NO4">
        <v>3.6</v>
      </c>
      <c r="NP4">
        <v>12.581</v>
      </c>
      <c r="NQ4">
        <v>8.4600000000000009</v>
      </c>
      <c r="NR4">
        <v>2883.41</v>
      </c>
      <c r="NS4">
        <v>0</v>
      </c>
      <c r="NU4">
        <v>2021</v>
      </c>
      <c r="NV4">
        <v>-2.3696206265287998</v>
      </c>
      <c r="NW4">
        <v>3.6</v>
      </c>
      <c r="NX4">
        <v>12.581</v>
      </c>
      <c r="NY4">
        <v>8.4600000000000009</v>
      </c>
      <c r="NZ4">
        <v>2883.41</v>
      </c>
      <c r="OA4">
        <v>5.0799136619817886E-2</v>
      </c>
      <c r="OC4">
        <v>2021</v>
      </c>
      <c r="OD4">
        <v>-2.3696206265287998</v>
      </c>
      <c r="OE4">
        <v>3.6</v>
      </c>
      <c r="OF4">
        <v>12.581</v>
      </c>
      <c r="OG4">
        <v>8.4600000000000009</v>
      </c>
      <c r="OH4">
        <v>2883.41</v>
      </c>
      <c r="OI4">
        <v>0.16668660157765763</v>
      </c>
      <c r="OK4">
        <v>2021</v>
      </c>
      <c r="OL4">
        <v>-2.3696206265287998</v>
      </c>
      <c r="OM4">
        <v>3.6</v>
      </c>
      <c r="ON4">
        <v>12.581</v>
      </c>
      <c r="OO4">
        <v>8.4600000000000009</v>
      </c>
      <c r="OP4">
        <v>2883.41</v>
      </c>
      <c r="OQ4">
        <v>0</v>
      </c>
      <c r="OS4">
        <v>2021</v>
      </c>
      <c r="OT4">
        <v>-2.3696206265287998</v>
      </c>
      <c r="OU4">
        <v>3.6</v>
      </c>
      <c r="OV4">
        <v>12.581</v>
      </c>
      <c r="OW4">
        <v>8.4600000000000009</v>
      </c>
      <c r="OX4">
        <v>2883.41</v>
      </c>
      <c r="OY4">
        <v>0</v>
      </c>
      <c r="PA4">
        <v>2021</v>
      </c>
      <c r="PB4">
        <v>-2.3696206265287998</v>
      </c>
      <c r="PC4">
        <v>3.6</v>
      </c>
      <c r="PD4">
        <v>12.581</v>
      </c>
      <c r="PE4">
        <v>8.4600000000000009</v>
      </c>
      <c r="PF4">
        <v>2883.41</v>
      </c>
      <c r="PG4">
        <v>5.0157037037037036E-3</v>
      </c>
      <c r="PI4">
        <v>2021</v>
      </c>
      <c r="PJ4">
        <v>-2.3696206265287998</v>
      </c>
      <c r="PK4">
        <v>3.6</v>
      </c>
      <c r="PL4">
        <v>12.581</v>
      </c>
      <c r="PM4">
        <v>8.4600000000000009</v>
      </c>
      <c r="PN4">
        <v>2883.41</v>
      </c>
      <c r="PO4">
        <v>0.25</v>
      </c>
      <c r="PQ4">
        <v>2021</v>
      </c>
      <c r="PR4">
        <v>-2.3696206265287998</v>
      </c>
      <c r="PS4">
        <v>3.6</v>
      </c>
      <c r="PT4">
        <v>12.581</v>
      </c>
      <c r="PU4">
        <v>8.4600000000000009</v>
      </c>
      <c r="PV4">
        <v>2883.41</v>
      </c>
      <c r="PW4">
        <v>4.4348933276305014E-2</v>
      </c>
      <c r="PY4">
        <v>2021</v>
      </c>
      <c r="PZ4">
        <v>-2.3696206265287998</v>
      </c>
      <c r="QA4">
        <v>3.6</v>
      </c>
      <c r="QB4">
        <v>12.581</v>
      </c>
      <c r="QC4">
        <v>8.4600000000000009</v>
      </c>
      <c r="QD4">
        <v>2883.41</v>
      </c>
      <c r="QE4" s="1">
        <v>0.13085936714966753</v>
      </c>
      <c r="XEW4" s="25"/>
      <c r="XEX4" s="25"/>
      <c r="XEY4" s="25"/>
      <c r="XEZ4" s="25"/>
      <c r="XFA4" s="25"/>
    </row>
    <row r="5" spans="1:447 16377:16381" x14ac:dyDescent="0.45">
      <c r="A5">
        <v>2022</v>
      </c>
      <c r="B5">
        <v>4.8381498272749335</v>
      </c>
      <c r="C5">
        <v>6.26</v>
      </c>
      <c r="D5">
        <v>10.923</v>
      </c>
      <c r="E5">
        <v>11.620299693912473</v>
      </c>
      <c r="F5">
        <v>2009.47</v>
      </c>
      <c r="G5" s="1">
        <v>0</v>
      </c>
      <c r="H5" s="1"/>
      <c r="I5">
        <v>2022</v>
      </c>
      <c r="J5">
        <v>4.8381498272749335</v>
      </c>
      <c r="K5">
        <v>6.26</v>
      </c>
      <c r="L5">
        <v>10.923</v>
      </c>
      <c r="M5">
        <v>11.620299693912473</v>
      </c>
      <c r="N5">
        <v>2009.47</v>
      </c>
      <c r="O5">
        <v>0</v>
      </c>
      <c r="Q5">
        <v>2022</v>
      </c>
      <c r="R5">
        <v>4.8381498272749335</v>
      </c>
      <c r="S5">
        <v>6.26</v>
      </c>
      <c r="T5">
        <v>10.923</v>
      </c>
      <c r="U5">
        <v>11.620299693912473</v>
      </c>
      <c r="V5">
        <v>2009.47</v>
      </c>
      <c r="W5">
        <v>8.3715195799845404E-2</v>
      </c>
      <c r="Y5">
        <v>2022</v>
      </c>
      <c r="Z5">
        <v>4.8381498272749335</v>
      </c>
      <c r="AA5">
        <v>6.26</v>
      </c>
      <c r="AB5">
        <v>10.923</v>
      </c>
      <c r="AC5">
        <v>11.620299693912473</v>
      </c>
      <c r="AD5">
        <v>2009.47</v>
      </c>
      <c r="AE5">
        <v>0.12413201260517191</v>
      </c>
      <c r="AG5">
        <v>2022</v>
      </c>
      <c r="AH5">
        <v>4.8381498272749335</v>
      </c>
      <c r="AI5">
        <v>6.26</v>
      </c>
      <c r="AJ5">
        <v>10.923</v>
      </c>
      <c r="AK5">
        <v>11.620299693912473</v>
      </c>
      <c r="AL5">
        <v>2009.47</v>
      </c>
      <c r="AM5">
        <v>0.13046744097825774</v>
      </c>
      <c r="AO5">
        <v>2022</v>
      </c>
      <c r="AP5">
        <v>4.8381498272749335</v>
      </c>
      <c r="AQ5">
        <v>6.26</v>
      </c>
      <c r="AR5">
        <v>10.923</v>
      </c>
      <c r="AS5">
        <v>11.620299693912473</v>
      </c>
      <c r="AT5">
        <v>2009.47</v>
      </c>
      <c r="AU5">
        <v>0.29852170485430385</v>
      </c>
      <c r="AW5">
        <v>2022</v>
      </c>
      <c r="AX5">
        <v>4.8381498272749335</v>
      </c>
      <c r="AY5">
        <v>6.26</v>
      </c>
      <c r="AZ5">
        <v>10.923</v>
      </c>
      <c r="BA5">
        <v>11.620299693912473</v>
      </c>
      <c r="BB5">
        <v>2009.47</v>
      </c>
      <c r="BC5">
        <v>0</v>
      </c>
      <c r="BE5">
        <v>2022</v>
      </c>
      <c r="BF5">
        <v>4.8381498272749335</v>
      </c>
      <c r="BG5">
        <v>6.26</v>
      </c>
      <c r="BH5">
        <v>10.923</v>
      </c>
      <c r="BI5">
        <v>11.620299693912473</v>
      </c>
      <c r="BJ5">
        <v>2009.47</v>
      </c>
      <c r="BK5">
        <v>0</v>
      </c>
      <c r="BM5">
        <v>2022</v>
      </c>
      <c r="BN5">
        <v>4.8381498272749335</v>
      </c>
      <c r="BO5">
        <v>6.26</v>
      </c>
      <c r="BP5">
        <v>10.923</v>
      </c>
      <c r="BQ5">
        <v>11.620299693912473</v>
      </c>
      <c r="BR5">
        <v>2009.47</v>
      </c>
      <c r="BS5">
        <v>3.9590270466914376E-3</v>
      </c>
      <c r="BU5">
        <v>2022</v>
      </c>
      <c r="BV5">
        <v>4.8381498272749335</v>
      </c>
      <c r="BW5">
        <v>6.26</v>
      </c>
      <c r="BX5">
        <v>10.923</v>
      </c>
      <c r="BY5">
        <v>11.620299693912473</v>
      </c>
      <c r="BZ5">
        <v>2009.47</v>
      </c>
      <c r="CA5">
        <v>5.173140169821603E-2</v>
      </c>
      <c r="CC5">
        <v>2022</v>
      </c>
      <c r="CD5">
        <v>4.8381498272749335</v>
      </c>
      <c r="CE5">
        <v>6.26</v>
      </c>
      <c r="CF5">
        <v>10.923</v>
      </c>
      <c r="CG5">
        <v>11.620299693912473</v>
      </c>
      <c r="CH5">
        <v>2009.47</v>
      </c>
      <c r="CI5">
        <v>0</v>
      </c>
      <c r="CK5">
        <v>2022</v>
      </c>
      <c r="CL5">
        <v>4.8381498272749335</v>
      </c>
      <c r="CM5">
        <v>6.26</v>
      </c>
      <c r="CN5">
        <v>10.923</v>
      </c>
      <c r="CO5">
        <v>11.620299693912473</v>
      </c>
      <c r="CP5">
        <v>2009.47</v>
      </c>
      <c r="CQ5">
        <v>0</v>
      </c>
      <c r="CS5">
        <v>2022</v>
      </c>
      <c r="CT5">
        <v>4.8381498272749335</v>
      </c>
      <c r="CU5">
        <v>6.26</v>
      </c>
      <c r="CV5">
        <v>10.923</v>
      </c>
      <c r="CW5">
        <v>11.620299693912473</v>
      </c>
      <c r="CX5">
        <v>2009.47</v>
      </c>
      <c r="CY5">
        <v>4.0858102894239058E-2</v>
      </c>
      <c r="DA5">
        <v>2022</v>
      </c>
      <c r="DB5">
        <v>4.8381498272749335</v>
      </c>
      <c r="DC5">
        <v>6.26</v>
      </c>
      <c r="DD5">
        <v>10.923</v>
      </c>
      <c r="DE5">
        <v>11.620299693912473</v>
      </c>
      <c r="DF5">
        <v>2009.47</v>
      </c>
      <c r="DG5">
        <v>3.8641286211090975E-2</v>
      </c>
      <c r="DI5">
        <v>2022</v>
      </c>
      <c r="DJ5">
        <v>4.8381498272749335</v>
      </c>
      <c r="DK5">
        <v>6.26</v>
      </c>
      <c r="DL5">
        <v>10.923</v>
      </c>
      <c r="DM5">
        <v>11.620299693912473</v>
      </c>
      <c r="DN5">
        <v>2009.47</v>
      </c>
      <c r="DO5">
        <v>0</v>
      </c>
      <c r="DQ5">
        <v>2022</v>
      </c>
      <c r="DR5">
        <v>4.8381498272749335</v>
      </c>
      <c r="DS5">
        <v>6.26</v>
      </c>
      <c r="DT5">
        <v>10.923</v>
      </c>
      <c r="DU5">
        <v>11.620299693912473</v>
      </c>
      <c r="DV5">
        <v>2009.47</v>
      </c>
      <c r="DW5">
        <v>0</v>
      </c>
      <c r="DY5">
        <v>2022</v>
      </c>
      <c r="DZ5">
        <v>4.8381498272749335</v>
      </c>
      <c r="EA5">
        <v>6.26</v>
      </c>
      <c r="EB5">
        <v>10.923</v>
      </c>
      <c r="EC5">
        <v>11.620299693912473</v>
      </c>
      <c r="ED5">
        <v>2009.47</v>
      </c>
      <c r="EE5">
        <v>0.21330315809056716</v>
      </c>
      <c r="EG5">
        <v>2022</v>
      </c>
      <c r="EH5">
        <v>4.8381498272749335</v>
      </c>
      <c r="EI5">
        <v>6.26</v>
      </c>
      <c r="EJ5">
        <v>10.923</v>
      </c>
      <c r="EK5">
        <v>11.620299693912473</v>
      </c>
      <c r="EL5">
        <v>2009.47</v>
      </c>
      <c r="EM5">
        <v>0.48126678709906073</v>
      </c>
      <c r="EO5">
        <v>2022</v>
      </c>
      <c r="EP5">
        <v>4.8381498272749335</v>
      </c>
      <c r="EQ5">
        <v>6.26</v>
      </c>
      <c r="ER5">
        <v>10.923</v>
      </c>
      <c r="ES5">
        <v>11.620299693912473</v>
      </c>
      <c r="ET5">
        <v>2009.47</v>
      </c>
      <c r="EU5">
        <v>8.1108824981693639E-2</v>
      </c>
      <c r="EW5">
        <v>2022</v>
      </c>
      <c r="EX5">
        <v>4.8381498272749335</v>
      </c>
      <c r="EY5">
        <v>6.26</v>
      </c>
      <c r="EZ5">
        <v>10.923</v>
      </c>
      <c r="FA5">
        <v>11.620299693912473</v>
      </c>
      <c r="FB5">
        <v>2009.47</v>
      </c>
      <c r="FC5">
        <v>0.15813216349951448</v>
      </c>
      <c r="FE5">
        <v>2022</v>
      </c>
      <c r="FF5">
        <v>4.8381498272749335</v>
      </c>
      <c r="FG5">
        <v>6.26</v>
      </c>
      <c r="FH5">
        <v>10.923</v>
      </c>
      <c r="FI5">
        <v>11.620299693912473</v>
      </c>
      <c r="FJ5">
        <v>2009.47</v>
      </c>
      <c r="FK5">
        <v>0</v>
      </c>
      <c r="FM5">
        <v>2022</v>
      </c>
      <c r="FN5">
        <v>4.8381498272749335</v>
      </c>
      <c r="FO5">
        <v>6.26</v>
      </c>
      <c r="FP5">
        <v>10.923</v>
      </c>
      <c r="FQ5">
        <v>11.620299693912473</v>
      </c>
      <c r="FR5">
        <v>2009.47</v>
      </c>
      <c r="FS5">
        <v>0</v>
      </c>
      <c r="FU5">
        <v>2022</v>
      </c>
      <c r="FV5">
        <v>4.8381498272749335</v>
      </c>
      <c r="FW5">
        <v>6.26</v>
      </c>
      <c r="FX5">
        <v>10.923</v>
      </c>
      <c r="FY5">
        <v>11.620299693912473</v>
      </c>
      <c r="FZ5">
        <v>2009.47</v>
      </c>
      <c r="GA5">
        <v>0</v>
      </c>
      <c r="GC5">
        <v>2022</v>
      </c>
      <c r="GD5">
        <v>4.8381498272749335</v>
      </c>
      <c r="GE5">
        <v>6.26</v>
      </c>
      <c r="GF5">
        <v>10.923</v>
      </c>
      <c r="GG5">
        <v>11.620299693912473</v>
      </c>
      <c r="GH5">
        <v>2009.47</v>
      </c>
      <c r="GI5">
        <v>0</v>
      </c>
      <c r="GK5">
        <v>2022</v>
      </c>
      <c r="GL5">
        <v>4.8381498272749335</v>
      </c>
      <c r="GM5">
        <v>6.26</v>
      </c>
      <c r="GN5">
        <v>10.923</v>
      </c>
      <c r="GO5">
        <v>11.620299693912473</v>
      </c>
      <c r="GP5">
        <v>2009.47</v>
      </c>
      <c r="GQ5">
        <v>0</v>
      </c>
      <c r="GS5">
        <v>2022</v>
      </c>
      <c r="GT5">
        <v>4.8381498272749335</v>
      </c>
      <c r="GU5">
        <v>6.26</v>
      </c>
      <c r="GV5">
        <v>10.923</v>
      </c>
      <c r="GW5">
        <v>11.620299693912473</v>
      </c>
      <c r="GX5">
        <v>2009.47</v>
      </c>
      <c r="GY5">
        <v>0</v>
      </c>
      <c r="HA5">
        <v>2022</v>
      </c>
      <c r="HB5">
        <v>4.8381498272749335</v>
      </c>
      <c r="HC5">
        <v>6.26</v>
      </c>
      <c r="HD5">
        <v>10.923</v>
      </c>
      <c r="HE5">
        <v>11.620299693912473</v>
      </c>
      <c r="HF5">
        <v>2009.47</v>
      </c>
      <c r="HG5">
        <v>3.4377632563245504E-2</v>
      </c>
      <c r="HI5">
        <v>2022</v>
      </c>
      <c r="HJ5">
        <v>4.8381498272749335</v>
      </c>
      <c r="HK5">
        <v>6.26</v>
      </c>
      <c r="HL5">
        <v>10.923</v>
      </c>
      <c r="HM5">
        <v>11.620299693912473</v>
      </c>
      <c r="HN5">
        <v>2009.47</v>
      </c>
      <c r="HO5">
        <v>9.3288931472851513E-2</v>
      </c>
      <c r="HQ5">
        <v>2022</v>
      </c>
      <c r="HR5">
        <v>4.8381498272749335</v>
      </c>
      <c r="HS5">
        <v>6.26</v>
      </c>
      <c r="HT5">
        <v>10.923</v>
      </c>
      <c r="HU5">
        <v>11.620299693912473</v>
      </c>
      <c r="HV5">
        <v>2009.47</v>
      </c>
      <c r="HW5">
        <v>3.4643669420382495E-3</v>
      </c>
      <c r="HY5">
        <v>2022</v>
      </c>
      <c r="HZ5">
        <v>4.8381498272749335</v>
      </c>
      <c r="IA5">
        <v>6.26</v>
      </c>
      <c r="IB5">
        <v>10.923</v>
      </c>
      <c r="IC5">
        <v>11.620299693912473</v>
      </c>
      <c r="ID5">
        <v>2009.47</v>
      </c>
      <c r="IE5">
        <v>6.0484636443921937E-3</v>
      </c>
      <c r="IG5">
        <v>2022</v>
      </c>
      <c r="IH5">
        <v>4.8381498272749335</v>
      </c>
      <c r="II5">
        <v>6.26</v>
      </c>
      <c r="IJ5">
        <v>10.923</v>
      </c>
      <c r="IK5">
        <v>11.620299693912473</v>
      </c>
      <c r="IL5">
        <v>2009.47</v>
      </c>
      <c r="IM5">
        <v>6.4146002141382205E-3</v>
      </c>
      <c r="IO5">
        <v>2022</v>
      </c>
      <c r="IP5">
        <v>4.8381498272749335</v>
      </c>
      <c r="IQ5">
        <v>6.26</v>
      </c>
      <c r="IR5">
        <v>10.923</v>
      </c>
      <c r="IS5">
        <v>11.620299693912473</v>
      </c>
      <c r="IT5">
        <v>2009.47</v>
      </c>
      <c r="IU5">
        <v>1.1806758290707629E-2</v>
      </c>
      <c r="IW5">
        <v>2022</v>
      </c>
      <c r="IX5">
        <v>4.8381498272749335</v>
      </c>
      <c r="IY5">
        <v>6.26</v>
      </c>
      <c r="IZ5">
        <v>10.923</v>
      </c>
      <c r="JA5">
        <v>11.620299693912473</v>
      </c>
      <c r="JB5">
        <v>2009.47</v>
      </c>
      <c r="JC5">
        <v>0</v>
      </c>
      <c r="JE5">
        <v>2022</v>
      </c>
      <c r="JF5">
        <v>4.8381498272749335</v>
      </c>
      <c r="JG5">
        <v>6.26</v>
      </c>
      <c r="JH5">
        <v>10.923</v>
      </c>
      <c r="JI5">
        <v>11.620299693912473</v>
      </c>
      <c r="JJ5">
        <v>2009.47</v>
      </c>
      <c r="JK5">
        <v>0</v>
      </c>
      <c r="JM5">
        <v>2022</v>
      </c>
      <c r="JN5">
        <v>4.8381498272749335</v>
      </c>
      <c r="JO5">
        <v>6.26</v>
      </c>
      <c r="JP5">
        <v>10.923</v>
      </c>
      <c r="JQ5">
        <v>11.620299693912473</v>
      </c>
      <c r="JR5">
        <v>2009.47</v>
      </c>
      <c r="JS5">
        <v>0</v>
      </c>
      <c r="JU5">
        <v>2022</v>
      </c>
      <c r="JV5">
        <v>4.8381498272749335</v>
      </c>
      <c r="JW5">
        <v>6.26</v>
      </c>
      <c r="JX5">
        <v>10.923</v>
      </c>
      <c r="JY5">
        <v>11.620299693912473</v>
      </c>
      <c r="JZ5">
        <v>2009.47</v>
      </c>
      <c r="KA5">
        <v>0</v>
      </c>
      <c r="KC5">
        <v>2022</v>
      </c>
      <c r="KD5">
        <v>4.8381498272749335</v>
      </c>
      <c r="KE5">
        <v>6.26</v>
      </c>
      <c r="KF5">
        <v>10.923</v>
      </c>
      <c r="KG5">
        <v>11.620299693912473</v>
      </c>
      <c r="KH5">
        <v>2009.47</v>
      </c>
      <c r="KI5">
        <v>7.3911887364684264E-2</v>
      </c>
      <c r="KK5">
        <v>2022</v>
      </c>
      <c r="KL5">
        <v>4.8381498272749335</v>
      </c>
      <c r="KM5">
        <v>6.26</v>
      </c>
      <c r="KN5">
        <v>10.923</v>
      </c>
      <c r="KO5">
        <v>11.620299693912473</v>
      </c>
      <c r="KP5">
        <v>2009.47</v>
      </c>
      <c r="KQ5">
        <v>0.10838519974134581</v>
      </c>
      <c r="KS5">
        <v>2022</v>
      </c>
      <c r="KT5">
        <v>4.8381498272749335</v>
      </c>
      <c r="KU5">
        <v>6.26</v>
      </c>
      <c r="KV5">
        <v>10.923</v>
      </c>
      <c r="KW5">
        <v>11.620299693912473</v>
      </c>
      <c r="KX5">
        <v>2009.47</v>
      </c>
      <c r="KY5">
        <v>0</v>
      </c>
      <c r="LA5">
        <v>2022</v>
      </c>
      <c r="LB5">
        <v>4.8381498272749335</v>
      </c>
      <c r="LC5">
        <v>6.26</v>
      </c>
      <c r="LD5">
        <v>10.923</v>
      </c>
      <c r="LE5">
        <v>11.620299693912473</v>
      </c>
      <c r="LF5">
        <v>2009.47</v>
      </c>
      <c r="LG5">
        <v>0</v>
      </c>
      <c r="LI5">
        <v>2022</v>
      </c>
      <c r="LJ5">
        <v>4.8381498272749335</v>
      </c>
      <c r="LK5">
        <v>6.26</v>
      </c>
      <c r="LL5">
        <v>10.923</v>
      </c>
      <c r="LM5">
        <v>11.620299693912473</v>
      </c>
      <c r="LN5">
        <v>2009.47</v>
      </c>
      <c r="LO5">
        <v>9.4047143050713711E-2</v>
      </c>
      <c r="LQ5">
        <v>2022</v>
      </c>
      <c r="LR5">
        <v>4.8381498272749335</v>
      </c>
      <c r="LS5">
        <v>6.26</v>
      </c>
      <c r="LT5">
        <v>10.923</v>
      </c>
      <c r="LU5">
        <v>11.620299693912473</v>
      </c>
      <c r="LV5">
        <v>2009.47</v>
      </c>
      <c r="LW5">
        <v>0.27418479449281574</v>
      </c>
      <c r="LY5">
        <v>2022</v>
      </c>
      <c r="LZ5">
        <v>4.8381498272749335</v>
      </c>
      <c r="MA5">
        <v>6.26</v>
      </c>
      <c r="MB5">
        <v>10.923</v>
      </c>
      <c r="MC5">
        <v>11.620299693912473</v>
      </c>
      <c r="MD5">
        <v>2009.47</v>
      </c>
      <c r="ME5">
        <v>8.2274959810250875E-2</v>
      </c>
      <c r="MG5">
        <v>2022</v>
      </c>
      <c r="MH5">
        <v>4.8381498272749335</v>
      </c>
      <c r="MI5">
        <v>6.26</v>
      </c>
      <c r="MJ5">
        <v>10.923</v>
      </c>
      <c r="MK5">
        <v>11.620299693912473</v>
      </c>
      <c r="ML5">
        <v>2009.47</v>
      </c>
      <c r="MM5">
        <v>0.13202482000137494</v>
      </c>
      <c r="MO5">
        <v>2022</v>
      </c>
      <c r="MP5">
        <v>4.8381498272749335</v>
      </c>
      <c r="MQ5">
        <v>6.26</v>
      </c>
      <c r="MR5">
        <v>10.923</v>
      </c>
      <c r="MS5">
        <v>11.620299693912473</v>
      </c>
      <c r="MT5">
        <v>2009.47</v>
      </c>
      <c r="MU5">
        <v>0</v>
      </c>
      <c r="MW5">
        <v>2022</v>
      </c>
      <c r="MX5">
        <v>4.8381498272749335</v>
      </c>
      <c r="MY5">
        <v>6.26</v>
      </c>
      <c r="MZ5">
        <v>10.923</v>
      </c>
      <c r="NA5">
        <v>11.620299693912473</v>
      </c>
      <c r="NB5">
        <v>2009.47</v>
      </c>
      <c r="NC5">
        <v>0</v>
      </c>
      <c r="NE5">
        <v>2022</v>
      </c>
      <c r="NF5">
        <v>4.8381498272749335</v>
      </c>
      <c r="NG5">
        <v>6.26</v>
      </c>
      <c r="NH5">
        <v>10.923</v>
      </c>
      <c r="NI5">
        <v>11.620299693912473</v>
      </c>
      <c r="NJ5">
        <v>2009.47</v>
      </c>
      <c r="NK5">
        <v>0</v>
      </c>
      <c r="NM5">
        <v>2022</v>
      </c>
      <c r="NN5">
        <v>4.8381498272749335</v>
      </c>
      <c r="NO5">
        <v>6.26</v>
      </c>
      <c r="NP5">
        <v>10.923</v>
      </c>
      <c r="NQ5">
        <v>11.620299693912473</v>
      </c>
      <c r="NR5">
        <v>2009.47</v>
      </c>
      <c r="NS5">
        <v>0</v>
      </c>
      <c r="NU5">
        <v>2022</v>
      </c>
      <c r="NV5">
        <v>4.8381498272749335</v>
      </c>
      <c r="NW5">
        <v>6.26</v>
      </c>
      <c r="NX5">
        <v>10.923</v>
      </c>
      <c r="NY5">
        <v>11.620299693912473</v>
      </c>
      <c r="NZ5">
        <v>2009.47</v>
      </c>
      <c r="OA5">
        <v>5.8231388185033199E-2</v>
      </c>
      <c r="OC5">
        <v>2022</v>
      </c>
      <c r="OD5">
        <v>4.8381498272749335</v>
      </c>
      <c r="OE5">
        <v>6.26</v>
      </c>
      <c r="OF5">
        <v>10.923</v>
      </c>
      <c r="OG5">
        <v>11.620299693912473</v>
      </c>
      <c r="OH5">
        <v>2009.47</v>
      </c>
      <c r="OI5">
        <v>0.16099600079371951</v>
      </c>
      <c r="OK5">
        <v>2022</v>
      </c>
      <c r="OL5">
        <v>4.8381498272749335</v>
      </c>
      <c r="OM5">
        <v>6.26</v>
      </c>
      <c r="ON5">
        <v>10.923</v>
      </c>
      <c r="OO5">
        <v>11.620299693912473</v>
      </c>
      <c r="OP5">
        <v>2009.47</v>
      </c>
      <c r="OQ5">
        <v>0</v>
      </c>
      <c r="OS5">
        <v>2022</v>
      </c>
      <c r="OT5">
        <v>4.8381498272749335</v>
      </c>
      <c r="OU5">
        <v>6.26</v>
      </c>
      <c r="OV5">
        <v>10.923</v>
      </c>
      <c r="OW5">
        <v>11.620299693912473</v>
      </c>
      <c r="OX5">
        <v>2009.47</v>
      </c>
      <c r="OY5">
        <v>0</v>
      </c>
      <c r="PA5">
        <v>2022</v>
      </c>
      <c r="PB5">
        <v>4.8381498272749335</v>
      </c>
      <c r="PC5">
        <v>6.26</v>
      </c>
      <c r="PD5">
        <v>10.923</v>
      </c>
      <c r="PE5">
        <v>11.620299693912473</v>
      </c>
      <c r="PF5">
        <v>2009.47</v>
      </c>
      <c r="PG5">
        <v>0</v>
      </c>
      <c r="PI5">
        <v>2022</v>
      </c>
      <c r="PJ5">
        <v>4.8381498272749335</v>
      </c>
      <c r="PK5">
        <v>6.26</v>
      </c>
      <c r="PL5">
        <v>10.923</v>
      </c>
      <c r="PM5">
        <v>11.620299693912473</v>
      </c>
      <c r="PN5">
        <v>2009.47</v>
      </c>
      <c r="PO5">
        <v>0</v>
      </c>
      <c r="PQ5">
        <v>2022</v>
      </c>
      <c r="PR5">
        <v>4.8381498272749335</v>
      </c>
      <c r="PS5">
        <v>6.26</v>
      </c>
      <c r="PT5">
        <v>10.923</v>
      </c>
      <c r="PU5">
        <v>11.620299693912473</v>
      </c>
      <c r="PV5">
        <v>2009.47</v>
      </c>
      <c r="PW5">
        <v>0.18261335871458906</v>
      </c>
      <c r="PY5">
        <v>2022</v>
      </c>
      <c r="PZ5">
        <v>4.8381498272749335</v>
      </c>
      <c r="QA5">
        <v>6.26</v>
      </c>
      <c r="QB5">
        <v>10.923</v>
      </c>
      <c r="QC5">
        <v>11.620299693912473</v>
      </c>
      <c r="QD5">
        <v>2009.47</v>
      </c>
      <c r="QE5" s="1">
        <v>0.1874655550525029</v>
      </c>
      <c r="XEW5" s="25"/>
      <c r="XEX5" s="25"/>
      <c r="XEY5" s="25"/>
      <c r="XEZ5" s="25"/>
      <c r="XFA5" s="25"/>
    </row>
    <row r="6" spans="1:447 16377:16381" x14ac:dyDescent="0.45">
      <c r="A6">
        <v>2023</v>
      </c>
      <c r="B6">
        <v>5.6131931650736817</v>
      </c>
      <c r="C6">
        <v>7.84</v>
      </c>
      <c r="D6">
        <v>10.97</v>
      </c>
      <c r="E6">
        <v>12.2968211469067</v>
      </c>
      <c r="F6">
        <v>2097.1</v>
      </c>
      <c r="G6" s="1">
        <v>2.4210901317297369E-2</v>
      </c>
      <c r="H6" s="1"/>
      <c r="I6">
        <v>2023</v>
      </c>
      <c r="J6">
        <v>5.6131931650736817</v>
      </c>
      <c r="K6">
        <v>7.84</v>
      </c>
      <c r="L6">
        <v>10.97</v>
      </c>
      <c r="M6">
        <v>12.2968211469067</v>
      </c>
      <c r="N6">
        <v>2097.1</v>
      </c>
      <c r="O6">
        <v>0</v>
      </c>
      <c r="Q6">
        <v>2023</v>
      </c>
      <c r="R6">
        <v>5.6131931650736817</v>
      </c>
      <c r="S6">
        <v>7.84</v>
      </c>
      <c r="T6">
        <v>10.97</v>
      </c>
      <c r="U6">
        <v>12.2968211469067</v>
      </c>
      <c r="V6">
        <v>2097.1</v>
      </c>
      <c r="W6">
        <v>0.22445647671867744</v>
      </c>
      <c r="Y6">
        <v>2023</v>
      </c>
      <c r="Z6">
        <v>5.6131931650736817</v>
      </c>
      <c r="AA6">
        <v>7.84</v>
      </c>
      <c r="AB6">
        <v>10.97</v>
      </c>
      <c r="AC6">
        <v>12.2968211469067</v>
      </c>
      <c r="AD6">
        <v>2097.1</v>
      </c>
      <c r="AE6">
        <v>0.5471695608846765</v>
      </c>
      <c r="AG6">
        <v>2023</v>
      </c>
      <c r="AH6">
        <v>5.6131931650736817</v>
      </c>
      <c r="AI6">
        <v>7.84</v>
      </c>
      <c r="AJ6">
        <v>10.97</v>
      </c>
      <c r="AK6">
        <v>12.2968211469067</v>
      </c>
      <c r="AL6">
        <v>2097.1</v>
      </c>
      <c r="AM6">
        <v>0.22267117754498927</v>
      </c>
      <c r="AO6">
        <v>2023</v>
      </c>
      <c r="AP6">
        <v>5.6131931650736817</v>
      </c>
      <c r="AQ6">
        <v>7.84</v>
      </c>
      <c r="AR6">
        <v>10.97</v>
      </c>
      <c r="AS6">
        <v>12.2968211469067</v>
      </c>
      <c r="AT6">
        <v>2097.1</v>
      </c>
      <c r="AU6">
        <v>0.57087694459159255</v>
      </c>
      <c r="AW6">
        <v>2023</v>
      </c>
      <c r="AX6">
        <v>5.6131931650736817</v>
      </c>
      <c r="AY6">
        <v>7.84</v>
      </c>
      <c r="AZ6">
        <v>10.97</v>
      </c>
      <c r="BA6">
        <v>12.2968211469067</v>
      </c>
      <c r="BB6">
        <v>2097.1</v>
      </c>
      <c r="BC6">
        <v>0</v>
      </c>
      <c r="BE6">
        <v>2023</v>
      </c>
      <c r="BF6">
        <v>5.6131931650736817</v>
      </c>
      <c r="BG6">
        <v>7.84</v>
      </c>
      <c r="BH6">
        <v>10.97</v>
      </c>
      <c r="BI6">
        <v>12.2968211469067</v>
      </c>
      <c r="BJ6">
        <v>2097.1</v>
      </c>
      <c r="BK6">
        <v>0</v>
      </c>
      <c r="BM6">
        <v>2023</v>
      </c>
      <c r="BN6">
        <v>5.6131931650736817</v>
      </c>
      <c r="BO6">
        <v>7.84</v>
      </c>
      <c r="BP6">
        <v>10.97</v>
      </c>
      <c r="BQ6">
        <v>12.2968211469067</v>
      </c>
      <c r="BR6">
        <v>2097.1</v>
      </c>
      <c r="BS6">
        <v>4.8253518187970509E-2</v>
      </c>
      <c r="BU6">
        <v>2023</v>
      </c>
      <c r="BV6">
        <v>5.6131931650736817</v>
      </c>
      <c r="BW6">
        <v>7.84</v>
      </c>
      <c r="BX6">
        <v>10.97</v>
      </c>
      <c r="BY6">
        <v>12.2968211469067</v>
      </c>
      <c r="BZ6">
        <v>2097.1</v>
      </c>
      <c r="CA6">
        <v>0.30620473008252241</v>
      </c>
      <c r="CC6">
        <v>2023</v>
      </c>
      <c r="CD6">
        <v>5.6131931650736817</v>
      </c>
      <c r="CE6">
        <v>7.84</v>
      </c>
      <c r="CF6">
        <v>10.97</v>
      </c>
      <c r="CG6">
        <v>12.2968211469067</v>
      </c>
      <c r="CH6">
        <v>2097.1</v>
      </c>
      <c r="CI6">
        <v>0</v>
      </c>
      <c r="CK6">
        <v>2023</v>
      </c>
      <c r="CL6">
        <v>5.6131931650736817</v>
      </c>
      <c r="CM6">
        <v>7.84</v>
      </c>
      <c r="CN6">
        <v>10.97</v>
      </c>
      <c r="CO6">
        <v>12.2968211469067</v>
      </c>
      <c r="CP6">
        <v>2097.1</v>
      </c>
      <c r="CQ6">
        <v>0</v>
      </c>
      <c r="CS6">
        <v>2023</v>
      </c>
      <c r="CT6">
        <v>5.6131931650736817</v>
      </c>
      <c r="CU6">
        <v>7.84</v>
      </c>
      <c r="CV6">
        <v>10.97</v>
      </c>
      <c r="CW6">
        <v>12.2968211469067</v>
      </c>
      <c r="CX6">
        <v>2097.1</v>
      </c>
      <c r="CY6">
        <v>2.2120370092651588E-2</v>
      </c>
      <c r="DA6">
        <v>2023</v>
      </c>
      <c r="DB6">
        <v>5.6131931650736817</v>
      </c>
      <c r="DC6">
        <v>7.84</v>
      </c>
      <c r="DD6">
        <v>10.97</v>
      </c>
      <c r="DE6">
        <v>12.2968211469067</v>
      </c>
      <c r="DF6">
        <v>2097.1</v>
      </c>
      <c r="DG6">
        <v>0.30091663837086768</v>
      </c>
      <c r="DI6">
        <v>2023</v>
      </c>
      <c r="DJ6">
        <v>5.6131931650736817</v>
      </c>
      <c r="DK6">
        <v>7.84</v>
      </c>
      <c r="DL6">
        <v>10.97</v>
      </c>
      <c r="DM6">
        <v>12.2968211469067</v>
      </c>
      <c r="DN6">
        <v>2097.1</v>
      </c>
      <c r="DO6">
        <v>0</v>
      </c>
      <c r="DQ6">
        <v>2023</v>
      </c>
      <c r="DR6">
        <v>5.6131931650736817</v>
      </c>
      <c r="DS6">
        <v>7.84</v>
      </c>
      <c r="DT6">
        <v>10.97</v>
      </c>
      <c r="DU6">
        <v>12.2968211469067</v>
      </c>
      <c r="DV6">
        <v>2097.1</v>
      </c>
      <c r="DW6">
        <v>0</v>
      </c>
      <c r="DY6">
        <v>2023</v>
      </c>
      <c r="DZ6">
        <v>5.6131931650736817</v>
      </c>
      <c r="EA6">
        <v>7.84</v>
      </c>
      <c r="EB6">
        <v>10.97</v>
      </c>
      <c r="EC6">
        <v>12.2968211469067</v>
      </c>
      <c r="ED6">
        <v>2097.1</v>
      </c>
      <c r="EE6">
        <v>0.35325458104204666</v>
      </c>
      <c r="EG6">
        <v>2023</v>
      </c>
      <c r="EH6">
        <v>5.6131931650736817</v>
      </c>
      <c r="EI6">
        <v>7.84</v>
      </c>
      <c r="EJ6">
        <v>10.97</v>
      </c>
      <c r="EK6">
        <v>12.2968211469067</v>
      </c>
      <c r="EL6">
        <v>2097.1</v>
      </c>
      <c r="EM6">
        <v>0.62335945928239422</v>
      </c>
      <c r="EO6">
        <v>2023</v>
      </c>
      <c r="EP6">
        <v>5.6131931650736817</v>
      </c>
      <c r="EQ6">
        <v>7.84</v>
      </c>
      <c r="ER6">
        <v>10.97</v>
      </c>
      <c r="ES6">
        <v>12.2968211469067</v>
      </c>
      <c r="ET6">
        <v>2097.1</v>
      </c>
      <c r="EU6">
        <v>0.15762866978083007</v>
      </c>
      <c r="EW6">
        <v>2023</v>
      </c>
      <c r="EX6">
        <v>5.6131931650736817</v>
      </c>
      <c r="EY6">
        <v>7.84</v>
      </c>
      <c r="EZ6">
        <v>10.97</v>
      </c>
      <c r="FA6">
        <v>12.2968211469067</v>
      </c>
      <c r="FB6">
        <v>2097.1</v>
      </c>
      <c r="FC6">
        <v>0.52325535424866698</v>
      </c>
      <c r="FE6">
        <v>2023</v>
      </c>
      <c r="FF6">
        <v>5.6131931650736817</v>
      </c>
      <c r="FG6">
        <v>7.84</v>
      </c>
      <c r="FH6">
        <v>10.97</v>
      </c>
      <c r="FI6">
        <v>12.2968211469067</v>
      </c>
      <c r="FJ6">
        <v>2097.1</v>
      </c>
      <c r="FK6">
        <v>0</v>
      </c>
      <c r="FM6">
        <v>2023</v>
      </c>
      <c r="FN6">
        <v>5.6131931650736817</v>
      </c>
      <c r="FO6">
        <v>7.84</v>
      </c>
      <c r="FP6">
        <v>10.97</v>
      </c>
      <c r="FQ6">
        <v>12.2968211469067</v>
      </c>
      <c r="FR6">
        <v>2097.1</v>
      </c>
      <c r="FS6">
        <v>0</v>
      </c>
      <c r="FU6">
        <v>2023</v>
      </c>
      <c r="FV6">
        <v>5.6131931650736817</v>
      </c>
      <c r="FW6">
        <v>7.84</v>
      </c>
      <c r="FX6">
        <v>10.97</v>
      </c>
      <c r="FY6">
        <v>12.2968211469067</v>
      </c>
      <c r="FZ6">
        <v>2097.1</v>
      </c>
      <c r="GA6">
        <v>0</v>
      </c>
      <c r="GC6">
        <v>2023</v>
      </c>
      <c r="GD6">
        <v>5.6131931650736817</v>
      </c>
      <c r="GE6">
        <v>7.84</v>
      </c>
      <c r="GF6">
        <v>10.97</v>
      </c>
      <c r="GG6">
        <v>12.2968211469067</v>
      </c>
      <c r="GH6">
        <v>2097.1</v>
      </c>
      <c r="GI6">
        <v>0</v>
      </c>
      <c r="GK6">
        <v>2023</v>
      </c>
      <c r="GL6">
        <v>5.6131931650736817</v>
      </c>
      <c r="GM6">
        <v>7.84</v>
      </c>
      <c r="GN6">
        <v>10.97</v>
      </c>
      <c r="GO6">
        <v>12.2968211469067</v>
      </c>
      <c r="GP6">
        <v>2097.1</v>
      </c>
      <c r="GQ6">
        <v>0</v>
      </c>
      <c r="GS6">
        <v>2023</v>
      </c>
      <c r="GT6">
        <v>5.6131931650736817</v>
      </c>
      <c r="GU6">
        <v>7.84</v>
      </c>
      <c r="GV6">
        <v>10.97</v>
      </c>
      <c r="GW6">
        <v>12.2968211469067</v>
      </c>
      <c r="GX6">
        <v>2097.1</v>
      </c>
      <c r="GY6">
        <v>0</v>
      </c>
      <c r="HA6">
        <v>2023</v>
      </c>
      <c r="HB6">
        <v>5.6131931650736817</v>
      </c>
      <c r="HC6">
        <v>7.84</v>
      </c>
      <c r="HD6">
        <v>10.97</v>
      </c>
      <c r="HE6">
        <v>12.2968211469067</v>
      </c>
      <c r="HF6">
        <v>2097.1</v>
      </c>
      <c r="HG6">
        <v>0.16408023497465682</v>
      </c>
      <c r="HI6">
        <v>2023</v>
      </c>
      <c r="HJ6">
        <v>5.6131931650736817</v>
      </c>
      <c r="HK6">
        <v>7.84</v>
      </c>
      <c r="HL6">
        <v>10.97</v>
      </c>
      <c r="HM6">
        <v>12.2968211469067</v>
      </c>
      <c r="HN6">
        <v>2097.1</v>
      </c>
      <c r="HO6">
        <v>0.22086483351147168</v>
      </c>
      <c r="HQ6">
        <v>2023</v>
      </c>
      <c r="HR6">
        <v>5.6131931650736817</v>
      </c>
      <c r="HS6">
        <v>7.84</v>
      </c>
      <c r="HT6">
        <v>10.97</v>
      </c>
      <c r="HU6">
        <v>12.2968211469067</v>
      </c>
      <c r="HV6">
        <v>2097.1</v>
      </c>
      <c r="HW6">
        <v>0.11600526455979068</v>
      </c>
      <c r="HY6">
        <v>2023</v>
      </c>
      <c r="HZ6">
        <v>5.6131931650736817</v>
      </c>
      <c r="IA6">
        <v>7.84</v>
      </c>
      <c r="IB6">
        <v>10.97</v>
      </c>
      <c r="IC6">
        <v>12.2968211469067</v>
      </c>
      <c r="ID6">
        <v>2097.1</v>
      </c>
      <c r="IE6">
        <v>0.28438303108585788</v>
      </c>
      <c r="IG6">
        <v>2023</v>
      </c>
      <c r="IH6">
        <v>5.6131931650736817</v>
      </c>
      <c r="II6">
        <v>7.84</v>
      </c>
      <c r="IJ6">
        <v>10.97</v>
      </c>
      <c r="IK6">
        <v>12.2968211469067</v>
      </c>
      <c r="IL6">
        <v>2097.1</v>
      </c>
      <c r="IM6">
        <v>0.13915048905235808</v>
      </c>
      <c r="IO6">
        <v>2023</v>
      </c>
      <c r="IP6">
        <v>5.6131931650736817</v>
      </c>
      <c r="IQ6">
        <v>7.84</v>
      </c>
      <c r="IR6">
        <v>10.97</v>
      </c>
      <c r="IS6">
        <v>12.2968211469067</v>
      </c>
      <c r="IT6">
        <v>2097.1</v>
      </c>
      <c r="IU6">
        <v>0.34247266955111461</v>
      </c>
      <c r="IW6">
        <v>2023</v>
      </c>
      <c r="IX6">
        <v>5.6131931650736817</v>
      </c>
      <c r="IY6">
        <v>7.84</v>
      </c>
      <c r="IZ6">
        <v>10.97</v>
      </c>
      <c r="JA6">
        <v>12.2968211469067</v>
      </c>
      <c r="JB6">
        <v>2097.1</v>
      </c>
      <c r="JC6">
        <v>0</v>
      </c>
      <c r="JE6">
        <v>2023</v>
      </c>
      <c r="JF6">
        <v>5.6131931650736817</v>
      </c>
      <c r="JG6">
        <v>7.84</v>
      </c>
      <c r="JH6">
        <v>10.97</v>
      </c>
      <c r="JI6">
        <v>12.2968211469067</v>
      </c>
      <c r="JJ6">
        <v>2097.1</v>
      </c>
      <c r="JK6">
        <v>0</v>
      </c>
      <c r="JM6">
        <v>2023</v>
      </c>
      <c r="JN6">
        <v>5.6131931650736817</v>
      </c>
      <c r="JO6">
        <v>7.84</v>
      </c>
      <c r="JP6">
        <v>10.97</v>
      </c>
      <c r="JQ6">
        <v>12.2968211469067</v>
      </c>
      <c r="JR6">
        <v>2097.1</v>
      </c>
      <c r="JS6">
        <v>0</v>
      </c>
      <c r="JU6">
        <v>2023</v>
      </c>
      <c r="JV6">
        <v>5.6131931650736817</v>
      </c>
      <c r="JW6">
        <v>7.84</v>
      </c>
      <c r="JX6">
        <v>10.97</v>
      </c>
      <c r="JY6">
        <v>12.2968211469067</v>
      </c>
      <c r="JZ6">
        <v>2097.1</v>
      </c>
      <c r="KA6">
        <v>0</v>
      </c>
      <c r="KC6">
        <v>2023</v>
      </c>
      <c r="KD6">
        <v>5.6131931650736817</v>
      </c>
      <c r="KE6">
        <v>7.84</v>
      </c>
      <c r="KF6">
        <v>10.97</v>
      </c>
      <c r="KG6">
        <v>12.2968211469067</v>
      </c>
      <c r="KH6">
        <v>2097.1</v>
      </c>
      <c r="KI6">
        <v>0.1475339489113062</v>
      </c>
      <c r="KK6">
        <v>2023</v>
      </c>
      <c r="KL6">
        <v>5.6131931650736817</v>
      </c>
      <c r="KM6">
        <v>7.84</v>
      </c>
      <c r="KN6">
        <v>10.97</v>
      </c>
      <c r="KO6">
        <v>12.2968211469067</v>
      </c>
      <c r="KP6">
        <v>2097.1</v>
      </c>
      <c r="KQ6">
        <v>0.33138982303237929</v>
      </c>
      <c r="KS6">
        <v>2023</v>
      </c>
      <c r="KT6">
        <v>5.6131931650736817</v>
      </c>
      <c r="KU6">
        <v>7.84</v>
      </c>
      <c r="KV6">
        <v>10.97</v>
      </c>
      <c r="KW6">
        <v>12.2968211469067</v>
      </c>
      <c r="KX6">
        <v>2097.1</v>
      </c>
      <c r="KY6">
        <v>0</v>
      </c>
      <c r="LA6">
        <v>2023</v>
      </c>
      <c r="LB6">
        <v>5.6131931650736817</v>
      </c>
      <c r="LC6">
        <v>7.84</v>
      </c>
      <c r="LD6">
        <v>10.97</v>
      </c>
      <c r="LE6">
        <v>12.2968211469067</v>
      </c>
      <c r="LF6">
        <v>2097.1</v>
      </c>
      <c r="LG6">
        <v>0</v>
      </c>
      <c r="LI6">
        <v>2023</v>
      </c>
      <c r="LJ6">
        <v>5.6131931650736817</v>
      </c>
      <c r="LK6">
        <v>7.84</v>
      </c>
      <c r="LL6">
        <v>10.97</v>
      </c>
      <c r="LM6">
        <v>12.2968211469067</v>
      </c>
      <c r="LN6">
        <v>2097.1</v>
      </c>
      <c r="LO6">
        <v>0.12710994441446352</v>
      </c>
      <c r="LQ6">
        <v>2023</v>
      </c>
      <c r="LR6">
        <v>5.6131931650736817</v>
      </c>
      <c r="LS6">
        <v>7.84</v>
      </c>
      <c r="LT6">
        <v>10.97</v>
      </c>
      <c r="LU6">
        <v>12.2968211469067</v>
      </c>
      <c r="LV6">
        <v>2097.1</v>
      </c>
      <c r="LW6">
        <v>0.33406641678691501</v>
      </c>
      <c r="LY6">
        <v>2023</v>
      </c>
      <c r="LZ6">
        <v>5.6131931650736817</v>
      </c>
      <c r="MA6">
        <v>7.84</v>
      </c>
      <c r="MB6">
        <v>10.97</v>
      </c>
      <c r="MC6">
        <v>12.2968211469067</v>
      </c>
      <c r="MD6">
        <v>2097.1</v>
      </c>
      <c r="ME6">
        <v>1.6926832705674869E-2</v>
      </c>
      <c r="MG6">
        <v>2023</v>
      </c>
      <c r="MH6">
        <v>5.6131931650736817</v>
      </c>
      <c r="MI6">
        <v>7.84</v>
      </c>
      <c r="MJ6">
        <v>10.97</v>
      </c>
      <c r="MK6">
        <v>12.2968211469067</v>
      </c>
      <c r="ML6">
        <v>2097.1</v>
      </c>
      <c r="MM6">
        <v>9.6535853797813237E-2</v>
      </c>
      <c r="MO6">
        <v>2023</v>
      </c>
      <c r="MP6">
        <v>5.6131931650736817</v>
      </c>
      <c r="MQ6">
        <v>7.84</v>
      </c>
      <c r="MR6">
        <v>10.97</v>
      </c>
      <c r="MS6">
        <v>12.2968211469067</v>
      </c>
      <c r="MT6">
        <v>2097.1</v>
      </c>
      <c r="MU6">
        <v>0.25</v>
      </c>
      <c r="MW6">
        <v>2023</v>
      </c>
      <c r="MX6">
        <v>5.6131931650736817</v>
      </c>
      <c r="MY6">
        <v>7.84</v>
      </c>
      <c r="MZ6">
        <v>10.97</v>
      </c>
      <c r="NA6">
        <v>12.2968211469067</v>
      </c>
      <c r="NB6">
        <v>2097.1</v>
      </c>
      <c r="NC6">
        <v>0</v>
      </c>
      <c r="NE6">
        <v>2023</v>
      </c>
      <c r="NF6">
        <v>5.6131931650736817</v>
      </c>
      <c r="NG6">
        <v>7.84</v>
      </c>
      <c r="NH6">
        <v>10.97</v>
      </c>
      <c r="NI6">
        <v>12.2968211469067</v>
      </c>
      <c r="NJ6">
        <v>2097.1</v>
      </c>
      <c r="NK6">
        <v>0</v>
      </c>
      <c r="NM6">
        <v>2023</v>
      </c>
      <c r="NN6">
        <v>5.6131931650736817</v>
      </c>
      <c r="NO6">
        <v>7.84</v>
      </c>
      <c r="NP6">
        <v>10.97</v>
      </c>
      <c r="NQ6">
        <v>12.2968211469067</v>
      </c>
      <c r="NR6">
        <v>2097.1</v>
      </c>
      <c r="NS6">
        <v>0</v>
      </c>
      <c r="NU6">
        <v>2023</v>
      </c>
      <c r="NV6">
        <v>5.6131931650736817</v>
      </c>
      <c r="NW6">
        <v>7.84</v>
      </c>
      <c r="NX6">
        <v>10.97</v>
      </c>
      <c r="NY6">
        <v>12.2968211469067</v>
      </c>
      <c r="NZ6">
        <v>2097.1</v>
      </c>
      <c r="OA6">
        <v>0.1069850493470057</v>
      </c>
      <c r="OC6">
        <v>2023</v>
      </c>
      <c r="OD6">
        <v>5.6131931650736817</v>
      </c>
      <c r="OE6">
        <v>7.84</v>
      </c>
      <c r="OF6">
        <v>10.97</v>
      </c>
      <c r="OG6">
        <v>12.2968211469067</v>
      </c>
      <c r="OH6">
        <v>2097.1</v>
      </c>
      <c r="OI6">
        <v>0.38108994373566701</v>
      </c>
      <c r="OK6">
        <v>2023</v>
      </c>
      <c r="OL6">
        <v>5.6131931650736817</v>
      </c>
      <c r="OM6">
        <v>7.84</v>
      </c>
      <c r="ON6">
        <v>10.97</v>
      </c>
      <c r="OO6">
        <v>12.2968211469067</v>
      </c>
      <c r="OP6">
        <v>2097.1</v>
      </c>
      <c r="OQ6">
        <v>0.14936838767012817</v>
      </c>
      <c r="OS6">
        <v>2023</v>
      </c>
      <c r="OT6">
        <v>5.6131931650736817</v>
      </c>
      <c r="OU6">
        <v>7.84</v>
      </c>
      <c r="OV6">
        <v>10.97</v>
      </c>
      <c r="OW6">
        <v>12.2968211469067</v>
      </c>
      <c r="OX6">
        <v>2097.1</v>
      </c>
      <c r="OY6">
        <v>0.42847838969457391</v>
      </c>
      <c r="PA6">
        <v>2023</v>
      </c>
      <c r="PB6">
        <v>5.6131931650736817</v>
      </c>
      <c r="PC6">
        <v>7.84</v>
      </c>
      <c r="PD6">
        <v>10.97</v>
      </c>
      <c r="PE6">
        <v>12.2968211469067</v>
      </c>
      <c r="PF6">
        <v>2097.1</v>
      </c>
      <c r="PG6">
        <v>0</v>
      </c>
      <c r="PI6">
        <v>2023</v>
      </c>
      <c r="PJ6">
        <v>5.6131931650736817</v>
      </c>
      <c r="PK6">
        <v>7.84</v>
      </c>
      <c r="PL6">
        <v>10.97</v>
      </c>
      <c r="PM6">
        <v>12.2968211469067</v>
      </c>
      <c r="PN6">
        <v>2097.1</v>
      </c>
      <c r="PO6">
        <v>0</v>
      </c>
      <c r="PQ6">
        <v>2023</v>
      </c>
      <c r="PR6">
        <v>5.6131931650736817</v>
      </c>
      <c r="PS6">
        <v>7.84</v>
      </c>
      <c r="PT6">
        <v>10.97</v>
      </c>
      <c r="PU6">
        <v>12.2968211469067</v>
      </c>
      <c r="PV6">
        <v>2097.1</v>
      </c>
      <c r="PW6">
        <v>0.29025768403847174</v>
      </c>
      <c r="PY6">
        <v>2023</v>
      </c>
      <c r="PZ6">
        <v>5.6131931650736817</v>
      </c>
      <c r="QA6">
        <v>7.84</v>
      </c>
      <c r="QB6">
        <v>10.97</v>
      </c>
      <c r="QC6">
        <v>12.2968211469067</v>
      </c>
      <c r="QD6">
        <v>2097.1</v>
      </c>
      <c r="QE6" s="1">
        <v>0.46560914390509678</v>
      </c>
      <c r="XEW6" s="25"/>
      <c r="XEX6" s="25"/>
      <c r="XEY6" s="25"/>
      <c r="XEZ6" s="25"/>
      <c r="XFA6" s="25"/>
    </row>
    <row r="7" spans="1:447 16377:16381" x14ac:dyDescent="0.45">
      <c r="A7">
        <v>2024</v>
      </c>
      <c r="B7">
        <v>3.3</v>
      </c>
      <c r="C7">
        <v>4.0999999999999996</v>
      </c>
      <c r="D7">
        <v>11.953800000000001</v>
      </c>
      <c r="E7">
        <v>9.9340099482150723</v>
      </c>
      <c r="F7">
        <v>2240.41</v>
      </c>
      <c r="G7" s="1">
        <v>0.11297558200512696</v>
      </c>
      <c r="H7" s="1"/>
      <c r="I7">
        <v>2024</v>
      </c>
      <c r="J7">
        <v>3.3</v>
      </c>
      <c r="K7">
        <v>4.0999999999999996</v>
      </c>
      <c r="L7">
        <v>11.953800000000001</v>
      </c>
      <c r="M7">
        <v>9.9340099482150723</v>
      </c>
      <c r="N7">
        <v>2240.41</v>
      </c>
      <c r="O7">
        <v>0.32356664254782208</v>
      </c>
      <c r="Q7">
        <v>2024</v>
      </c>
      <c r="R7">
        <v>3.3</v>
      </c>
      <c r="S7">
        <v>4.0999999999999996</v>
      </c>
      <c r="T7">
        <v>11.953800000000001</v>
      </c>
      <c r="U7">
        <v>9.9340099482150723</v>
      </c>
      <c r="V7">
        <v>2240.41</v>
      </c>
      <c r="W7">
        <v>0.17872950986513456</v>
      </c>
      <c r="Y7">
        <v>2024</v>
      </c>
      <c r="Z7">
        <v>3.3</v>
      </c>
      <c r="AA7">
        <v>4.0999999999999996</v>
      </c>
      <c r="AB7">
        <v>11.953800000000001</v>
      </c>
      <c r="AC7">
        <v>9.9340099482150723</v>
      </c>
      <c r="AD7">
        <v>2240.41</v>
      </c>
      <c r="AE7">
        <v>0.55421571055864793</v>
      </c>
      <c r="AG7">
        <v>2024</v>
      </c>
      <c r="AH7">
        <v>3.3</v>
      </c>
      <c r="AI7">
        <v>4.0999999999999996</v>
      </c>
      <c r="AJ7">
        <v>11.953800000000001</v>
      </c>
      <c r="AK7">
        <v>9.9340099482150723</v>
      </c>
      <c r="AL7">
        <v>2240.41</v>
      </c>
      <c r="AM7">
        <v>0.30696378116375417</v>
      </c>
      <c r="AO7">
        <v>2024</v>
      </c>
      <c r="AP7">
        <v>3.3</v>
      </c>
      <c r="AQ7">
        <v>4.0999999999999996</v>
      </c>
      <c r="AR7">
        <v>11.953800000000001</v>
      </c>
      <c r="AS7">
        <v>9.9340099482150723</v>
      </c>
      <c r="AT7">
        <v>2240.41</v>
      </c>
      <c r="AU7">
        <v>0.53982378252430263</v>
      </c>
      <c r="AW7">
        <v>2024</v>
      </c>
      <c r="AX7">
        <v>3.3</v>
      </c>
      <c r="AY7">
        <v>4.0999999999999996</v>
      </c>
      <c r="AZ7">
        <v>11.953800000000001</v>
      </c>
      <c r="BA7">
        <v>9.9340099482150723</v>
      </c>
      <c r="BB7">
        <v>2240.41</v>
      </c>
      <c r="BC7">
        <v>0</v>
      </c>
      <c r="BE7">
        <v>2024</v>
      </c>
      <c r="BF7">
        <v>3.3</v>
      </c>
      <c r="BG7">
        <v>4.0999999999999996</v>
      </c>
      <c r="BH7">
        <v>11.953800000000001</v>
      </c>
      <c r="BI7">
        <v>9.9340099482150723</v>
      </c>
      <c r="BJ7">
        <v>2240.41</v>
      </c>
      <c r="BK7">
        <v>0</v>
      </c>
      <c r="BM7">
        <v>2024</v>
      </c>
      <c r="BN7">
        <v>3.3</v>
      </c>
      <c r="BO7">
        <v>4.0999999999999996</v>
      </c>
      <c r="BP7">
        <v>11.953800000000001</v>
      </c>
      <c r="BQ7">
        <v>9.9340099482150723</v>
      </c>
      <c r="BR7">
        <v>2240.41</v>
      </c>
      <c r="BS7">
        <v>5.0529363063477545E-3</v>
      </c>
      <c r="BU7">
        <v>2024</v>
      </c>
      <c r="BV7">
        <v>3.3</v>
      </c>
      <c r="BW7">
        <v>4.0999999999999996</v>
      </c>
      <c r="BX7">
        <v>11.953800000000001</v>
      </c>
      <c r="BY7">
        <v>9.9340099482150723</v>
      </c>
      <c r="BZ7">
        <v>2240.41</v>
      </c>
      <c r="CA7">
        <v>0.35523413850159097</v>
      </c>
      <c r="CC7">
        <v>2024</v>
      </c>
      <c r="CD7">
        <v>3.3</v>
      </c>
      <c r="CE7">
        <v>4.0999999999999996</v>
      </c>
      <c r="CF7">
        <v>11.953800000000001</v>
      </c>
      <c r="CG7">
        <v>9.9340099482150723</v>
      </c>
      <c r="CH7">
        <v>2240.41</v>
      </c>
      <c r="CI7">
        <v>0</v>
      </c>
      <c r="CK7">
        <v>2024</v>
      </c>
      <c r="CL7">
        <v>3.3</v>
      </c>
      <c r="CM7">
        <v>4.0999999999999996</v>
      </c>
      <c r="CN7">
        <v>11.953800000000001</v>
      </c>
      <c r="CO7">
        <v>9.9340099482150723</v>
      </c>
      <c r="CP7">
        <v>2240.41</v>
      </c>
      <c r="CQ7">
        <v>0</v>
      </c>
      <c r="CS7">
        <v>2024</v>
      </c>
      <c r="CT7">
        <v>3.3</v>
      </c>
      <c r="CU7">
        <v>4.0999999999999996</v>
      </c>
      <c r="CV7">
        <v>11.953800000000001</v>
      </c>
      <c r="CW7">
        <v>9.9340099482150723</v>
      </c>
      <c r="CX7">
        <v>2240.41</v>
      </c>
      <c r="CY7">
        <v>0.10287640780377083</v>
      </c>
      <c r="DA7">
        <v>2024</v>
      </c>
      <c r="DB7">
        <v>3.3</v>
      </c>
      <c r="DC7">
        <v>4.0999999999999996</v>
      </c>
      <c r="DD7">
        <v>11.953800000000001</v>
      </c>
      <c r="DE7">
        <v>9.9340099482150723</v>
      </c>
      <c r="DF7">
        <v>2240.41</v>
      </c>
      <c r="DG7">
        <v>0</v>
      </c>
      <c r="DI7">
        <v>2024</v>
      </c>
      <c r="DJ7">
        <v>3.3</v>
      </c>
      <c r="DK7">
        <v>4.0999999999999996</v>
      </c>
      <c r="DL7">
        <v>11.953800000000001</v>
      </c>
      <c r="DM7">
        <v>9.9340099482150723</v>
      </c>
      <c r="DN7">
        <v>2240.41</v>
      </c>
      <c r="DO7">
        <v>0</v>
      </c>
      <c r="DQ7">
        <v>2024</v>
      </c>
      <c r="DR7">
        <v>3.3</v>
      </c>
      <c r="DS7">
        <v>4.0999999999999996</v>
      </c>
      <c r="DT7">
        <v>11.953800000000001</v>
      </c>
      <c r="DU7">
        <v>9.9340099482150723</v>
      </c>
      <c r="DV7">
        <v>2240.41</v>
      </c>
      <c r="DW7">
        <v>0</v>
      </c>
      <c r="DY7">
        <v>2024</v>
      </c>
      <c r="DZ7">
        <v>3.3</v>
      </c>
      <c r="EA7">
        <v>4.0999999999999996</v>
      </c>
      <c r="EB7">
        <v>11.953800000000001</v>
      </c>
      <c r="EC7">
        <v>9.9340099482150723</v>
      </c>
      <c r="ED7">
        <v>2240.41</v>
      </c>
      <c r="EE7">
        <v>7.7306729082456407E-2</v>
      </c>
      <c r="EG7">
        <v>2024</v>
      </c>
      <c r="EH7">
        <v>3.3</v>
      </c>
      <c r="EI7">
        <v>4.0999999999999996</v>
      </c>
      <c r="EJ7">
        <v>11.953800000000001</v>
      </c>
      <c r="EK7">
        <v>9.9340099482150723</v>
      </c>
      <c r="EL7">
        <v>2240.41</v>
      </c>
      <c r="EM7">
        <v>0.43168403049221232</v>
      </c>
      <c r="EO7">
        <v>2024</v>
      </c>
      <c r="EP7">
        <v>3.3</v>
      </c>
      <c r="EQ7">
        <v>4.0999999999999996</v>
      </c>
      <c r="ER7">
        <v>11.953800000000001</v>
      </c>
      <c r="ES7">
        <v>9.9340099482150723</v>
      </c>
      <c r="ET7">
        <v>2240.41</v>
      </c>
      <c r="EU7">
        <v>0.11448781997407037</v>
      </c>
      <c r="EW7">
        <v>2024</v>
      </c>
      <c r="EX7">
        <v>3.3</v>
      </c>
      <c r="EY7">
        <v>4.0999999999999996</v>
      </c>
      <c r="EZ7">
        <v>11.953800000000001</v>
      </c>
      <c r="FA7">
        <v>9.9340099482150723</v>
      </c>
      <c r="FB7">
        <v>2240.41</v>
      </c>
      <c r="FC7">
        <v>0.48931537184993812</v>
      </c>
      <c r="FE7">
        <v>2024</v>
      </c>
      <c r="FF7">
        <v>3.3</v>
      </c>
      <c r="FG7">
        <v>4.0999999999999996</v>
      </c>
      <c r="FH7">
        <v>11.953800000000001</v>
      </c>
      <c r="FI7">
        <v>9.9340099482150723</v>
      </c>
      <c r="FJ7">
        <v>2240.41</v>
      </c>
      <c r="FK7">
        <v>0</v>
      </c>
      <c r="FM7">
        <v>2024</v>
      </c>
      <c r="FN7">
        <v>3.3</v>
      </c>
      <c r="FO7">
        <v>4.0999999999999996</v>
      </c>
      <c r="FP7">
        <v>11.953800000000001</v>
      </c>
      <c r="FQ7">
        <v>9.9340099482150723</v>
      </c>
      <c r="FR7">
        <v>2240.41</v>
      </c>
      <c r="FS7">
        <v>0</v>
      </c>
      <c r="FU7">
        <v>2024</v>
      </c>
      <c r="FV7">
        <v>3.3</v>
      </c>
      <c r="FW7">
        <v>4.0999999999999996</v>
      </c>
      <c r="FX7">
        <v>11.953800000000001</v>
      </c>
      <c r="FY7">
        <v>9.9340099482150723</v>
      </c>
      <c r="FZ7">
        <v>2240.41</v>
      </c>
      <c r="GA7">
        <v>0</v>
      </c>
      <c r="GC7">
        <v>2024</v>
      </c>
      <c r="GD7">
        <v>3.3</v>
      </c>
      <c r="GE7">
        <v>4.0999999999999996</v>
      </c>
      <c r="GF7">
        <v>11.953800000000001</v>
      </c>
      <c r="GG7">
        <v>9.9340099482150723</v>
      </c>
      <c r="GH7">
        <v>2240.41</v>
      </c>
      <c r="GI7">
        <v>0</v>
      </c>
      <c r="GK7">
        <v>2024</v>
      </c>
      <c r="GL7">
        <v>3.3</v>
      </c>
      <c r="GM7">
        <v>4.0999999999999996</v>
      </c>
      <c r="GN7">
        <v>11.953800000000001</v>
      </c>
      <c r="GO7">
        <v>9.9340099482150723</v>
      </c>
      <c r="GP7">
        <v>2240.41</v>
      </c>
      <c r="GQ7">
        <v>0</v>
      </c>
      <c r="GS7">
        <v>2024</v>
      </c>
      <c r="GT7">
        <v>3.3</v>
      </c>
      <c r="GU7">
        <v>4.0999999999999996</v>
      </c>
      <c r="GV7">
        <v>11.953800000000001</v>
      </c>
      <c r="GW7">
        <v>9.9340099482150723</v>
      </c>
      <c r="GX7">
        <v>2240.41</v>
      </c>
      <c r="GY7">
        <v>0</v>
      </c>
      <c r="HA7">
        <v>2024</v>
      </c>
      <c r="HB7">
        <v>3.3</v>
      </c>
      <c r="HC7">
        <v>4.0999999999999996</v>
      </c>
      <c r="HD7">
        <v>11.953800000000001</v>
      </c>
      <c r="HE7">
        <v>9.9340099482150723</v>
      </c>
      <c r="HF7">
        <v>2240.41</v>
      </c>
      <c r="HG7">
        <v>0.1514574738640263</v>
      </c>
      <c r="HI7">
        <v>2024</v>
      </c>
      <c r="HJ7">
        <v>3.3</v>
      </c>
      <c r="HK7">
        <v>4.0999999999999996</v>
      </c>
      <c r="HL7">
        <v>11.953800000000001</v>
      </c>
      <c r="HM7">
        <v>9.9340099482150723</v>
      </c>
      <c r="HN7">
        <v>2240.41</v>
      </c>
      <c r="HO7">
        <v>0.28153672462552592</v>
      </c>
      <c r="HQ7">
        <v>2024</v>
      </c>
      <c r="HR7">
        <v>3.3</v>
      </c>
      <c r="HS7">
        <v>4.0999999999999996</v>
      </c>
      <c r="HT7">
        <v>11.953800000000001</v>
      </c>
      <c r="HU7">
        <v>9.9340099482150723</v>
      </c>
      <c r="HV7">
        <v>2240.41</v>
      </c>
      <c r="HW7">
        <v>0.19909285648082933</v>
      </c>
      <c r="HY7">
        <v>2024</v>
      </c>
      <c r="HZ7">
        <v>3.3</v>
      </c>
      <c r="IA7">
        <v>4.0999999999999996</v>
      </c>
      <c r="IB7">
        <v>11.953800000000001</v>
      </c>
      <c r="IC7">
        <v>9.9340099482150723</v>
      </c>
      <c r="ID7">
        <v>2240.41</v>
      </c>
      <c r="IE7">
        <v>0.57794792488073987</v>
      </c>
      <c r="IG7">
        <v>2024</v>
      </c>
      <c r="IH7">
        <v>3.3</v>
      </c>
      <c r="II7">
        <v>4.0999999999999996</v>
      </c>
      <c r="IJ7">
        <v>11.953800000000001</v>
      </c>
      <c r="IK7">
        <v>9.9340099482150723</v>
      </c>
      <c r="IL7">
        <v>2240.41</v>
      </c>
      <c r="IM7">
        <v>0.23705698516232154</v>
      </c>
      <c r="IO7">
        <v>2024</v>
      </c>
      <c r="IP7">
        <v>3.3</v>
      </c>
      <c r="IQ7">
        <v>4.0999999999999996</v>
      </c>
      <c r="IR7">
        <v>11.953800000000001</v>
      </c>
      <c r="IS7">
        <v>9.9340099482150723</v>
      </c>
      <c r="IT7">
        <v>2240.41</v>
      </c>
      <c r="IU7">
        <v>0.6311266625178118</v>
      </c>
      <c r="IW7">
        <v>2024</v>
      </c>
      <c r="IX7">
        <v>3.3</v>
      </c>
      <c r="IY7">
        <v>4.0999999999999996</v>
      </c>
      <c r="IZ7">
        <v>11.953800000000001</v>
      </c>
      <c r="JA7">
        <v>9.9340099482150723</v>
      </c>
      <c r="JB7">
        <v>2240.41</v>
      </c>
      <c r="JC7">
        <v>0</v>
      </c>
      <c r="JE7">
        <v>2024</v>
      </c>
      <c r="JF7">
        <v>3.3</v>
      </c>
      <c r="JG7">
        <v>4.0999999999999996</v>
      </c>
      <c r="JH7">
        <v>11.953800000000001</v>
      </c>
      <c r="JI7">
        <v>9.9340099482150723</v>
      </c>
      <c r="JJ7">
        <v>2240.41</v>
      </c>
      <c r="JK7">
        <v>0</v>
      </c>
      <c r="JM7">
        <v>2024</v>
      </c>
      <c r="JN7">
        <v>3.3</v>
      </c>
      <c r="JO7">
        <v>4.0999999999999996</v>
      </c>
      <c r="JP7">
        <v>11.953800000000001</v>
      </c>
      <c r="JQ7">
        <v>9.9340099482150723</v>
      </c>
      <c r="JR7">
        <v>2240.41</v>
      </c>
      <c r="JS7">
        <v>0</v>
      </c>
      <c r="JU7">
        <v>2024</v>
      </c>
      <c r="JV7">
        <v>3.3</v>
      </c>
      <c r="JW7">
        <v>4.0999999999999996</v>
      </c>
      <c r="JX7">
        <v>11.953800000000001</v>
      </c>
      <c r="JY7">
        <v>9.9340099482150723</v>
      </c>
      <c r="JZ7">
        <v>2240.41</v>
      </c>
      <c r="KA7">
        <v>0</v>
      </c>
      <c r="KC7">
        <v>2024</v>
      </c>
      <c r="KD7">
        <v>3.3</v>
      </c>
      <c r="KE7">
        <v>4.0999999999999996</v>
      </c>
      <c r="KF7">
        <v>11.953800000000001</v>
      </c>
      <c r="KG7">
        <v>9.9340099482150723</v>
      </c>
      <c r="KH7">
        <v>2240.41</v>
      </c>
      <c r="KI7">
        <v>0.17373071336420828</v>
      </c>
      <c r="KK7">
        <v>2024</v>
      </c>
      <c r="KL7">
        <v>3.3</v>
      </c>
      <c r="KM7">
        <v>4.0999999999999996</v>
      </c>
      <c r="KN7">
        <v>11.953800000000001</v>
      </c>
      <c r="KO7">
        <v>9.9340099482150723</v>
      </c>
      <c r="KP7">
        <v>2240.41</v>
      </c>
      <c r="KQ7">
        <v>0.4175555528023065</v>
      </c>
      <c r="KS7">
        <v>2024</v>
      </c>
      <c r="KT7">
        <v>3.3</v>
      </c>
      <c r="KU7">
        <v>4.0999999999999996</v>
      </c>
      <c r="KV7">
        <v>11.953800000000001</v>
      </c>
      <c r="KW7">
        <v>9.9340099482150723</v>
      </c>
      <c r="KX7">
        <v>2240.41</v>
      </c>
      <c r="KY7">
        <v>4.8751670194818186E-2</v>
      </c>
      <c r="LA7">
        <v>2024</v>
      </c>
      <c r="LB7">
        <v>3.3</v>
      </c>
      <c r="LC7">
        <v>4.0999999999999996</v>
      </c>
      <c r="LD7">
        <v>11.953800000000001</v>
      </c>
      <c r="LE7">
        <v>9.9340099482150723</v>
      </c>
      <c r="LF7">
        <v>2240.41</v>
      </c>
      <c r="LG7">
        <v>0</v>
      </c>
      <c r="LI7">
        <v>2024</v>
      </c>
      <c r="LJ7">
        <v>3.3</v>
      </c>
      <c r="LK7">
        <v>4.0999999999999996</v>
      </c>
      <c r="LL7">
        <v>11.953800000000001</v>
      </c>
      <c r="LM7">
        <v>9.9340099482150723</v>
      </c>
      <c r="LN7">
        <v>2240.41</v>
      </c>
      <c r="LO7">
        <v>0.13688965686439636</v>
      </c>
      <c r="LQ7">
        <v>2024</v>
      </c>
      <c r="LR7">
        <v>3.3</v>
      </c>
      <c r="LS7">
        <v>4.0999999999999996</v>
      </c>
      <c r="LT7">
        <v>11.953800000000001</v>
      </c>
      <c r="LU7">
        <v>9.9340099482150723</v>
      </c>
      <c r="LV7">
        <v>2240.41</v>
      </c>
      <c r="LW7">
        <v>0.32025210685065009</v>
      </c>
      <c r="LY7">
        <v>2024</v>
      </c>
      <c r="LZ7">
        <v>3.3</v>
      </c>
      <c r="MA7">
        <v>4.0999999999999996</v>
      </c>
      <c r="MB7">
        <v>11.953800000000001</v>
      </c>
      <c r="MC7">
        <v>9.9340099482150723</v>
      </c>
      <c r="MD7">
        <v>2240.41</v>
      </c>
      <c r="ME7">
        <v>0.11166737616963696</v>
      </c>
      <c r="MG7">
        <v>2024</v>
      </c>
      <c r="MH7">
        <v>3.3</v>
      </c>
      <c r="MI7">
        <v>4.0999999999999996</v>
      </c>
      <c r="MJ7">
        <v>11.953800000000001</v>
      </c>
      <c r="MK7">
        <v>9.9340099482150723</v>
      </c>
      <c r="ML7">
        <v>2240.41</v>
      </c>
      <c r="MM7">
        <v>0.36852987613844795</v>
      </c>
      <c r="MO7">
        <v>2024</v>
      </c>
      <c r="MP7">
        <v>3.3</v>
      </c>
      <c r="MQ7">
        <v>4.0999999999999996</v>
      </c>
      <c r="MR7">
        <v>11.953800000000001</v>
      </c>
      <c r="MS7">
        <v>9.9340099482150723</v>
      </c>
      <c r="MT7">
        <v>2240.41</v>
      </c>
      <c r="MU7">
        <v>0</v>
      </c>
      <c r="MW7">
        <v>2024</v>
      </c>
      <c r="MX7">
        <v>3.3</v>
      </c>
      <c r="MY7">
        <v>4.0999999999999996</v>
      </c>
      <c r="MZ7">
        <v>11.953800000000001</v>
      </c>
      <c r="NA7">
        <v>9.9340099482150723</v>
      </c>
      <c r="NB7">
        <v>2240.41</v>
      </c>
      <c r="NC7">
        <v>0</v>
      </c>
      <c r="NE7">
        <v>2024</v>
      </c>
      <c r="NF7">
        <v>3.3</v>
      </c>
      <c r="NG7">
        <v>4.0999999999999996</v>
      </c>
      <c r="NH7">
        <v>11.953800000000001</v>
      </c>
      <c r="NI7">
        <v>9.9340099482150723</v>
      </c>
      <c r="NJ7">
        <v>2240.41</v>
      </c>
      <c r="NK7">
        <v>0</v>
      </c>
      <c r="NM7">
        <v>2024</v>
      </c>
      <c r="NN7">
        <v>3.3</v>
      </c>
      <c r="NO7">
        <v>4.0999999999999996</v>
      </c>
      <c r="NP7">
        <v>11.953800000000001</v>
      </c>
      <c r="NQ7">
        <v>9.9340099482150723</v>
      </c>
      <c r="NR7">
        <v>2240.41</v>
      </c>
      <c r="NS7">
        <v>0</v>
      </c>
      <c r="NU7">
        <v>2024</v>
      </c>
      <c r="NV7">
        <v>3.3</v>
      </c>
      <c r="NW7">
        <v>4.0999999999999996</v>
      </c>
      <c r="NX7">
        <v>11.953800000000001</v>
      </c>
      <c r="NY7">
        <v>9.9340099482150723</v>
      </c>
      <c r="NZ7">
        <v>2240.41</v>
      </c>
      <c r="OA7">
        <v>0.1533970434176482</v>
      </c>
      <c r="OC7">
        <v>2024</v>
      </c>
      <c r="OD7">
        <v>3.3</v>
      </c>
      <c r="OE7">
        <v>4.0999999999999996</v>
      </c>
      <c r="OF7">
        <v>11.953800000000001</v>
      </c>
      <c r="OG7">
        <v>9.9340099482150723</v>
      </c>
      <c r="OH7">
        <v>2240.41</v>
      </c>
      <c r="OI7">
        <v>0.51781932832052124</v>
      </c>
      <c r="OK7">
        <v>2024</v>
      </c>
      <c r="OL7">
        <v>3.3</v>
      </c>
      <c r="OM7">
        <v>4.0999999999999996</v>
      </c>
      <c r="ON7">
        <v>11.953800000000001</v>
      </c>
      <c r="OO7">
        <v>9.9340099482150723</v>
      </c>
      <c r="OP7">
        <v>2240.41</v>
      </c>
      <c r="OQ7">
        <v>0.13031120206362934</v>
      </c>
      <c r="OS7">
        <v>2024</v>
      </c>
      <c r="OT7">
        <v>3.3</v>
      </c>
      <c r="OU7">
        <v>4.0999999999999996</v>
      </c>
      <c r="OV7">
        <v>11.953800000000001</v>
      </c>
      <c r="OW7">
        <v>9.9340099482150723</v>
      </c>
      <c r="OX7">
        <v>2240.41</v>
      </c>
      <c r="OY7">
        <v>0.50557365834271784</v>
      </c>
      <c r="PA7">
        <v>2024</v>
      </c>
      <c r="PB7">
        <v>3.3</v>
      </c>
      <c r="PC7">
        <v>4.0999999999999996</v>
      </c>
      <c r="PD7">
        <v>11.953800000000001</v>
      </c>
      <c r="PE7">
        <v>9.9340099482150723</v>
      </c>
      <c r="PF7">
        <v>2240.41</v>
      </c>
      <c r="PG7">
        <v>0</v>
      </c>
      <c r="PI7">
        <v>2024</v>
      </c>
      <c r="PJ7">
        <v>3.3</v>
      </c>
      <c r="PK7">
        <v>4.0999999999999996</v>
      </c>
      <c r="PL7">
        <v>11.953800000000001</v>
      </c>
      <c r="PM7">
        <v>9.9340099482150723</v>
      </c>
      <c r="PN7">
        <v>2240.41</v>
      </c>
      <c r="PO7">
        <v>0</v>
      </c>
      <c r="PQ7">
        <v>2024</v>
      </c>
      <c r="PR7">
        <v>3.3</v>
      </c>
      <c r="PS7">
        <v>4.0999999999999996</v>
      </c>
      <c r="PT7">
        <v>11.953800000000001</v>
      </c>
      <c r="PU7">
        <v>9.9340099482150723</v>
      </c>
      <c r="PV7">
        <v>2240.41</v>
      </c>
      <c r="PW7">
        <v>0.30614104833875971</v>
      </c>
      <c r="PY7">
        <v>2024</v>
      </c>
      <c r="PZ7">
        <v>3.3</v>
      </c>
      <c r="QA7">
        <v>4.0999999999999996</v>
      </c>
      <c r="QB7">
        <v>11.953800000000001</v>
      </c>
      <c r="QC7">
        <v>9.9340099482150723</v>
      </c>
      <c r="QD7">
        <v>2240.41</v>
      </c>
      <c r="QE7" s="1">
        <v>0.64826273671056545</v>
      </c>
      <c r="XEW7" s="25"/>
      <c r="XEX7" s="25"/>
      <c r="XEY7" s="25"/>
      <c r="XEZ7" s="25"/>
      <c r="XFA7" s="25"/>
    </row>
    <row r="8" spans="1:447 16377:16381" x14ac:dyDescent="0.45">
      <c r="A8">
        <v>2025</v>
      </c>
      <c r="B8">
        <v>3.9883664394333493</v>
      </c>
      <c r="C8">
        <v>5.6319999999999979</v>
      </c>
      <c r="D8">
        <v>10.726940000000013</v>
      </c>
      <c r="E8">
        <v>11.530012389337571</v>
      </c>
      <c r="F8">
        <v>2409.4910000000091</v>
      </c>
      <c r="G8" s="1">
        <v>9.9951874035706691E-3</v>
      </c>
      <c r="H8" s="1"/>
      <c r="I8">
        <v>2025</v>
      </c>
      <c r="J8">
        <v>3.9883664394333493</v>
      </c>
      <c r="K8">
        <v>5.6319999999999979</v>
      </c>
      <c r="L8">
        <v>10.726940000000013</v>
      </c>
      <c r="M8">
        <v>11.530012389337571</v>
      </c>
      <c r="N8">
        <v>2409.4910000000091</v>
      </c>
      <c r="O8">
        <v>5.1415384289161002E-2</v>
      </c>
      <c r="Q8">
        <v>2025</v>
      </c>
      <c r="R8">
        <v>3.9883664394333493</v>
      </c>
      <c r="S8">
        <v>5.6319999999999979</v>
      </c>
      <c r="T8">
        <v>10.726940000000013</v>
      </c>
      <c r="U8">
        <v>11.530012389337571</v>
      </c>
      <c r="V8">
        <v>2409.4910000000091</v>
      </c>
      <c r="W8">
        <v>6.5001726505101387E-2</v>
      </c>
      <c r="Y8">
        <v>2025</v>
      </c>
      <c r="Z8">
        <v>3.9883664394333493</v>
      </c>
      <c r="AA8">
        <v>5.6319999999999979</v>
      </c>
      <c r="AB8">
        <v>10.726940000000013</v>
      </c>
      <c r="AC8">
        <v>11.530012389337571</v>
      </c>
      <c r="AD8">
        <v>2409.4910000000091</v>
      </c>
      <c r="AE8">
        <v>0.33127089565495288</v>
      </c>
      <c r="AG8">
        <v>2025</v>
      </c>
      <c r="AH8">
        <v>3.9883664394333493</v>
      </c>
      <c r="AI8">
        <v>5.6319999999999979</v>
      </c>
      <c r="AJ8">
        <v>10.726940000000013</v>
      </c>
      <c r="AK8">
        <v>11.530012389337571</v>
      </c>
      <c r="AL8">
        <v>2409.4910000000091</v>
      </c>
      <c r="AM8">
        <v>0.15124947046515763</v>
      </c>
      <c r="AO8">
        <v>2025</v>
      </c>
      <c r="AP8">
        <v>3.9883664394333493</v>
      </c>
      <c r="AQ8">
        <v>5.6319999999999979</v>
      </c>
      <c r="AR8">
        <v>10.726940000000013</v>
      </c>
      <c r="AS8">
        <v>11.530012389337571</v>
      </c>
      <c r="AT8">
        <v>2409.4910000000091</v>
      </c>
      <c r="AU8">
        <v>0.53968369174503927</v>
      </c>
      <c r="AW8">
        <v>2025</v>
      </c>
      <c r="AX8">
        <v>3.9883664394333493</v>
      </c>
      <c r="AY8">
        <v>5.6319999999999979</v>
      </c>
      <c r="AZ8">
        <v>10.726940000000013</v>
      </c>
      <c r="BA8">
        <v>11.530012389337571</v>
      </c>
      <c r="BB8">
        <v>2409.4910000000091</v>
      </c>
      <c r="BC8">
        <v>0</v>
      </c>
      <c r="BE8">
        <v>2025</v>
      </c>
      <c r="BF8">
        <v>3.9883664394333493</v>
      </c>
      <c r="BG8">
        <v>5.6319999999999979</v>
      </c>
      <c r="BH8">
        <v>10.726940000000013</v>
      </c>
      <c r="BI8">
        <v>11.530012389337571</v>
      </c>
      <c r="BJ8">
        <v>2409.4910000000091</v>
      </c>
      <c r="BK8">
        <v>0</v>
      </c>
      <c r="BM8">
        <v>2025</v>
      </c>
      <c r="BN8">
        <v>3.9883664394333493</v>
      </c>
      <c r="BO8">
        <v>5.6319999999999979</v>
      </c>
      <c r="BP8">
        <v>10.726940000000013</v>
      </c>
      <c r="BQ8">
        <v>11.530012389337571</v>
      </c>
      <c r="BR8">
        <v>2409.4910000000091</v>
      </c>
      <c r="BS8">
        <v>1.9714540572602951E-3</v>
      </c>
      <c r="BU8">
        <v>2025</v>
      </c>
      <c r="BV8">
        <v>3.9883664394333493</v>
      </c>
      <c r="BW8">
        <v>5.6319999999999979</v>
      </c>
      <c r="BX8">
        <v>10.726940000000013</v>
      </c>
      <c r="BY8">
        <v>11.530012389337571</v>
      </c>
      <c r="BZ8">
        <v>2409.4910000000091</v>
      </c>
      <c r="CA8">
        <v>0.17115216866619942</v>
      </c>
      <c r="CC8">
        <v>2025</v>
      </c>
      <c r="CD8">
        <v>3.9883664394333493</v>
      </c>
      <c r="CE8">
        <v>5.6319999999999979</v>
      </c>
      <c r="CF8">
        <v>10.726940000000013</v>
      </c>
      <c r="CG8">
        <v>11.530012389337571</v>
      </c>
      <c r="CH8">
        <v>2409.4910000000091</v>
      </c>
      <c r="CI8">
        <v>0</v>
      </c>
      <c r="CK8">
        <v>2025</v>
      </c>
      <c r="CL8">
        <v>3.9883664394333493</v>
      </c>
      <c r="CM8">
        <v>5.6319999999999979</v>
      </c>
      <c r="CN8">
        <v>10.726940000000013</v>
      </c>
      <c r="CO8">
        <v>11.530012389337571</v>
      </c>
      <c r="CP8">
        <v>2409.4910000000091</v>
      </c>
      <c r="CQ8">
        <v>0</v>
      </c>
      <c r="CS8">
        <v>2025</v>
      </c>
      <c r="CT8">
        <v>3.9883664394333493</v>
      </c>
      <c r="CU8">
        <v>5.6319999999999979</v>
      </c>
      <c r="CV8">
        <v>10.726940000000013</v>
      </c>
      <c r="CW8">
        <v>11.530012389337571</v>
      </c>
      <c r="CX8">
        <v>2409.4910000000091</v>
      </c>
      <c r="CY8">
        <v>0</v>
      </c>
      <c r="DA8">
        <v>2025</v>
      </c>
      <c r="DB8">
        <v>3.9883664394333493</v>
      </c>
      <c r="DC8">
        <v>5.6319999999999979</v>
      </c>
      <c r="DD8">
        <v>10.726940000000013</v>
      </c>
      <c r="DE8">
        <v>11.530012389337571</v>
      </c>
      <c r="DF8">
        <v>2409.4910000000091</v>
      </c>
      <c r="DG8">
        <v>0</v>
      </c>
      <c r="DI8">
        <v>2025</v>
      </c>
      <c r="DJ8">
        <v>3.9883664394333493</v>
      </c>
      <c r="DK8">
        <v>5.6319999999999979</v>
      </c>
      <c r="DL8">
        <v>10.726940000000013</v>
      </c>
      <c r="DM8">
        <v>11.530012389337571</v>
      </c>
      <c r="DN8">
        <v>2409.4910000000091</v>
      </c>
      <c r="DO8">
        <v>0</v>
      </c>
      <c r="DQ8">
        <v>2025</v>
      </c>
      <c r="DR8">
        <v>3.9883664394333493</v>
      </c>
      <c r="DS8">
        <v>5.6319999999999979</v>
      </c>
      <c r="DT8">
        <v>10.726940000000013</v>
      </c>
      <c r="DU8">
        <v>11.530012389337571</v>
      </c>
      <c r="DV8">
        <v>2409.4910000000091</v>
      </c>
      <c r="DW8">
        <v>0</v>
      </c>
      <c r="DY8">
        <v>2025</v>
      </c>
      <c r="DZ8">
        <v>3.9883664394333493</v>
      </c>
      <c r="EA8">
        <v>5.6319999999999979</v>
      </c>
      <c r="EB8">
        <v>10.726940000000013</v>
      </c>
      <c r="EC8">
        <v>11.530012389337571</v>
      </c>
      <c r="ED8">
        <v>2409.4910000000091</v>
      </c>
      <c r="EE8">
        <v>2.7049647790688434E-2</v>
      </c>
      <c r="EG8">
        <v>2025</v>
      </c>
      <c r="EH8">
        <v>3.9883664394333493</v>
      </c>
      <c r="EI8">
        <v>5.6319999999999979</v>
      </c>
      <c r="EJ8">
        <v>10.726940000000013</v>
      </c>
      <c r="EK8">
        <v>11.530012389337571</v>
      </c>
      <c r="EL8">
        <v>2409.4910000000091</v>
      </c>
      <c r="EM8">
        <v>0.48718584022195144</v>
      </c>
      <c r="EO8">
        <v>2025</v>
      </c>
      <c r="EP8">
        <v>3.9883664394333493</v>
      </c>
      <c r="EQ8">
        <v>5.6319999999999979</v>
      </c>
      <c r="ER8">
        <v>10.726940000000013</v>
      </c>
      <c r="ES8">
        <v>11.530012389337571</v>
      </c>
      <c r="ET8">
        <v>2409.4910000000091</v>
      </c>
      <c r="EU8">
        <v>0.15635060493054265</v>
      </c>
      <c r="EW8">
        <v>2025</v>
      </c>
      <c r="EX8">
        <v>3.9883664394333493</v>
      </c>
      <c r="EY8">
        <v>5.6319999999999979</v>
      </c>
      <c r="EZ8">
        <v>10.726940000000013</v>
      </c>
      <c r="FA8">
        <v>11.530012389337571</v>
      </c>
      <c r="FB8">
        <v>2409.4910000000091</v>
      </c>
      <c r="FC8">
        <v>0.33946584391365742</v>
      </c>
      <c r="FE8">
        <v>2025</v>
      </c>
      <c r="FF8">
        <v>3.9883664394333493</v>
      </c>
      <c r="FG8">
        <v>5.6319999999999979</v>
      </c>
      <c r="FH8">
        <v>10.726940000000013</v>
      </c>
      <c r="FI8">
        <v>11.530012389337571</v>
      </c>
      <c r="FJ8">
        <v>2409.4910000000091</v>
      </c>
      <c r="FK8">
        <v>0</v>
      </c>
      <c r="FM8">
        <v>2025</v>
      </c>
      <c r="FN8">
        <v>3.9883664394333493</v>
      </c>
      <c r="FO8">
        <v>5.6319999999999979</v>
      </c>
      <c r="FP8">
        <v>10.726940000000013</v>
      </c>
      <c r="FQ8">
        <v>11.530012389337571</v>
      </c>
      <c r="FR8">
        <v>2409.4910000000091</v>
      </c>
      <c r="FS8">
        <v>0</v>
      </c>
      <c r="FU8">
        <v>2025</v>
      </c>
      <c r="FV8">
        <v>3.9883664394333493</v>
      </c>
      <c r="FW8">
        <v>5.6319999999999979</v>
      </c>
      <c r="FX8">
        <v>10.726940000000013</v>
      </c>
      <c r="FY8">
        <v>11.530012389337571</v>
      </c>
      <c r="FZ8">
        <v>2409.4910000000091</v>
      </c>
      <c r="GA8">
        <v>0</v>
      </c>
      <c r="GC8">
        <v>2025</v>
      </c>
      <c r="GD8">
        <v>3.9883664394333493</v>
      </c>
      <c r="GE8">
        <v>5.6319999999999979</v>
      </c>
      <c r="GF8">
        <v>10.726940000000013</v>
      </c>
      <c r="GG8">
        <v>11.530012389337571</v>
      </c>
      <c r="GH8">
        <v>2409.4910000000091</v>
      </c>
      <c r="GI8">
        <v>0</v>
      </c>
      <c r="GK8">
        <v>2025</v>
      </c>
      <c r="GL8">
        <v>3.9883664394333493</v>
      </c>
      <c r="GM8">
        <v>5.6319999999999979</v>
      </c>
      <c r="GN8">
        <v>10.726940000000013</v>
      </c>
      <c r="GO8">
        <v>11.530012389337571</v>
      </c>
      <c r="GP8">
        <v>2409.4910000000091</v>
      </c>
      <c r="GQ8">
        <v>0</v>
      </c>
      <c r="GS8">
        <v>2025</v>
      </c>
      <c r="GT8">
        <v>3.9883664394333493</v>
      </c>
      <c r="GU8">
        <v>5.6319999999999979</v>
      </c>
      <c r="GV8">
        <v>10.726940000000013</v>
      </c>
      <c r="GW8">
        <v>11.530012389337571</v>
      </c>
      <c r="GX8">
        <v>2409.4910000000091</v>
      </c>
      <c r="GY8">
        <v>0</v>
      </c>
      <c r="HA8">
        <v>2025</v>
      </c>
      <c r="HB8">
        <v>3.9883664394333493</v>
      </c>
      <c r="HC8">
        <v>5.6319999999999979</v>
      </c>
      <c r="HD8">
        <v>10.726940000000013</v>
      </c>
      <c r="HE8">
        <v>11.530012389337571</v>
      </c>
      <c r="HF8">
        <v>2409.4910000000091</v>
      </c>
      <c r="HG8">
        <v>2.1740433066132665E-2</v>
      </c>
      <c r="HI8">
        <v>2025</v>
      </c>
      <c r="HJ8">
        <v>3.9883664394333493</v>
      </c>
      <c r="HK8">
        <v>5.6319999999999979</v>
      </c>
      <c r="HL8">
        <v>10.726940000000013</v>
      </c>
      <c r="HM8">
        <v>11.530012389337571</v>
      </c>
      <c r="HN8">
        <v>2409.4910000000091</v>
      </c>
      <c r="HO8">
        <v>0.18448036162851236</v>
      </c>
      <c r="HQ8">
        <v>2025</v>
      </c>
      <c r="HR8">
        <v>3.9883664394333493</v>
      </c>
      <c r="HS8">
        <v>5.6319999999999979</v>
      </c>
      <c r="HT8">
        <v>10.726940000000013</v>
      </c>
      <c r="HU8">
        <v>11.530012389337571</v>
      </c>
      <c r="HV8">
        <v>2409.4910000000091</v>
      </c>
      <c r="HW8">
        <v>0.23809365955990458</v>
      </c>
      <c r="HY8">
        <v>2025</v>
      </c>
      <c r="HZ8">
        <v>3.9883664394333493</v>
      </c>
      <c r="IA8">
        <v>5.6319999999999979</v>
      </c>
      <c r="IB8">
        <v>10.726940000000013</v>
      </c>
      <c r="IC8">
        <v>11.530012389337571</v>
      </c>
      <c r="ID8">
        <v>2409.4910000000091</v>
      </c>
      <c r="IE8">
        <v>0</v>
      </c>
      <c r="IG8">
        <v>2025</v>
      </c>
      <c r="IH8">
        <v>3.9883664394333493</v>
      </c>
      <c r="II8">
        <v>5.6319999999999979</v>
      </c>
      <c r="IJ8">
        <v>10.726940000000013</v>
      </c>
      <c r="IK8">
        <v>11.530012389337571</v>
      </c>
      <c r="IL8">
        <v>2409.4910000000091</v>
      </c>
      <c r="IM8">
        <v>0.1078893404432846</v>
      </c>
      <c r="IO8">
        <v>2025</v>
      </c>
      <c r="IP8">
        <v>3.9883664394333493</v>
      </c>
      <c r="IQ8">
        <v>5.6319999999999979</v>
      </c>
      <c r="IR8">
        <v>10.726940000000013</v>
      </c>
      <c r="IS8">
        <v>11.530012389337571</v>
      </c>
      <c r="IT8">
        <v>2409.4910000000091</v>
      </c>
      <c r="IU8">
        <v>0.23809365955990458</v>
      </c>
      <c r="IW8">
        <v>2025</v>
      </c>
      <c r="IX8">
        <v>3.9883664394333493</v>
      </c>
      <c r="IY8">
        <v>5.6319999999999979</v>
      </c>
      <c r="IZ8">
        <v>10.726940000000013</v>
      </c>
      <c r="JA8">
        <v>11.530012389337571</v>
      </c>
      <c r="JB8">
        <v>2409.4910000000091</v>
      </c>
      <c r="JC8">
        <v>0</v>
      </c>
      <c r="JE8">
        <v>2025</v>
      </c>
      <c r="JF8">
        <v>3.9883664394333493</v>
      </c>
      <c r="JG8">
        <v>5.6319999999999979</v>
      </c>
      <c r="JH8">
        <v>10.726940000000013</v>
      </c>
      <c r="JI8">
        <v>11.530012389337571</v>
      </c>
      <c r="JJ8">
        <v>2409.4910000000091</v>
      </c>
      <c r="JK8">
        <v>0</v>
      </c>
      <c r="JM8">
        <v>2025</v>
      </c>
      <c r="JN8">
        <v>3.9883664394333493</v>
      </c>
      <c r="JO8">
        <v>5.6319999999999979</v>
      </c>
      <c r="JP8">
        <v>10.726940000000013</v>
      </c>
      <c r="JQ8">
        <v>11.530012389337571</v>
      </c>
      <c r="JR8">
        <v>2409.4910000000091</v>
      </c>
      <c r="JS8">
        <v>0</v>
      </c>
      <c r="JU8">
        <v>2025</v>
      </c>
      <c r="JV8">
        <v>3.9883664394333493</v>
      </c>
      <c r="JW8">
        <v>5.6319999999999979</v>
      </c>
      <c r="JX8">
        <v>10.726940000000013</v>
      </c>
      <c r="JY8">
        <v>11.530012389337571</v>
      </c>
      <c r="JZ8">
        <v>2409.4910000000091</v>
      </c>
      <c r="KA8">
        <v>0</v>
      </c>
      <c r="KC8">
        <v>2025</v>
      </c>
      <c r="KD8">
        <v>3.9883664394333493</v>
      </c>
      <c r="KE8">
        <v>5.6319999999999979</v>
      </c>
      <c r="KF8">
        <v>10.726940000000013</v>
      </c>
      <c r="KG8">
        <v>11.530012389337571</v>
      </c>
      <c r="KH8">
        <v>2409.4910000000091</v>
      </c>
      <c r="KI8">
        <v>6.270584474674247E-2</v>
      </c>
      <c r="KK8">
        <v>2025</v>
      </c>
      <c r="KL8">
        <v>3.9883664394333493</v>
      </c>
      <c r="KM8">
        <v>5.6319999999999979</v>
      </c>
      <c r="KN8">
        <v>10.726940000000013</v>
      </c>
      <c r="KO8">
        <v>11.530012389337571</v>
      </c>
      <c r="KP8">
        <v>2409.4910000000091</v>
      </c>
      <c r="KQ8">
        <v>0.16397901773280521</v>
      </c>
      <c r="KS8">
        <v>2025</v>
      </c>
      <c r="KT8">
        <v>3.9883664394333493</v>
      </c>
      <c r="KU8">
        <v>5.6319999999999979</v>
      </c>
      <c r="KV8">
        <v>10.726940000000013</v>
      </c>
      <c r="KW8">
        <v>11.530012389337571</v>
      </c>
      <c r="KX8">
        <v>2409.4910000000091</v>
      </c>
      <c r="KY8">
        <v>0</v>
      </c>
      <c r="LA8">
        <v>2025</v>
      </c>
      <c r="LB8">
        <v>3.9883664394333493</v>
      </c>
      <c r="LC8">
        <v>5.6319999999999979</v>
      </c>
      <c r="LD8">
        <v>10.726940000000013</v>
      </c>
      <c r="LE8">
        <v>11.530012389337571</v>
      </c>
      <c r="LF8">
        <v>2409.4910000000091</v>
      </c>
      <c r="LG8">
        <v>0</v>
      </c>
      <c r="LI8">
        <v>2025</v>
      </c>
      <c r="LJ8">
        <v>3.9883664394333493</v>
      </c>
      <c r="LK8">
        <v>5.6319999999999979</v>
      </c>
      <c r="LL8">
        <v>10.726940000000013</v>
      </c>
      <c r="LM8">
        <v>11.530012389337571</v>
      </c>
      <c r="LN8">
        <v>2409.4910000000091</v>
      </c>
      <c r="LO8">
        <v>0.14380878254115054</v>
      </c>
      <c r="LQ8">
        <v>2025</v>
      </c>
      <c r="LR8">
        <v>3.9883664394333493</v>
      </c>
      <c r="LS8">
        <v>5.6319999999999979</v>
      </c>
      <c r="LT8">
        <v>10.726940000000013</v>
      </c>
      <c r="LU8">
        <v>11.530012389337571</v>
      </c>
      <c r="LV8">
        <v>2409.4910000000091</v>
      </c>
      <c r="LW8">
        <v>0.28435341301162842</v>
      </c>
      <c r="LY8">
        <v>2025</v>
      </c>
      <c r="LZ8">
        <v>3.9883664394333493</v>
      </c>
      <c r="MA8">
        <v>5.6319999999999979</v>
      </c>
      <c r="MB8">
        <v>10.726940000000013</v>
      </c>
      <c r="MC8">
        <v>11.530012389337571</v>
      </c>
      <c r="MD8">
        <v>2409.4910000000091</v>
      </c>
      <c r="ME8">
        <v>0</v>
      </c>
      <c r="MG8">
        <v>2025</v>
      </c>
      <c r="MH8">
        <v>3.9883664394333493</v>
      </c>
      <c r="MI8">
        <v>5.6319999999999979</v>
      </c>
      <c r="MJ8">
        <v>10.726940000000013</v>
      </c>
      <c r="MK8">
        <v>11.530012389337571</v>
      </c>
      <c r="ML8">
        <v>2409.4910000000091</v>
      </c>
      <c r="MM8">
        <v>0</v>
      </c>
      <c r="MO8">
        <v>2025</v>
      </c>
      <c r="MP8">
        <v>3.9883664394333493</v>
      </c>
      <c r="MQ8">
        <v>5.6319999999999979</v>
      </c>
      <c r="MR8">
        <v>10.726940000000013</v>
      </c>
      <c r="MS8">
        <v>11.530012389337571</v>
      </c>
      <c r="MT8">
        <v>2409.4910000000091</v>
      </c>
      <c r="MU8">
        <v>0</v>
      </c>
      <c r="MW8">
        <v>2025</v>
      </c>
      <c r="MX8">
        <v>3.9883664394333493</v>
      </c>
      <c r="MY8">
        <v>5.6319999999999979</v>
      </c>
      <c r="MZ8">
        <v>10.726940000000013</v>
      </c>
      <c r="NA8">
        <v>11.530012389337571</v>
      </c>
      <c r="NB8">
        <v>2409.4910000000091</v>
      </c>
      <c r="NC8">
        <v>0</v>
      </c>
      <c r="NE8">
        <v>2025</v>
      </c>
      <c r="NF8">
        <v>3.9883664394333493</v>
      </c>
      <c r="NG8">
        <v>5.6319999999999979</v>
      </c>
      <c r="NH8">
        <v>10.726940000000013</v>
      </c>
      <c r="NI8">
        <v>11.530012389337571</v>
      </c>
      <c r="NJ8">
        <v>2409.4910000000091</v>
      </c>
      <c r="NK8">
        <v>0</v>
      </c>
      <c r="NM8">
        <v>2025</v>
      </c>
      <c r="NN8">
        <v>3.9883664394333493</v>
      </c>
      <c r="NO8">
        <v>5.6319999999999979</v>
      </c>
      <c r="NP8">
        <v>10.726940000000013</v>
      </c>
      <c r="NQ8">
        <v>11.530012389337571</v>
      </c>
      <c r="NR8">
        <v>2409.4910000000091</v>
      </c>
      <c r="NS8">
        <v>0</v>
      </c>
      <c r="NU8">
        <v>2025</v>
      </c>
      <c r="NV8">
        <v>3.9883664394333493</v>
      </c>
      <c r="NW8">
        <v>5.6319999999999979</v>
      </c>
      <c r="NX8">
        <v>10.726940000000013</v>
      </c>
      <c r="NY8">
        <v>11.530012389337571</v>
      </c>
      <c r="NZ8">
        <v>2409.4910000000091</v>
      </c>
      <c r="OA8">
        <v>6.9689646517474182E-2</v>
      </c>
      <c r="OC8">
        <v>2025</v>
      </c>
      <c r="OD8">
        <v>3.9883664394333493</v>
      </c>
      <c r="OE8">
        <v>5.6319999999999979</v>
      </c>
      <c r="OF8">
        <v>10.726940000000013</v>
      </c>
      <c r="OG8">
        <v>11.530012389337571</v>
      </c>
      <c r="OH8">
        <v>2409.4910000000091</v>
      </c>
      <c r="OI8">
        <v>0.29976471988322445</v>
      </c>
      <c r="OK8">
        <v>2025</v>
      </c>
      <c r="OL8">
        <v>3.9883664394333493</v>
      </c>
      <c r="OM8">
        <v>5.6319999999999979</v>
      </c>
      <c r="ON8">
        <v>10.726940000000013</v>
      </c>
      <c r="OO8">
        <v>11.530012389337571</v>
      </c>
      <c r="OP8">
        <v>2409.4910000000091</v>
      </c>
      <c r="OQ8">
        <v>8.7407509589983778E-2</v>
      </c>
      <c r="OS8">
        <v>2025</v>
      </c>
      <c r="OT8">
        <v>3.9883664394333493</v>
      </c>
      <c r="OU8">
        <v>5.6319999999999979</v>
      </c>
      <c r="OV8">
        <v>10.726940000000013</v>
      </c>
      <c r="OW8">
        <v>11.530012389337571</v>
      </c>
      <c r="OX8">
        <v>2409.4910000000091</v>
      </c>
      <c r="OY8">
        <v>0.33955328467428902</v>
      </c>
      <c r="PA8">
        <v>2025</v>
      </c>
      <c r="PB8">
        <v>3.9883664394333493</v>
      </c>
      <c r="PC8">
        <v>5.6319999999999979</v>
      </c>
      <c r="PD8">
        <v>10.726940000000013</v>
      </c>
      <c r="PE8">
        <v>11.530012389337571</v>
      </c>
      <c r="PF8">
        <v>2409.4910000000091</v>
      </c>
      <c r="PG8">
        <v>0</v>
      </c>
      <c r="PI8">
        <v>2025</v>
      </c>
      <c r="PJ8">
        <v>3.9883664394333493</v>
      </c>
      <c r="PK8">
        <v>5.6319999999999979</v>
      </c>
      <c r="PL8">
        <v>10.726940000000013</v>
      </c>
      <c r="PM8">
        <v>11.530012389337571</v>
      </c>
      <c r="PN8">
        <v>2409.4910000000091</v>
      </c>
      <c r="PO8">
        <v>0</v>
      </c>
      <c r="PQ8">
        <v>2025</v>
      </c>
      <c r="PR8">
        <v>3.9883664394333493</v>
      </c>
      <c r="PS8">
        <v>5.6319999999999979</v>
      </c>
      <c r="PT8">
        <v>10.726940000000013</v>
      </c>
      <c r="PU8">
        <v>11.530012389337571</v>
      </c>
      <c r="PV8">
        <v>2409.4910000000091</v>
      </c>
      <c r="PW8">
        <v>9.8306561013339677E-2</v>
      </c>
      <c r="PY8">
        <v>2025</v>
      </c>
      <c r="PZ8">
        <v>3.9883664394333493</v>
      </c>
      <c r="QA8">
        <v>5.6319999999999979</v>
      </c>
      <c r="QB8">
        <v>10.726940000000013</v>
      </c>
      <c r="QC8">
        <v>11.530012389337571</v>
      </c>
      <c r="QD8">
        <v>2409.4910000000091</v>
      </c>
      <c r="QE8" s="1">
        <v>0.18103689811308138</v>
      </c>
      <c r="XEW8" s="25"/>
      <c r="XEX8" s="25"/>
      <c r="XEY8" s="25"/>
      <c r="XEZ8" s="25"/>
      <c r="XFA8" s="25"/>
    </row>
    <row r="10" spans="1:447 16377:16381" x14ac:dyDescent="0.45">
      <c r="A10" t="s">
        <v>44</v>
      </c>
      <c r="I10" t="s">
        <v>44</v>
      </c>
      <c r="Q10" t="s">
        <v>44</v>
      </c>
      <c r="Y10" t="s">
        <v>44</v>
      </c>
      <c r="AG10" t="s">
        <v>44</v>
      </c>
      <c r="AO10" t="s">
        <v>44</v>
      </c>
      <c r="AW10" t="s">
        <v>44</v>
      </c>
      <c r="BE10" t="s">
        <v>44</v>
      </c>
      <c r="BM10" t="s">
        <v>44</v>
      </c>
      <c r="BU10" t="s">
        <v>44</v>
      </c>
      <c r="CC10" t="s">
        <v>44</v>
      </c>
      <c r="CK10" t="s">
        <v>44</v>
      </c>
      <c r="CS10" t="s">
        <v>44</v>
      </c>
      <c r="DA10" t="s">
        <v>44</v>
      </c>
      <c r="DI10" t="s">
        <v>44</v>
      </c>
      <c r="DQ10" t="s">
        <v>44</v>
      </c>
      <c r="DY10" t="s">
        <v>44</v>
      </c>
      <c r="EG10" t="s">
        <v>44</v>
      </c>
      <c r="EO10" t="s">
        <v>44</v>
      </c>
      <c r="EW10" t="s">
        <v>44</v>
      </c>
      <c r="FE10" t="s">
        <v>44</v>
      </c>
      <c r="FM10" t="s">
        <v>44</v>
      </c>
      <c r="FU10" t="s">
        <v>44</v>
      </c>
      <c r="GC10" t="s">
        <v>44</v>
      </c>
      <c r="GK10" t="s">
        <v>44</v>
      </c>
      <c r="GS10" t="s">
        <v>44</v>
      </c>
      <c r="HA10" t="s">
        <v>44</v>
      </c>
      <c r="HI10" t="s">
        <v>44</v>
      </c>
      <c r="HQ10" t="s">
        <v>44</v>
      </c>
      <c r="HY10" t="s">
        <v>44</v>
      </c>
      <c r="IG10" t="s">
        <v>44</v>
      </c>
      <c r="IO10" t="s">
        <v>44</v>
      </c>
      <c r="IW10" t="s">
        <v>44</v>
      </c>
      <c r="JE10" t="s">
        <v>44</v>
      </c>
      <c r="JM10" t="s">
        <v>44</v>
      </c>
      <c r="JU10" t="s">
        <v>44</v>
      </c>
      <c r="KC10" t="s">
        <v>44</v>
      </c>
      <c r="KK10" t="s">
        <v>44</v>
      </c>
      <c r="KS10" t="s">
        <v>44</v>
      </c>
      <c r="LA10" t="s">
        <v>44</v>
      </c>
      <c r="LI10" t="s">
        <v>44</v>
      </c>
      <c r="LQ10" t="s">
        <v>44</v>
      </c>
      <c r="LY10" t="s">
        <v>44</v>
      </c>
      <c r="MG10" t="s">
        <v>44</v>
      </c>
      <c r="MO10" t="s">
        <v>44</v>
      </c>
      <c r="MW10" t="s">
        <v>44</v>
      </c>
      <c r="NE10" t="s">
        <v>44</v>
      </c>
      <c r="NM10" t="s">
        <v>44</v>
      </c>
      <c r="NU10" t="s">
        <v>44</v>
      </c>
      <c r="OC10" t="s">
        <v>44</v>
      </c>
      <c r="OK10" t="s">
        <v>44</v>
      </c>
      <c r="OS10" t="s">
        <v>44</v>
      </c>
      <c r="PA10" t="s">
        <v>44</v>
      </c>
      <c r="PI10" t="s">
        <v>44</v>
      </c>
      <c r="PQ10" t="s">
        <v>44</v>
      </c>
      <c r="PY10" t="s">
        <v>44</v>
      </c>
    </row>
    <row r="11" spans="1:447 16377:16381" x14ac:dyDescent="0.45">
      <c r="A11" t="s">
        <v>45</v>
      </c>
      <c r="I11" t="s">
        <v>45</v>
      </c>
      <c r="Q11" t="s">
        <v>48</v>
      </c>
      <c r="Y11" t="s">
        <v>48</v>
      </c>
      <c r="AG11" t="s">
        <v>49</v>
      </c>
      <c r="AO11" t="s">
        <v>49</v>
      </c>
      <c r="AW11" t="s">
        <v>50</v>
      </c>
      <c r="BE11" t="s">
        <v>50</v>
      </c>
      <c r="BM11" t="s">
        <v>51</v>
      </c>
      <c r="BU11" t="s">
        <v>51</v>
      </c>
      <c r="CC11" t="s">
        <v>52</v>
      </c>
      <c r="CK11" t="s">
        <v>52</v>
      </c>
      <c r="CS11" t="s">
        <v>53</v>
      </c>
      <c r="DA11" t="s">
        <v>53</v>
      </c>
      <c r="DI11" t="s">
        <v>54</v>
      </c>
      <c r="DQ11" t="s">
        <v>54</v>
      </c>
      <c r="DY11" t="s">
        <v>55</v>
      </c>
      <c r="EG11" t="s">
        <v>55</v>
      </c>
      <c r="EO11" t="s">
        <v>56</v>
      </c>
      <c r="EW11" t="s">
        <v>56</v>
      </c>
      <c r="FE11" t="s">
        <v>57</v>
      </c>
      <c r="FM11" t="s">
        <v>57</v>
      </c>
      <c r="FU11" t="s">
        <v>58</v>
      </c>
      <c r="GC11" t="s">
        <v>58</v>
      </c>
      <c r="GK11" t="s">
        <v>59</v>
      </c>
      <c r="GS11" t="s">
        <v>59</v>
      </c>
      <c r="HA11" t="s">
        <v>60</v>
      </c>
      <c r="HI11" t="s">
        <v>60</v>
      </c>
      <c r="HQ11" t="s">
        <v>61</v>
      </c>
      <c r="HY11" t="s">
        <v>61</v>
      </c>
      <c r="IG11" t="s">
        <v>62</v>
      </c>
      <c r="IO11" t="s">
        <v>62</v>
      </c>
      <c r="IW11" t="s">
        <v>63</v>
      </c>
      <c r="JE11" t="s">
        <v>63</v>
      </c>
      <c r="JM11" t="s">
        <v>64</v>
      </c>
      <c r="JU11" t="s">
        <v>64</v>
      </c>
      <c r="KC11" t="s">
        <v>65</v>
      </c>
      <c r="KK11" t="s">
        <v>65</v>
      </c>
      <c r="KS11" t="s">
        <v>66</v>
      </c>
      <c r="LA11" t="s">
        <v>66</v>
      </c>
      <c r="LI11" t="s">
        <v>67</v>
      </c>
      <c r="LQ11" t="s">
        <v>67</v>
      </c>
      <c r="LY11" t="s">
        <v>68</v>
      </c>
      <c r="MG11" t="s">
        <v>68</v>
      </c>
      <c r="MO11" t="s">
        <v>69</v>
      </c>
      <c r="MW11" t="s">
        <v>69</v>
      </c>
      <c r="NE11" t="s">
        <v>70</v>
      </c>
      <c r="NM11" t="s">
        <v>70</v>
      </c>
      <c r="NU11" t="s">
        <v>71</v>
      </c>
      <c r="OC11" t="s">
        <v>71</v>
      </c>
      <c r="OK11" t="s">
        <v>72</v>
      </c>
      <c r="OS11" t="s">
        <v>72</v>
      </c>
      <c r="PA11" t="s">
        <v>73</v>
      </c>
      <c r="PI11" t="s">
        <v>73</v>
      </c>
      <c r="PQ11" t="s">
        <v>74</v>
      </c>
      <c r="PY11" t="s">
        <v>74</v>
      </c>
    </row>
    <row r="12" spans="1:447 16377:16381" x14ac:dyDescent="0.45">
      <c r="A12" t="s">
        <v>46</v>
      </c>
      <c r="I12" t="s">
        <v>47</v>
      </c>
      <c r="Q12" t="s">
        <v>46</v>
      </c>
      <c r="Y12" t="s">
        <v>47</v>
      </c>
      <c r="AG12" t="s">
        <v>46</v>
      </c>
      <c r="AO12" t="s">
        <v>47</v>
      </c>
      <c r="AW12" t="s">
        <v>46</v>
      </c>
      <c r="BE12" t="s">
        <v>47</v>
      </c>
      <c r="BM12" t="s">
        <v>46</v>
      </c>
      <c r="BU12" t="s">
        <v>47</v>
      </c>
      <c r="CC12" t="s">
        <v>46</v>
      </c>
      <c r="CK12" t="s">
        <v>47</v>
      </c>
      <c r="CS12" t="s">
        <v>46</v>
      </c>
      <c r="DA12" t="s">
        <v>47</v>
      </c>
      <c r="DI12" t="s">
        <v>46</v>
      </c>
      <c r="DQ12" t="s">
        <v>47</v>
      </c>
      <c r="DY12" t="s">
        <v>46</v>
      </c>
      <c r="EG12" t="s">
        <v>47</v>
      </c>
      <c r="EO12" t="s">
        <v>46</v>
      </c>
      <c r="EW12" t="s">
        <v>47</v>
      </c>
      <c r="FE12" t="s">
        <v>46</v>
      </c>
      <c r="FM12" t="s">
        <v>47</v>
      </c>
      <c r="FU12" t="s">
        <v>46</v>
      </c>
      <c r="GC12" t="s">
        <v>47</v>
      </c>
      <c r="GK12" t="s">
        <v>46</v>
      </c>
      <c r="GS12" t="s">
        <v>47</v>
      </c>
      <c r="HA12" t="s">
        <v>46</v>
      </c>
      <c r="HI12" t="s">
        <v>47</v>
      </c>
      <c r="HQ12" t="s">
        <v>46</v>
      </c>
      <c r="HY12" t="s">
        <v>47</v>
      </c>
      <c r="IG12" t="s">
        <v>46</v>
      </c>
      <c r="IO12" t="s">
        <v>47</v>
      </c>
      <c r="IW12" t="s">
        <v>46</v>
      </c>
      <c r="JE12" t="s">
        <v>47</v>
      </c>
      <c r="JM12" t="s">
        <v>46</v>
      </c>
      <c r="JU12" t="s">
        <v>47</v>
      </c>
      <c r="KC12" t="s">
        <v>46</v>
      </c>
      <c r="KK12" t="s">
        <v>47</v>
      </c>
      <c r="KS12" t="s">
        <v>46</v>
      </c>
      <c r="LA12" t="s">
        <v>47</v>
      </c>
      <c r="LI12" t="s">
        <v>46</v>
      </c>
      <c r="LQ12" t="s">
        <v>47</v>
      </c>
      <c r="LY12" t="s">
        <v>46</v>
      </c>
      <c r="MG12" t="s">
        <v>47</v>
      </c>
      <c r="MO12" t="s">
        <v>46</v>
      </c>
      <c r="MW12" t="s">
        <v>47</v>
      </c>
      <c r="NE12" t="s">
        <v>46</v>
      </c>
      <c r="NM12" t="s">
        <v>47</v>
      </c>
      <c r="NU12" t="s">
        <v>46</v>
      </c>
      <c r="OC12" t="s">
        <v>47</v>
      </c>
      <c r="OK12" t="s">
        <v>46</v>
      </c>
      <c r="OS12" t="s">
        <v>47</v>
      </c>
      <c r="PA12" t="s">
        <v>46</v>
      </c>
      <c r="PI12" t="s">
        <v>47</v>
      </c>
      <c r="PQ12" t="s">
        <v>46</v>
      </c>
      <c r="PY12" t="s">
        <v>47</v>
      </c>
    </row>
    <row r="15" spans="1:447 16377:16381" x14ac:dyDescent="0.45">
      <c r="A15" t="s">
        <v>76</v>
      </c>
    </row>
    <row r="17" spans="1:487" x14ac:dyDescent="0.45">
      <c r="B17" s="27" t="s">
        <v>35</v>
      </c>
      <c r="C17" s="27" t="s">
        <v>36</v>
      </c>
      <c r="D17" s="27" t="s">
        <v>78</v>
      </c>
      <c r="E17" s="27" t="s">
        <v>39</v>
      </c>
      <c r="F17" s="27" t="s">
        <v>40</v>
      </c>
      <c r="G17" s="27" t="s">
        <v>2</v>
      </c>
      <c r="J17" s="27" t="s">
        <v>35</v>
      </c>
      <c r="K17" s="27" t="s">
        <v>36</v>
      </c>
      <c r="L17" s="27" t="s">
        <v>78</v>
      </c>
      <c r="M17" s="27" t="s">
        <v>39</v>
      </c>
      <c r="N17" s="27" t="s">
        <v>40</v>
      </c>
      <c r="O17" s="27" t="s">
        <v>2</v>
      </c>
      <c r="R17" s="27" t="s">
        <v>35</v>
      </c>
      <c r="S17" s="27" t="s">
        <v>36</v>
      </c>
      <c r="T17" s="27" t="s">
        <v>78</v>
      </c>
      <c r="U17" s="27" t="s">
        <v>39</v>
      </c>
      <c r="V17" s="27" t="s">
        <v>40</v>
      </c>
      <c r="W17" s="27" t="s">
        <v>2</v>
      </c>
      <c r="Z17" s="27" t="s">
        <v>35</v>
      </c>
      <c r="AA17" s="27" t="s">
        <v>36</v>
      </c>
      <c r="AB17" s="27" t="s">
        <v>78</v>
      </c>
      <c r="AC17" s="27" t="s">
        <v>39</v>
      </c>
      <c r="AD17" s="27" t="s">
        <v>40</v>
      </c>
      <c r="AE17" s="27" t="s">
        <v>2</v>
      </c>
      <c r="AH17" s="27" t="s">
        <v>35</v>
      </c>
      <c r="AI17" s="27" t="s">
        <v>36</v>
      </c>
      <c r="AJ17" s="27" t="s">
        <v>78</v>
      </c>
      <c r="AK17" s="27" t="s">
        <v>39</v>
      </c>
      <c r="AL17" s="27" t="s">
        <v>40</v>
      </c>
      <c r="AM17" s="27" t="s">
        <v>2</v>
      </c>
      <c r="AP17" s="27" t="s">
        <v>35</v>
      </c>
      <c r="AQ17" s="27" t="s">
        <v>36</v>
      </c>
      <c r="AR17" s="27" t="s">
        <v>78</v>
      </c>
      <c r="AS17" s="27" t="s">
        <v>39</v>
      </c>
      <c r="AT17" s="27" t="s">
        <v>40</v>
      </c>
      <c r="AU17" s="27" t="s">
        <v>2</v>
      </c>
      <c r="AX17" s="27" t="s">
        <v>35</v>
      </c>
      <c r="AY17" s="27" t="s">
        <v>36</v>
      </c>
      <c r="AZ17" s="27" t="s">
        <v>78</v>
      </c>
      <c r="BA17" s="27" t="s">
        <v>39</v>
      </c>
      <c r="BB17" s="27" t="s">
        <v>40</v>
      </c>
      <c r="BC17" s="27" t="s">
        <v>2</v>
      </c>
      <c r="BF17" s="27" t="s">
        <v>35</v>
      </c>
      <c r="BG17" s="27" t="s">
        <v>36</v>
      </c>
      <c r="BH17" s="27" t="s">
        <v>78</v>
      </c>
      <c r="BI17" s="27" t="s">
        <v>39</v>
      </c>
      <c r="BJ17" s="27" t="s">
        <v>40</v>
      </c>
      <c r="BK17" s="27" t="s">
        <v>2</v>
      </c>
      <c r="BN17" s="27" t="s">
        <v>35</v>
      </c>
      <c r="BO17" s="27" t="s">
        <v>36</v>
      </c>
      <c r="BP17" s="27" t="s">
        <v>78</v>
      </c>
      <c r="BQ17" s="27" t="s">
        <v>39</v>
      </c>
      <c r="BR17" s="27" t="s">
        <v>40</v>
      </c>
      <c r="BS17" s="27" t="s">
        <v>2</v>
      </c>
      <c r="BV17" s="27" t="s">
        <v>35</v>
      </c>
      <c r="BW17" s="27" t="s">
        <v>36</v>
      </c>
      <c r="BX17" s="27" t="s">
        <v>78</v>
      </c>
      <c r="BY17" s="27" t="s">
        <v>39</v>
      </c>
      <c r="BZ17" s="27" t="s">
        <v>40</v>
      </c>
      <c r="CA17" s="27" t="s">
        <v>2</v>
      </c>
      <c r="CD17" s="27" t="s">
        <v>35</v>
      </c>
      <c r="CE17" s="27" t="s">
        <v>36</v>
      </c>
      <c r="CF17" s="27" t="s">
        <v>78</v>
      </c>
      <c r="CG17" s="27" t="s">
        <v>39</v>
      </c>
      <c r="CH17" s="27" t="s">
        <v>40</v>
      </c>
      <c r="CI17" s="27" t="s">
        <v>2</v>
      </c>
      <c r="CL17" s="27" t="s">
        <v>35</v>
      </c>
      <c r="CM17" s="27" t="s">
        <v>36</v>
      </c>
      <c r="CN17" s="27" t="s">
        <v>78</v>
      </c>
      <c r="CO17" s="27" t="s">
        <v>39</v>
      </c>
      <c r="CP17" s="27" t="s">
        <v>40</v>
      </c>
      <c r="CQ17" s="27" t="s">
        <v>2</v>
      </c>
      <c r="CT17" s="27" t="s">
        <v>35</v>
      </c>
      <c r="CU17" s="27" t="s">
        <v>36</v>
      </c>
      <c r="CV17" s="27" t="s">
        <v>78</v>
      </c>
      <c r="CW17" s="27" t="s">
        <v>39</v>
      </c>
      <c r="CX17" s="27" t="s">
        <v>40</v>
      </c>
      <c r="CY17" s="27" t="s">
        <v>2</v>
      </c>
      <c r="DB17" s="27" t="s">
        <v>35</v>
      </c>
      <c r="DC17" s="27" t="s">
        <v>36</v>
      </c>
      <c r="DD17" s="27" t="s">
        <v>78</v>
      </c>
      <c r="DE17" s="27" t="s">
        <v>39</v>
      </c>
      <c r="DF17" s="27" t="s">
        <v>40</v>
      </c>
      <c r="DG17" s="27" t="s">
        <v>2</v>
      </c>
      <c r="DJ17" s="27" t="s">
        <v>35</v>
      </c>
      <c r="DK17" s="27" t="s">
        <v>36</v>
      </c>
      <c r="DL17" s="27" t="s">
        <v>78</v>
      </c>
      <c r="DM17" s="27" t="s">
        <v>39</v>
      </c>
      <c r="DN17" s="27" t="s">
        <v>40</v>
      </c>
      <c r="DO17" s="27" t="s">
        <v>2</v>
      </c>
      <c r="DR17" s="27" t="s">
        <v>35</v>
      </c>
      <c r="DS17" s="27" t="s">
        <v>36</v>
      </c>
      <c r="DT17" s="27" t="s">
        <v>78</v>
      </c>
      <c r="DU17" s="27" t="s">
        <v>39</v>
      </c>
      <c r="DV17" s="27" t="s">
        <v>40</v>
      </c>
      <c r="DW17" s="27" t="s">
        <v>2</v>
      </c>
      <c r="DZ17" s="27" t="s">
        <v>35</v>
      </c>
      <c r="EA17" s="27" t="s">
        <v>36</v>
      </c>
      <c r="EB17" s="27" t="s">
        <v>78</v>
      </c>
      <c r="EC17" s="27" t="s">
        <v>39</v>
      </c>
      <c r="ED17" s="27" t="s">
        <v>40</v>
      </c>
      <c r="EE17" s="27" t="s">
        <v>2</v>
      </c>
      <c r="EH17" s="27" t="s">
        <v>35</v>
      </c>
      <c r="EI17" s="27" t="s">
        <v>36</v>
      </c>
      <c r="EJ17" s="27" t="s">
        <v>78</v>
      </c>
      <c r="EK17" s="27" t="s">
        <v>39</v>
      </c>
      <c r="EL17" s="27" t="s">
        <v>40</v>
      </c>
      <c r="EM17" s="27" t="s">
        <v>2</v>
      </c>
      <c r="EP17" s="27" t="s">
        <v>35</v>
      </c>
      <c r="EQ17" s="27" t="s">
        <v>36</v>
      </c>
      <c r="ER17" s="27" t="s">
        <v>78</v>
      </c>
      <c r="ES17" s="27" t="s">
        <v>39</v>
      </c>
      <c r="ET17" s="27" t="s">
        <v>40</v>
      </c>
      <c r="EU17" s="27" t="s">
        <v>2</v>
      </c>
      <c r="EX17" s="27" t="s">
        <v>35</v>
      </c>
      <c r="EY17" s="27" t="s">
        <v>36</v>
      </c>
      <c r="EZ17" s="27" t="s">
        <v>78</v>
      </c>
      <c r="FA17" s="27" t="s">
        <v>39</v>
      </c>
      <c r="FB17" s="27" t="s">
        <v>40</v>
      </c>
      <c r="FC17" s="27" t="s">
        <v>2</v>
      </c>
      <c r="FF17" s="27" t="s">
        <v>35</v>
      </c>
      <c r="FG17" s="27" t="s">
        <v>36</v>
      </c>
      <c r="FH17" s="27" t="s">
        <v>78</v>
      </c>
      <c r="FI17" s="27" t="s">
        <v>39</v>
      </c>
      <c r="FJ17" s="27" t="s">
        <v>40</v>
      </c>
      <c r="FK17" s="27" t="s">
        <v>2</v>
      </c>
      <c r="FN17" s="27" t="s">
        <v>35</v>
      </c>
      <c r="FO17" s="27" t="s">
        <v>36</v>
      </c>
      <c r="FP17" s="27" t="s">
        <v>78</v>
      </c>
      <c r="FQ17" s="27" t="s">
        <v>39</v>
      </c>
      <c r="FR17" s="27" t="s">
        <v>40</v>
      </c>
      <c r="FS17" s="27" t="s">
        <v>2</v>
      </c>
      <c r="FV17" s="27" t="s">
        <v>35</v>
      </c>
      <c r="FW17" s="27" t="s">
        <v>36</v>
      </c>
      <c r="FX17" s="27" t="s">
        <v>78</v>
      </c>
      <c r="FY17" s="27" t="s">
        <v>39</v>
      </c>
      <c r="FZ17" s="27" t="s">
        <v>40</v>
      </c>
      <c r="GA17" s="27" t="s">
        <v>2</v>
      </c>
      <c r="GD17" s="27" t="s">
        <v>35</v>
      </c>
      <c r="GE17" s="27" t="s">
        <v>36</v>
      </c>
      <c r="GF17" s="27" t="s">
        <v>78</v>
      </c>
      <c r="GG17" s="27" t="s">
        <v>39</v>
      </c>
      <c r="GH17" s="27" t="s">
        <v>40</v>
      </c>
      <c r="GI17" s="27" t="s">
        <v>2</v>
      </c>
      <c r="GL17" s="27" t="s">
        <v>35</v>
      </c>
      <c r="GM17" s="27" t="s">
        <v>36</v>
      </c>
      <c r="GN17" s="27" t="s">
        <v>78</v>
      </c>
      <c r="GO17" s="27" t="s">
        <v>39</v>
      </c>
      <c r="GP17" s="27" t="s">
        <v>40</v>
      </c>
      <c r="GQ17" s="27" t="s">
        <v>2</v>
      </c>
      <c r="GT17" s="27" t="s">
        <v>35</v>
      </c>
      <c r="GU17" s="27" t="s">
        <v>36</v>
      </c>
      <c r="GV17" s="27" t="s">
        <v>78</v>
      </c>
      <c r="GW17" s="27" t="s">
        <v>39</v>
      </c>
      <c r="GX17" s="27" t="s">
        <v>40</v>
      </c>
      <c r="GY17" s="27" t="s">
        <v>2</v>
      </c>
      <c r="HB17" s="27" t="s">
        <v>35</v>
      </c>
      <c r="HC17" s="27" t="s">
        <v>36</v>
      </c>
      <c r="HD17" s="27" t="s">
        <v>78</v>
      </c>
      <c r="HE17" s="27" t="s">
        <v>39</v>
      </c>
      <c r="HF17" s="27" t="s">
        <v>40</v>
      </c>
      <c r="HG17" s="27" t="s">
        <v>2</v>
      </c>
      <c r="HJ17" s="27" t="s">
        <v>35</v>
      </c>
      <c r="HK17" s="27" t="s">
        <v>36</v>
      </c>
      <c r="HL17" s="27" t="s">
        <v>78</v>
      </c>
      <c r="HM17" s="27" t="s">
        <v>39</v>
      </c>
      <c r="HN17" s="27" t="s">
        <v>40</v>
      </c>
      <c r="HO17" s="27" t="s">
        <v>2</v>
      </c>
      <c r="HR17" s="27" t="s">
        <v>35</v>
      </c>
      <c r="HS17" s="27" t="s">
        <v>36</v>
      </c>
      <c r="HT17" s="27" t="s">
        <v>78</v>
      </c>
      <c r="HU17" s="27" t="s">
        <v>39</v>
      </c>
      <c r="HV17" s="27" t="s">
        <v>40</v>
      </c>
      <c r="HW17" s="27" t="s">
        <v>2</v>
      </c>
      <c r="HZ17" s="27" t="s">
        <v>35</v>
      </c>
      <c r="IA17" s="27" t="s">
        <v>36</v>
      </c>
      <c r="IB17" s="27" t="s">
        <v>78</v>
      </c>
      <c r="IC17" s="27" t="s">
        <v>39</v>
      </c>
      <c r="ID17" s="27" t="s">
        <v>40</v>
      </c>
      <c r="IE17" s="27" t="s">
        <v>2</v>
      </c>
      <c r="IH17" s="27" t="s">
        <v>35</v>
      </c>
      <c r="II17" s="27" t="s">
        <v>36</v>
      </c>
      <c r="IJ17" s="27" t="s">
        <v>78</v>
      </c>
      <c r="IK17" s="27" t="s">
        <v>39</v>
      </c>
      <c r="IL17" s="27" t="s">
        <v>40</v>
      </c>
      <c r="IM17" s="27" t="s">
        <v>2</v>
      </c>
      <c r="IP17" s="27" t="s">
        <v>35</v>
      </c>
      <c r="IQ17" s="27" t="s">
        <v>36</v>
      </c>
      <c r="IR17" s="27" t="s">
        <v>78</v>
      </c>
      <c r="IS17" s="27" t="s">
        <v>39</v>
      </c>
      <c r="IT17" s="27" t="s">
        <v>40</v>
      </c>
      <c r="IU17" s="27" t="s">
        <v>2</v>
      </c>
      <c r="IX17" s="27" t="s">
        <v>35</v>
      </c>
      <c r="IY17" s="27" t="s">
        <v>36</v>
      </c>
      <c r="IZ17" s="27" t="s">
        <v>78</v>
      </c>
      <c r="JA17" s="27" t="s">
        <v>39</v>
      </c>
      <c r="JB17" s="27" t="s">
        <v>40</v>
      </c>
      <c r="JC17" s="27" t="s">
        <v>2</v>
      </c>
      <c r="JF17" s="27" t="s">
        <v>35</v>
      </c>
      <c r="JG17" s="27" t="s">
        <v>36</v>
      </c>
      <c r="JH17" s="27" t="s">
        <v>78</v>
      </c>
      <c r="JI17" s="27" t="s">
        <v>39</v>
      </c>
      <c r="JJ17" s="27" t="s">
        <v>40</v>
      </c>
      <c r="JK17" s="27" t="s">
        <v>2</v>
      </c>
      <c r="JN17" s="27" t="s">
        <v>35</v>
      </c>
      <c r="JO17" s="27" t="s">
        <v>36</v>
      </c>
      <c r="JP17" s="27" t="s">
        <v>78</v>
      </c>
      <c r="JQ17" s="27" t="s">
        <v>39</v>
      </c>
      <c r="JR17" s="27" t="s">
        <v>40</v>
      </c>
      <c r="JS17" s="27" t="s">
        <v>2</v>
      </c>
      <c r="JV17" s="27" t="s">
        <v>35</v>
      </c>
      <c r="JW17" s="27" t="s">
        <v>36</v>
      </c>
      <c r="JX17" s="27" t="s">
        <v>78</v>
      </c>
      <c r="JY17" s="27" t="s">
        <v>39</v>
      </c>
      <c r="JZ17" s="27" t="s">
        <v>40</v>
      </c>
      <c r="KA17" s="27" t="s">
        <v>2</v>
      </c>
      <c r="KD17" s="27" t="s">
        <v>35</v>
      </c>
      <c r="KE17" s="27" t="s">
        <v>36</v>
      </c>
      <c r="KF17" s="27" t="s">
        <v>78</v>
      </c>
      <c r="KG17" s="27" t="s">
        <v>39</v>
      </c>
      <c r="KH17" s="27" t="s">
        <v>40</v>
      </c>
      <c r="KI17" s="27" t="s">
        <v>2</v>
      </c>
      <c r="KL17" s="27" t="s">
        <v>35</v>
      </c>
      <c r="KM17" s="27" t="s">
        <v>36</v>
      </c>
      <c r="KN17" s="27" t="s">
        <v>78</v>
      </c>
      <c r="KO17" s="27" t="s">
        <v>39</v>
      </c>
      <c r="KP17" s="27" t="s">
        <v>40</v>
      </c>
      <c r="KQ17" s="27" t="s">
        <v>2</v>
      </c>
      <c r="KT17" s="27" t="s">
        <v>35</v>
      </c>
      <c r="KU17" s="27" t="s">
        <v>36</v>
      </c>
      <c r="KV17" s="27" t="s">
        <v>78</v>
      </c>
      <c r="KW17" s="27" t="s">
        <v>39</v>
      </c>
      <c r="KX17" s="27" t="s">
        <v>40</v>
      </c>
      <c r="KY17" s="27" t="s">
        <v>2</v>
      </c>
      <c r="LB17" s="27" t="s">
        <v>35</v>
      </c>
      <c r="LC17" s="27" t="s">
        <v>36</v>
      </c>
      <c r="LD17" s="27" t="s">
        <v>78</v>
      </c>
      <c r="LE17" s="27" t="s">
        <v>39</v>
      </c>
      <c r="LF17" s="27" t="s">
        <v>40</v>
      </c>
      <c r="LG17" s="27" t="s">
        <v>2</v>
      </c>
      <c r="LJ17" s="27" t="s">
        <v>35</v>
      </c>
      <c r="LK17" s="27" t="s">
        <v>36</v>
      </c>
      <c r="LL17" s="27" t="s">
        <v>78</v>
      </c>
      <c r="LM17" s="27" t="s">
        <v>39</v>
      </c>
      <c r="LN17" s="27" t="s">
        <v>40</v>
      </c>
      <c r="LO17" s="27" t="s">
        <v>2</v>
      </c>
      <c r="LR17" s="27" t="s">
        <v>35</v>
      </c>
      <c r="LS17" s="27" t="s">
        <v>36</v>
      </c>
      <c r="LT17" s="27" t="s">
        <v>78</v>
      </c>
      <c r="LU17" s="27" t="s">
        <v>39</v>
      </c>
      <c r="LV17" s="27" t="s">
        <v>40</v>
      </c>
      <c r="LW17" s="27" t="s">
        <v>2</v>
      </c>
      <c r="LZ17" s="27" t="s">
        <v>35</v>
      </c>
      <c r="MA17" s="27" t="s">
        <v>36</v>
      </c>
      <c r="MB17" s="27" t="s">
        <v>78</v>
      </c>
      <c r="MC17" s="27" t="s">
        <v>39</v>
      </c>
      <c r="MD17" s="27" t="s">
        <v>40</v>
      </c>
      <c r="ME17" s="27" t="s">
        <v>2</v>
      </c>
      <c r="MH17" s="27" t="s">
        <v>35</v>
      </c>
      <c r="MI17" s="27" t="s">
        <v>36</v>
      </c>
      <c r="MJ17" s="27" t="s">
        <v>78</v>
      </c>
      <c r="MK17" s="27" t="s">
        <v>39</v>
      </c>
      <c r="ML17" s="27" t="s">
        <v>40</v>
      </c>
      <c r="MM17" s="27" t="s">
        <v>2</v>
      </c>
      <c r="MP17" s="27" t="s">
        <v>35</v>
      </c>
      <c r="MQ17" s="27" t="s">
        <v>36</v>
      </c>
      <c r="MR17" s="27" t="s">
        <v>78</v>
      </c>
      <c r="MS17" s="27" t="s">
        <v>39</v>
      </c>
      <c r="MT17" s="27" t="s">
        <v>40</v>
      </c>
      <c r="MU17" s="27" t="s">
        <v>2</v>
      </c>
      <c r="MX17" s="27" t="s">
        <v>35</v>
      </c>
      <c r="MY17" s="27" t="s">
        <v>36</v>
      </c>
      <c r="MZ17" s="27" t="s">
        <v>78</v>
      </c>
      <c r="NA17" s="27" t="s">
        <v>39</v>
      </c>
      <c r="NB17" s="27" t="s">
        <v>40</v>
      </c>
      <c r="NC17" s="27" t="s">
        <v>2</v>
      </c>
      <c r="NF17" s="27" t="s">
        <v>35</v>
      </c>
      <c r="NG17" s="27" t="s">
        <v>36</v>
      </c>
      <c r="NH17" s="27" t="s">
        <v>78</v>
      </c>
      <c r="NI17" s="27" t="s">
        <v>39</v>
      </c>
      <c r="NJ17" s="27" t="s">
        <v>40</v>
      </c>
      <c r="NK17" s="27" t="s">
        <v>2</v>
      </c>
      <c r="NN17" s="27" t="s">
        <v>35</v>
      </c>
      <c r="NO17" s="27" t="s">
        <v>36</v>
      </c>
      <c r="NP17" s="27" t="s">
        <v>78</v>
      </c>
      <c r="NQ17" s="27" t="s">
        <v>39</v>
      </c>
      <c r="NR17" s="27" t="s">
        <v>40</v>
      </c>
      <c r="NS17" s="27" t="s">
        <v>2</v>
      </c>
      <c r="NV17" s="27" t="s">
        <v>35</v>
      </c>
      <c r="NW17" s="27" t="s">
        <v>36</v>
      </c>
      <c r="NX17" s="27" t="s">
        <v>78</v>
      </c>
      <c r="NY17" s="27" t="s">
        <v>39</v>
      </c>
      <c r="NZ17" s="27" t="s">
        <v>40</v>
      </c>
      <c r="OA17" s="27" t="s">
        <v>2</v>
      </c>
      <c r="OD17" s="27" t="s">
        <v>35</v>
      </c>
      <c r="OE17" s="27" t="s">
        <v>36</v>
      </c>
      <c r="OF17" s="27" t="s">
        <v>78</v>
      </c>
      <c r="OG17" s="27" t="s">
        <v>39</v>
      </c>
      <c r="OH17" s="27" t="s">
        <v>40</v>
      </c>
      <c r="OI17" s="27" t="s">
        <v>2</v>
      </c>
      <c r="OL17" s="27" t="s">
        <v>35</v>
      </c>
      <c r="OM17" s="27" t="s">
        <v>36</v>
      </c>
      <c r="ON17" s="27" t="s">
        <v>78</v>
      </c>
      <c r="OO17" s="27" t="s">
        <v>39</v>
      </c>
      <c r="OP17" s="27" t="s">
        <v>40</v>
      </c>
      <c r="OQ17" s="27" t="s">
        <v>2</v>
      </c>
      <c r="OT17" s="27" t="s">
        <v>35</v>
      </c>
      <c r="OU17" s="27" t="s">
        <v>36</v>
      </c>
      <c r="OV17" s="27" t="s">
        <v>78</v>
      </c>
      <c r="OW17" s="27" t="s">
        <v>39</v>
      </c>
      <c r="OX17" s="27" t="s">
        <v>40</v>
      </c>
      <c r="OY17" s="27" t="s">
        <v>2</v>
      </c>
      <c r="PB17" s="27" t="s">
        <v>35</v>
      </c>
      <c r="PC17" s="27" t="s">
        <v>36</v>
      </c>
      <c r="PD17" s="27" t="s">
        <v>78</v>
      </c>
      <c r="PE17" s="27" t="s">
        <v>39</v>
      </c>
      <c r="PF17" s="27" t="s">
        <v>40</v>
      </c>
      <c r="PG17" s="27" t="s">
        <v>2</v>
      </c>
      <c r="PJ17" s="27" t="s">
        <v>35</v>
      </c>
      <c r="PK17" s="27" t="s">
        <v>36</v>
      </c>
      <c r="PL17" s="27" t="s">
        <v>78</v>
      </c>
      <c r="PM17" s="27" t="s">
        <v>39</v>
      </c>
      <c r="PN17" s="27" t="s">
        <v>40</v>
      </c>
      <c r="PO17" s="27" t="s">
        <v>2</v>
      </c>
      <c r="PR17" s="27" t="s">
        <v>35</v>
      </c>
      <c r="PS17" s="27" t="s">
        <v>36</v>
      </c>
      <c r="PT17" s="27" t="s">
        <v>78</v>
      </c>
      <c r="PU17" s="27" t="s">
        <v>39</v>
      </c>
      <c r="PV17" s="27" t="s">
        <v>40</v>
      </c>
      <c r="PW17" s="27" t="s">
        <v>2</v>
      </c>
      <c r="PZ17" s="27" t="s">
        <v>35</v>
      </c>
      <c r="QA17" s="27" t="s">
        <v>36</v>
      </c>
      <c r="QB17" s="27" t="s">
        <v>78</v>
      </c>
      <c r="QC17" s="27" t="s">
        <v>39</v>
      </c>
      <c r="QD17" s="27" t="s">
        <v>40</v>
      </c>
      <c r="QE17" s="27" t="s">
        <v>2</v>
      </c>
    </row>
    <row r="18" spans="1:487" x14ac:dyDescent="0.45">
      <c r="A18" t="s">
        <v>41</v>
      </c>
      <c r="B18" s="28">
        <f t="shared" ref="B18:G18" si="0">AVERAGE(B2:B8)</f>
        <v>4.2356457629947695</v>
      </c>
      <c r="C18" s="27">
        <f t="shared" si="0"/>
        <v>5.4602857142857131</v>
      </c>
      <c r="D18" s="27">
        <f t="shared" si="0"/>
        <v>11.559105714285717</v>
      </c>
      <c r="E18" s="27">
        <f t="shared" si="0"/>
        <v>10.869200154603607</v>
      </c>
      <c r="F18" s="27">
        <f t="shared" si="0"/>
        <v>2037.3215714285727</v>
      </c>
      <c r="G18" s="29">
        <f t="shared" si="0"/>
        <v>2.102595296085643E-2</v>
      </c>
      <c r="I18" t="s">
        <v>41</v>
      </c>
      <c r="J18" s="28">
        <f t="shared" ref="J18:O18" si="1">AVERAGE(J2:J8)</f>
        <v>4.2356457629947695</v>
      </c>
      <c r="K18" s="27">
        <f t="shared" si="1"/>
        <v>5.4602857142857131</v>
      </c>
      <c r="L18" s="27">
        <f t="shared" si="1"/>
        <v>11.559105714285717</v>
      </c>
      <c r="M18" s="27">
        <f t="shared" si="1"/>
        <v>10.869200154603607</v>
      </c>
      <c r="N18" s="27">
        <f t="shared" si="1"/>
        <v>2037.3215714285727</v>
      </c>
      <c r="O18" s="29">
        <f t="shared" si="1"/>
        <v>5.3568860976711867E-2</v>
      </c>
      <c r="Q18" t="s">
        <v>41</v>
      </c>
      <c r="R18" s="28">
        <f t="shared" ref="R18:W18" si="2">AVERAGE(R2:R8)</f>
        <v>4.2356457629947695</v>
      </c>
      <c r="S18" s="27">
        <f t="shared" si="2"/>
        <v>5.4602857142857131</v>
      </c>
      <c r="T18" s="27">
        <f t="shared" si="2"/>
        <v>11.559105714285717</v>
      </c>
      <c r="U18" s="27">
        <f t="shared" si="2"/>
        <v>10.869200154603607</v>
      </c>
      <c r="V18" s="27">
        <f t="shared" si="2"/>
        <v>2037.3215714285727</v>
      </c>
      <c r="W18" s="29">
        <f t="shared" si="2"/>
        <v>0.11755732789704919</v>
      </c>
      <c r="Y18" t="s">
        <v>41</v>
      </c>
      <c r="Z18" s="28">
        <f t="shared" ref="Z18:AE18" si="3">AVERAGE(Z2:Z8)</f>
        <v>4.2356457629947695</v>
      </c>
      <c r="AA18" s="27">
        <f t="shared" si="3"/>
        <v>5.4602857142857131</v>
      </c>
      <c r="AB18" s="27">
        <f t="shared" si="3"/>
        <v>11.559105714285717</v>
      </c>
      <c r="AC18" s="27">
        <f t="shared" si="3"/>
        <v>10.869200154603607</v>
      </c>
      <c r="AD18" s="27">
        <f t="shared" si="3"/>
        <v>2037.3215714285727</v>
      </c>
      <c r="AE18" s="29">
        <f t="shared" si="3"/>
        <v>0.31629947825067245</v>
      </c>
      <c r="AG18" t="s">
        <v>41</v>
      </c>
      <c r="AH18" s="28">
        <f t="shared" ref="AH18:AM18" si="4">AVERAGE(AH2:AH8)</f>
        <v>4.2356457629947695</v>
      </c>
      <c r="AI18" s="27">
        <f t="shared" si="4"/>
        <v>5.4602857142857131</v>
      </c>
      <c r="AJ18" s="27">
        <f t="shared" si="4"/>
        <v>11.559105714285717</v>
      </c>
      <c r="AK18" s="27">
        <f t="shared" si="4"/>
        <v>10.869200154603607</v>
      </c>
      <c r="AL18" s="27">
        <f t="shared" si="4"/>
        <v>2037.3215714285727</v>
      </c>
      <c r="AM18" s="29">
        <f t="shared" si="4"/>
        <v>0.19279163313551262</v>
      </c>
      <c r="AO18" t="s">
        <v>41</v>
      </c>
      <c r="AP18" s="28">
        <f t="shared" ref="AP18:AU18" si="5">AVERAGE(AP2:AP8)</f>
        <v>4.2356457629947695</v>
      </c>
      <c r="AQ18" s="27">
        <f t="shared" si="5"/>
        <v>5.4602857142857131</v>
      </c>
      <c r="AR18" s="27">
        <f t="shared" si="5"/>
        <v>11.559105714285717</v>
      </c>
      <c r="AS18" s="27">
        <f t="shared" si="5"/>
        <v>10.869200154603607</v>
      </c>
      <c r="AT18" s="27">
        <f t="shared" si="5"/>
        <v>2037.3215714285727</v>
      </c>
      <c r="AU18" s="29">
        <f t="shared" si="5"/>
        <v>0.39108612819311173</v>
      </c>
      <c r="AW18" t="s">
        <v>41</v>
      </c>
      <c r="AX18" s="28">
        <f t="shared" ref="AX18:BC18" si="6">AVERAGE(AX2:AX8)</f>
        <v>4.2356457629947695</v>
      </c>
      <c r="AY18" s="27">
        <f t="shared" si="6"/>
        <v>5.4602857142857131</v>
      </c>
      <c r="AZ18" s="27">
        <f t="shared" si="6"/>
        <v>11.559105714285717</v>
      </c>
      <c r="BA18" s="27">
        <f t="shared" si="6"/>
        <v>10.869200154603607</v>
      </c>
      <c r="BB18" s="27">
        <f t="shared" si="6"/>
        <v>2037.3215714285727</v>
      </c>
      <c r="BC18" s="29">
        <f t="shared" si="6"/>
        <v>0</v>
      </c>
      <c r="BE18" t="s">
        <v>41</v>
      </c>
      <c r="BF18" s="28">
        <f t="shared" ref="BF18:BK18" si="7">AVERAGE(BF2:BF8)</f>
        <v>4.2356457629947695</v>
      </c>
      <c r="BG18" s="27">
        <f t="shared" si="7"/>
        <v>5.4602857142857131</v>
      </c>
      <c r="BH18" s="27">
        <f t="shared" si="7"/>
        <v>11.559105714285717</v>
      </c>
      <c r="BI18" s="27">
        <f t="shared" si="7"/>
        <v>10.869200154603607</v>
      </c>
      <c r="BJ18" s="27">
        <f t="shared" si="7"/>
        <v>2037.3215714285727</v>
      </c>
      <c r="BK18" s="29">
        <f t="shared" si="7"/>
        <v>0</v>
      </c>
      <c r="BM18" t="s">
        <v>41</v>
      </c>
      <c r="BN18" s="28">
        <f t="shared" ref="BN18:BS18" si="8">AVERAGE(BN2:BN8)</f>
        <v>4.2356457629947695</v>
      </c>
      <c r="BO18" s="27">
        <f t="shared" si="8"/>
        <v>5.4602857142857131</v>
      </c>
      <c r="BP18" s="27">
        <f t="shared" si="8"/>
        <v>11.559105714285717</v>
      </c>
      <c r="BQ18" s="27">
        <f t="shared" si="8"/>
        <v>10.869200154603607</v>
      </c>
      <c r="BR18" s="27">
        <f t="shared" si="8"/>
        <v>2037.3215714285727</v>
      </c>
      <c r="BS18" s="29">
        <f t="shared" si="8"/>
        <v>3.2529083170257385E-2</v>
      </c>
      <c r="BU18" t="s">
        <v>41</v>
      </c>
      <c r="BV18" s="28">
        <f t="shared" ref="BV18:CA18" si="9">AVERAGE(BV2:BV8)</f>
        <v>4.2356457629947695</v>
      </c>
      <c r="BW18" s="27">
        <f t="shared" si="9"/>
        <v>5.4602857142857131</v>
      </c>
      <c r="BX18" s="27">
        <f t="shared" si="9"/>
        <v>11.559105714285717</v>
      </c>
      <c r="BY18" s="27">
        <f t="shared" si="9"/>
        <v>10.869200154603607</v>
      </c>
      <c r="BZ18" s="27">
        <f t="shared" si="9"/>
        <v>2037.3215714285727</v>
      </c>
      <c r="CA18" s="29">
        <f t="shared" si="9"/>
        <v>0.20929046424567341</v>
      </c>
      <c r="CC18" t="s">
        <v>41</v>
      </c>
      <c r="CD18" s="28">
        <f t="shared" ref="CD18:CI18" si="10">AVERAGE(CD2:CD8)</f>
        <v>4.2356457629947695</v>
      </c>
      <c r="CE18" s="27">
        <f t="shared" si="10"/>
        <v>5.4602857142857131</v>
      </c>
      <c r="CF18" s="27">
        <f t="shared" si="10"/>
        <v>11.559105714285717</v>
      </c>
      <c r="CG18" s="27">
        <f t="shared" si="10"/>
        <v>10.869200154603607</v>
      </c>
      <c r="CH18" s="27">
        <f t="shared" si="10"/>
        <v>2037.3215714285727</v>
      </c>
      <c r="CI18" s="29">
        <f t="shared" si="10"/>
        <v>7.0442468251884086E-3</v>
      </c>
      <c r="CK18" t="s">
        <v>41</v>
      </c>
      <c r="CL18" s="28">
        <f t="shared" ref="CL18:CQ18" si="11">AVERAGE(CL2:CL8)</f>
        <v>4.2356457629947695</v>
      </c>
      <c r="CM18" s="27">
        <f t="shared" si="11"/>
        <v>5.4602857142857131</v>
      </c>
      <c r="CN18" s="27">
        <f t="shared" si="11"/>
        <v>11.559105714285717</v>
      </c>
      <c r="CO18" s="27">
        <f t="shared" si="11"/>
        <v>10.869200154603607</v>
      </c>
      <c r="CP18" s="27">
        <f t="shared" si="11"/>
        <v>2037.3215714285727</v>
      </c>
      <c r="CQ18" s="29">
        <f t="shared" si="11"/>
        <v>0</v>
      </c>
      <c r="CS18" t="s">
        <v>41</v>
      </c>
      <c r="CT18" s="28">
        <f t="shared" ref="CT18:CY18" si="12">AVERAGE(CT2:CT8)</f>
        <v>4.2356457629947695</v>
      </c>
      <c r="CU18" s="27">
        <f t="shared" si="12"/>
        <v>5.4602857142857131</v>
      </c>
      <c r="CV18" s="27">
        <f t="shared" si="12"/>
        <v>11.559105714285717</v>
      </c>
      <c r="CW18" s="27">
        <f t="shared" si="12"/>
        <v>10.869200154603607</v>
      </c>
      <c r="CX18" s="27">
        <f t="shared" si="12"/>
        <v>2037.3215714285727</v>
      </c>
      <c r="CY18" s="29">
        <f t="shared" si="12"/>
        <v>8.366675121628743E-2</v>
      </c>
      <c r="DA18" t="s">
        <v>41</v>
      </c>
      <c r="DB18" s="28">
        <f t="shared" ref="DB18:DG18" si="13">AVERAGE(DB2:DB8)</f>
        <v>4.2356457629947695</v>
      </c>
      <c r="DC18" s="27">
        <f t="shared" si="13"/>
        <v>5.4602857142857131</v>
      </c>
      <c r="DD18" s="27">
        <f t="shared" si="13"/>
        <v>11.559105714285717</v>
      </c>
      <c r="DE18" s="27">
        <f t="shared" si="13"/>
        <v>10.869200154603607</v>
      </c>
      <c r="DF18" s="27">
        <f t="shared" si="13"/>
        <v>2037.3215714285727</v>
      </c>
      <c r="DG18" s="29">
        <f t="shared" si="13"/>
        <v>0.15118832590892087</v>
      </c>
      <c r="DI18" t="s">
        <v>41</v>
      </c>
      <c r="DJ18" s="28">
        <f t="shared" ref="DJ18:DO18" si="14">AVERAGE(DJ2:DJ8)</f>
        <v>4.2356457629947695</v>
      </c>
      <c r="DK18" s="27">
        <f t="shared" si="14"/>
        <v>5.4602857142857131</v>
      </c>
      <c r="DL18" s="27">
        <f t="shared" si="14"/>
        <v>11.559105714285717</v>
      </c>
      <c r="DM18" s="27">
        <f t="shared" si="14"/>
        <v>10.869200154603607</v>
      </c>
      <c r="DN18" s="27">
        <f t="shared" si="14"/>
        <v>2037.3215714285727</v>
      </c>
      <c r="DO18" s="29">
        <f t="shared" si="14"/>
        <v>0</v>
      </c>
      <c r="DQ18" t="s">
        <v>41</v>
      </c>
      <c r="DR18" s="28">
        <f t="shared" ref="DR18:DW18" si="15">AVERAGE(DR2:DR8)</f>
        <v>4.2356457629947695</v>
      </c>
      <c r="DS18" s="27">
        <f t="shared" si="15"/>
        <v>5.4602857142857131</v>
      </c>
      <c r="DT18" s="27">
        <f t="shared" si="15"/>
        <v>11.559105714285717</v>
      </c>
      <c r="DU18" s="27">
        <f t="shared" si="15"/>
        <v>10.869200154603607</v>
      </c>
      <c r="DV18" s="27">
        <f t="shared" si="15"/>
        <v>2037.3215714285727</v>
      </c>
      <c r="DW18" s="29">
        <f t="shared" si="15"/>
        <v>0</v>
      </c>
      <c r="DY18" t="s">
        <v>41</v>
      </c>
      <c r="DZ18" s="28">
        <f t="shared" ref="DZ18:EE18" si="16">AVERAGE(DZ2:DZ8)</f>
        <v>4.2356457629947695</v>
      </c>
      <c r="EA18" s="27">
        <f t="shared" si="16"/>
        <v>5.4602857142857131</v>
      </c>
      <c r="EB18" s="27">
        <f t="shared" si="16"/>
        <v>11.559105714285717</v>
      </c>
      <c r="EC18" s="27">
        <f t="shared" si="16"/>
        <v>10.869200154603607</v>
      </c>
      <c r="ED18" s="27">
        <f t="shared" si="16"/>
        <v>2037.3215714285727</v>
      </c>
      <c r="EE18" s="29">
        <f t="shared" si="16"/>
        <v>0.21657820866820754</v>
      </c>
      <c r="EG18" t="s">
        <v>41</v>
      </c>
      <c r="EH18" s="28">
        <f t="shared" ref="EH18:EM18" si="17">AVERAGE(EH2:EH8)</f>
        <v>4.2356457629947695</v>
      </c>
      <c r="EI18" s="27">
        <f t="shared" si="17"/>
        <v>5.4602857142857131</v>
      </c>
      <c r="EJ18" s="27">
        <f t="shared" si="17"/>
        <v>11.559105714285717</v>
      </c>
      <c r="EK18" s="27">
        <f t="shared" si="17"/>
        <v>10.869200154603607</v>
      </c>
      <c r="EL18" s="27">
        <f t="shared" si="17"/>
        <v>2037.3215714285727</v>
      </c>
      <c r="EM18" s="29">
        <f t="shared" si="17"/>
        <v>0.48064463439864308</v>
      </c>
      <c r="EO18" t="s">
        <v>41</v>
      </c>
      <c r="EP18" s="28">
        <f t="shared" ref="EP18:EU18" si="18">AVERAGE(EP2:EP8)</f>
        <v>4.2356457629947695</v>
      </c>
      <c r="EQ18" s="27">
        <f t="shared" si="18"/>
        <v>5.4602857142857131</v>
      </c>
      <c r="ER18" s="27">
        <f t="shared" si="18"/>
        <v>11.559105714285717</v>
      </c>
      <c r="ES18" s="27">
        <f t="shared" si="18"/>
        <v>10.869200154603607</v>
      </c>
      <c r="ET18" s="27">
        <f t="shared" si="18"/>
        <v>2037.3215714285727</v>
      </c>
      <c r="EU18" s="29">
        <f t="shared" si="18"/>
        <v>0.12804091365500264</v>
      </c>
      <c r="EW18" t="s">
        <v>41</v>
      </c>
      <c r="EX18" s="28">
        <f t="shared" ref="EX18:FC18" si="19">AVERAGE(EX2:EX8)</f>
        <v>4.2356457629947695</v>
      </c>
      <c r="EY18" s="27">
        <f t="shared" si="19"/>
        <v>5.4602857142857131</v>
      </c>
      <c r="EZ18" s="27">
        <f t="shared" si="19"/>
        <v>11.559105714285717</v>
      </c>
      <c r="FA18" s="27">
        <f t="shared" si="19"/>
        <v>10.869200154603607</v>
      </c>
      <c r="FB18" s="27">
        <f t="shared" si="19"/>
        <v>2037.3215714285727</v>
      </c>
      <c r="FC18" s="29">
        <f t="shared" si="19"/>
        <v>0.33860667461482757</v>
      </c>
      <c r="FE18" t="s">
        <v>41</v>
      </c>
      <c r="FF18" s="28">
        <f t="shared" ref="FF18:FK18" si="20">AVERAGE(FF2:FF8)</f>
        <v>4.2356457629947695</v>
      </c>
      <c r="FG18" s="27">
        <f t="shared" si="20"/>
        <v>5.4602857142857131</v>
      </c>
      <c r="FH18" s="27">
        <f t="shared" si="20"/>
        <v>11.559105714285717</v>
      </c>
      <c r="FI18" s="27">
        <f t="shared" si="20"/>
        <v>10.869200154603607</v>
      </c>
      <c r="FJ18" s="27">
        <f t="shared" si="20"/>
        <v>2037.3215714285727</v>
      </c>
      <c r="FK18" s="29">
        <f t="shared" si="20"/>
        <v>0</v>
      </c>
      <c r="FM18" t="s">
        <v>41</v>
      </c>
      <c r="FN18" s="28">
        <f t="shared" ref="FN18:FS18" si="21">AVERAGE(FN2:FN8)</f>
        <v>4.2356457629947695</v>
      </c>
      <c r="FO18" s="27">
        <f t="shared" si="21"/>
        <v>5.4602857142857131</v>
      </c>
      <c r="FP18" s="27">
        <f t="shared" si="21"/>
        <v>11.559105714285717</v>
      </c>
      <c r="FQ18" s="27">
        <f t="shared" si="21"/>
        <v>10.869200154603607</v>
      </c>
      <c r="FR18" s="27">
        <f t="shared" si="21"/>
        <v>2037.3215714285727</v>
      </c>
      <c r="FS18" s="29">
        <f t="shared" si="21"/>
        <v>0</v>
      </c>
      <c r="FU18" t="s">
        <v>41</v>
      </c>
      <c r="FV18" s="28">
        <f t="shared" ref="FV18:GA18" si="22">AVERAGE(FV2:FV8)</f>
        <v>4.2356457629947695</v>
      </c>
      <c r="FW18" s="27">
        <f t="shared" si="22"/>
        <v>5.4602857142857131</v>
      </c>
      <c r="FX18" s="27">
        <f t="shared" si="22"/>
        <v>11.559105714285717</v>
      </c>
      <c r="FY18" s="27">
        <f t="shared" si="22"/>
        <v>10.869200154603607</v>
      </c>
      <c r="FZ18" s="27">
        <f t="shared" si="22"/>
        <v>2037.3215714285727</v>
      </c>
      <c r="GA18" s="29">
        <f t="shared" si="22"/>
        <v>0</v>
      </c>
      <c r="GC18" t="s">
        <v>41</v>
      </c>
      <c r="GD18" s="28">
        <f t="shared" ref="GD18:GI18" si="23">AVERAGE(GD2:GD8)</f>
        <v>4.2356457629947695</v>
      </c>
      <c r="GE18" s="27">
        <f t="shared" si="23"/>
        <v>5.4602857142857131</v>
      </c>
      <c r="GF18" s="27">
        <f t="shared" si="23"/>
        <v>11.559105714285717</v>
      </c>
      <c r="GG18" s="27">
        <f t="shared" si="23"/>
        <v>10.869200154603607</v>
      </c>
      <c r="GH18" s="27">
        <f t="shared" si="23"/>
        <v>2037.3215714285727</v>
      </c>
      <c r="GI18" s="29">
        <f t="shared" si="23"/>
        <v>0</v>
      </c>
      <c r="GK18" t="s">
        <v>41</v>
      </c>
      <c r="GL18" s="28">
        <f t="shared" ref="GL18:GQ18" si="24">AVERAGE(GL2:GL8)</f>
        <v>4.2356457629947695</v>
      </c>
      <c r="GM18" s="27">
        <f t="shared" si="24"/>
        <v>5.4602857142857131</v>
      </c>
      <c r="GN18" s="27">
        <f t="shared" si="24"/>
        <v>11.559105714285717</v>
      </c>
      <c r="GO18" s="27">
        <f t="shared" si="24"/>
        <v>10.869200154603607</v>
      </c>
      <c r="GP18" s="27">
        <f t="shared" si="24"/>
        <v>2037.3215714285727</v>
      </c>
      <c r="GQ18" s="29">
        <f t="shared" si="24"/>
        <v>1.1118803402551978E-2</v>
      </c>
      <c r="GS18" t="s">
        <v>41</v>
      </c>
      <c r="GT18" s="28">
        <f t="shared" ref="GT18:GY18" si="25">AVERAGE(GT2:GT8)</f>
        <v>4.2356457629947695</v>
      </c>
      <c r="GU18" s="27">
        <f t="shared" si="25"/>
        <v>5.4602857142857131</v>
      </c>
      <c r="GV18" s="27">
        <f t="shared" si="25"/>
        <v>11.559105714285717</v>
      </c>
      <c r="GW18" s="27">
        <f t="shared" si="25"/>
        <v>10.869200154603607</v>
      </c>
      <c r="GX18" s="27">
        <f t="shared" si="25"/>
        <v>2037.3215714285727</v>
      </c>
      <c r="GY18" s="29">
        <f t="shared" si="25"/>
        <v>3.6122472149606587E-2</v>
      </c>
      <c r="HA18" t="s">
        <v>41</v>
      </c>
      <c r="HB18" s="28">
        <f t="shared" ref="HB18:HG18" si="26">AVERAGE(HB2:HB8)</f>
        <v>4.2356457629947695</v>
      </c>
      <c r="HC18" s="27">
        <f t="shared" si="26"/>
        <v>5.4602857142857131</v>
      </c>
      <c r="HD18" s="27">
        <f t="shared" si="26"/>
        <v>11.559105714285717</v>
      </c>
      <c r="HE18" s="27">
        <f t="shared" si="26"/>
        <v>10.869200154603607</v>
      </c>
      <c r="HF18" s="27">
        <f t="shared" si="26"/>
        <v>2037.3215714285727</v>
      </c>
      <c r="HG18" s="29">
        <f t="shared" si="26"/>
        <v>5.3093682066865891E-2</v>
      </c>
      <c r="HI18" t="s">
        <v>41</v>
      </c>
      <c r="HJ18" s="28">
        <f t="shared" ref="HJ18:HO18" si="27">AVERAGE(HJ2:HJ8)</f>
        <v>4.2356457629947695</v>
      </c>
      <c r="HK18" s="27">
        <f t="shared" si="27"/>
        <v>5.4602857142857131</v>
      </c>
      <c r="HL18" s="27">
        <f t="shared" si="27"/>
        <v>11.559105714285717</v>
      </c>
      <c r="HM18" s="27">
        <f t="shared" si="27"/>
        <v>10.869200154603607</v>
      </c>
      <c r="HN18" s="27">
        <f t="shared" si="27"/>
        <v>2037.3215714285727</v>
      </c>
      <c r="HO18" s="29">
        <f t="shared" si="27"/>
        <v>0.11145297874833736</v>
      </c>
      <c r="HQ18" t="s">
        <v>41</v>
      </c>
      <c r="HR18" s="28">
        <f t="shared" ref="HR18:HW18" si="28">AVERAGE(HR2:HR8)</f>
        <v>4.2356457629947695</v>
      </c>
      <c r="HS18" s="27">
        <f t="shared" si="28"/>
        <v>5.4602857142857131</v>
      </c>
      <c r="HT18" s="27">
        <f t="shared" si="28"/>
        <v>11.559105714285717</v>
      </c>
      <c r="HU18" s="27">
        <f t="shared" si="28"/>
        <v>10.869200154603607</v>
      </c>
      <c r="HV18" s="27">
        <f t="shared" si="28"/>
        <v>2037.3215714285727</v>
      </c>
      <c r="HW18" s="29">
        <f t="shared" si="28"/>
        <v>7.95223067917947E-2</v>
      </c>
      <c r="HY18" t="s">
        <v>41</v>
      </c>
      <c r="HZ18" s="28">
        <f t="shared" ref="HZ18:IE18" si="29">AVERAGE(HZ2:HZ8)</f>
        <v>4.2356457629947695</v>
      </c>
      <c r="IA18" s="27">
        <f t="shared" si="29"/>
        <v>5.4602857142857131</v>
      </c>
      <c r="IB18" s="27">
        <f t="shared" si="29"/>
        <v>11.559105714285717</v>
      </c>
      <c r="IC18" s="27">
        <f t="shared" si="29"/>
        <v>10.869200154603607</v>
      </c>
      <c r="ID18" s="27">
        <f t="shared" si="29"/>
        <v>2037.3215714285727</v>
      </c>
      <c r="IE18" s="29">
        <f t="shared" si="29"/>
        <v>0.12405420280156999</v>
      </c>
      <c r="IG18" t="s">
        <v>41</v>
      </c>
      <c r="IH18" s="28">
        <f t="shared" ref="IH18:IM18" si="30">AVERAGE(IH2:IH8)</f>
        <v>4.2356457629947695</v>
      </c>
      <c r="II18" s="27">
        <f t="shared" si="30"/>
        <v>5.4602857142857131</v>
      </c>
      <c r="IJ18" s="27">
        <f t="shared" si="30"/>
        <v>11.559105714285717</v>
      </c>
      <c r="IK18" s="27">
        <f t="shared" si="30"/>
        <v>10.869200154603607</v>
      </c>
      <c r="IL18" s="27">
        <f t="shared" si="30"/>
        <v>2037.3215714285727</v>
      </c>
      <c r="IM18" s="29">
        <f t="shared" si="30"/>
        <v>7.0793972007425654E-2</v>
      </c>
      <c r="IO18" t="s">
        <v>41</v>
      </c>
      <c r="IP18" s="28">
        <f t="shared" ref="IP18:IU18" si="31">AVERAGE(IP2:IP8)</f>
        <v>4.2356457629947695</v>
      </c>
      <c r="IQ18" s="27">
        <f t="shared" si="31"/>
        <v>5.4602857142857131</v>
      </c>
      <c r="IR18" s="27">
        <f t="shared" si="31"/>
        <v>11.559105714285717</v>
      </c>
      <c r="IS18" s="27">
        <f t="shared" si="31"/>
        <v>10.869200154603607</v>
      </c>
      <c r="IT18" s="27">
        <f t="shared" si="31"/>
        <v>2037.3215714285727</v>
      </c>
      <c r="IU18" s="29">
        <f t="shared" si="31"/>
        <v>0.17478567855993407</v>
      </c>
      <c r="IW18" t="s">
        <v>41</v>
      </c>
      <c r="IX18" s="28">
        <f t="shared" ref="IX18:JC18" si="32">AVERAGE(IX2:IX8)</f>
        <v>4.2356457629947695</v>
      </c>
      <c r="IY18" s="27">
        <f t="shared" si="32"/>
        <v>5.4602857142857131</v>
      </c>
      <c r="IZ18" s="27">
        <f t="shared" si="32"/>
        <v>11.559105714285717</v>
      </c>
      <c r="JA18" s="27">
        <f t="shared" si="32"/>
        <v>10.869200154603607</v>
      </c>
      <c r="JB18" s="27">
        <f t="shared" si="32"/>
        <v>2037.3215714285727</v>
      </c>
      <c r="JC18" s="29">
        <f t="shared" si="32"/>
        <v>0</v>
      </c>
      <c r="JE18" t="s">
        <v>41</v>
      </c>
      <c r="JF18" s="28">
        <f t="shared" ref="JF18:JK18" si="33">AVERAGE(JF2:JF8)</f>
        <v>4.2356457629947695</v>
      </c>
      <c r="JG18" s="27">
        <f t="shared" si="33"/>
        <v>5.4602857142857131</v>
      </c>
      <c r="JH18" s="27">
        <f t="shared" si="33"/>
        <v>11.559105714285717</v>
      </c>
      <c r="JI18" s="27">
        <f t="shared" si="33"/>
        <v>10.869200154603607</v>
      </c>
      <c r="JJ18" s="27">
        <f t="shared" si="33"/>
        <v>2037.3215714285727</v>
      </c>
      <c r="JK18" s="29">
        <f t="shared" si="33"/>
        <v>0</v>
      </c>
      <c r="JM18" t="s">
        <v>41</v>
      </c>
      <c r="JN18" s="28">
        <f t="shared" ref="JN18:JS18" si="34">AVERAGE(JN2:JN8)</f>
        <v>4.2356457629947695</v>
      </c>
      <c r="JO18" s="27">
        <f t="shared" si="34"/>
        <v>5.4602857142857131</v>
      </c>
      <c r="JP18" s="27">
        <f t="shared" si="34"/>
        <v>11.559105714285717</v>
      </c>
      <c r="JQ18" s="27">
        <f t="shared" si="34"/>
        <v>10.869200154603607</v>
      </c>
      <c r="JR18" s="27">
        <f t="shared" si="34"/>
        <v>2037.3215714285727</v>
      </c>
      <c r="JS18" s="29">
        <f t="shared" si="34"/>
        <v>0</v>
      </c>
      <c r="JU18" t="s">
        <v>41</v>
      </c>
      <c r="JV18" s="28">
        <f t="shared" ref="JV18:KA18" si="35">AVERAGE(JV2:JV8)</f>
        <v>4.2356457629947695</v>
      </c>
      <c r="JW18" s="27">
        <f t="shared" si="35"/>
        <v>5.4602857142857131</v>
      </c>
      <c r="JX18" s="27">
        <f t="shared" si="35"/>
        <v>11.559105714285717</v>
      </c>
      <c r="JY18" s="27">
        <f t="shared" si="35"/>
        <v>10.869200154603607</v>
      </c>
      <c r="JZ18" s="27">
        <f t="shared" si="35"/>
        <v>2037.3215714285727</v>
      </c>
      <c r="KA18" s="29">
        <f t="shared" si="35"/>
        <v>0</v>
      </c>
      <c r="KC18" t="s">
        <v>41</v>
      </c>
      <c r="KD18" s="28">
        <f t="shared" ref="KD18:KI18" si="36">AVERAGE(KD2:KD8)</f>
        <v>4.2356457629947695</v>
      </c>
      <c r="KE18" s="27">
        <f t="shared" si="36"/>
        <v>5.4602857142857131</v>
      </c>
      <c r="KF18" s="27">
        <f t="shared" si="36"/>
        <v>11.559105714285717</v>
      </c>
      <c r="KG18" s="27">
        <f t="shared" si="36"/>
        <v>10.869200154603607</v>
      </c>
      <c r="KH18" s="27">
        <f t="shared" si="36"/>
        <v>2037.3215714285727</v>
      </c>
      <c r="KI18" s="29">
        <f t="shared" si="36"/>
        <v>0.10130621614211455</v>
      </c>
      <c r="KK18" t="s">
        <v>41</v>
      </c>
      <c r="KL18" s="28">
        <f t="shared" ref="KL18:KQ18" si="37">AVERAGE(KL2:KL8)</f>
        <v>4.2356457629947695</v>
      </c>
      <c r="KM18" s="27">
        <f t="shared" si="37"/>
        <v>5.4602857142857131</v>
      </c>
      <c r="KN18" s="27">
        <f t="shared" si="37"/>
        <v>11.559105714285717</v>
      </c>
      <c r="KO18" s="27">
        <f t="shared" si="37"/>
        <v>10.869200154603607</v>
      </c>
      <c r="KP18" s="27">
        <f t="shared" si="37"/>
        <v>2037.3215714285727</v>
      </c>
      <c r="KQ18" s="29">
        <f t="shared" si="37"/>
        <v>0.2046957609122397</v>
      </c>
      <c r="KS18" t="s">
        <v>41</v>
      </c>
      <c r="KT18" s="28">
        <f t="shared" ref="KT18:KY18" si="38">AVERAGE(KT2:KT8)</f>
        <v>4.2356457629947695</v>
      </c>
      <c r="KU18" s="27">
        <f t="shared" si="38"/>
        <v>5.4602857142857131</v>
      </c>
      <c r="KV18" s="27">
        <f t="shared" si="38"/>
        <v>11.559105714285717</v>
      </c>
      <c r="KW18" s="27">
        <f t="shared" si="38"/>
        <v>10.869200154603607</v>
      </c>
      <c r="KX18" s="27">
        <f t="shared" si="38"/>
        <v>2037.3215714285727</v>
      </c>
      <c r="KY18" s="29">
        <f t="shared" si="38"/>
        <v>3.8473850030831591E-2</v>
      </c>
      <c r="LA18" t="s">
        <v>41</v>
      </c>
      <c r="LB18" s="28">
        <f t="shared" ref="LB18:LG18" si="39">AVERAGE(LB2:LB8)</f>
        <v>4.2356457629947695</v>
      </c>
      <c r="LC18" s="27">
        <f t="shared" si="39"/>
        <v>5.4602857142857131</v>
      </c>
      <c r="LD18" s="27">
        <f t="shared" si="39"/>
        <v>11.559105714285717</v>
      </c>
      <c r="LE18" s="27">
        <f t="shared" si="39"/>
        <v>10.869200154603607</v>
      </c>
      <c r="LF18" s="27">
        <f t="shared" si="39"/>
        <v>2037.3215714285727</v>
      </c>
      <c r="LG18" s="29">
        <f t="shared" si="39"/>
        <v>3.5714285714285712E-2</v>
      </c>
      <c r="LI18" t="s">
        <v>41</v>
      </c>
      <c r="LJ18" s="28">
        <f t="shared" ref="LJ18:LO18" si="40">AVERAGE(LJ2:LJ8)</f>
        <v>4.2356457629947695</v>
      </c>
      <c r="LK18" s="27">
        <f t="shared" si="40"/>
        <v>5.4602857142857131</v>
      </c>
      <c r="LL18" s="27">
        <f t="shared" si="40"/>
        <v>11.559105714285717</v>
      </c>
      <c r="LM18" s="27">
        <f t="shared" si="40"/>
        <v>10.869200154603607</v>
      </c>
      <c r="LN18" s="27">
        <f t="shared" si="40"/>
        <v>2037.3215714285727</v>
      </c>
      <c r="LO18" s="29">
        <f t="shared" si="40"/>
        <v>0.12229733027345002</v>
      </c>
      <c r="LQ18" t="s">
        <v>41</v>
      </c>
      <c r="LR18" s="28">
        <f t="shared" ref="LR18:LW18" si="41">AVERAGE(LR2:LR8)</f>
        <v>4.2356457629947695</v>
      </c>
      <c r="LS18" s="27">
        <f t="shared" si="41"/>
        <v>5.4602857142857131</v>
      </c>
      <c r="LT18" s="27">
        <f t="shared" si="41"/>
        <v>11.559105714285717</v>
      </c>
      <c r="LU18" s="27">
        <f t="shared" si="41"/>
        <v>10.869200154603607</v>
      </c>
      <c r="LV18" s="27">
        <f t="shared" si="41"/>
        <v>2037.3215714285727</v>
      </c>
      <c r="LW18" s="29">
        <f t="shared" si="41"/>
        <v>0.28874067671905956</v>
      </c>
      <c r="LY18" t="s">
        <v>41</v>
      </c>
      <c r="LZ18" s="28">
        <f t="shared" ref="LZ18:ME18" si="42">AVERAGE(LZ2:LZ8)</f>
        <v>4.2356457629947695</v>
      </c>
      <c r="MA18" s="27">
        <f t="shared" si="42"/>
        <v>5.4602857142857131</v>
      </c>
      <c r="MB18" s="27">
        <f t="shared" si="42"/>
        <v>11.559105714285717</v>
      </c>
      <c r="MC18" s="27">
        <f t="shared" si="42"/>
        <v>10.869200154603607</v>
      </c>
      <c r="MD18" s="27">
        <f t="shared" si="42"/>
        <v>2037.3215714285727</v>
      </c>
      <c r="ME18" s="29">
        <f t="shared" si="42"/>
        <v>6.6852237044921617E-2</v>
      </c>
      <c r="MG18" t="s">
        <v>41</v>
      </c>
      <c r="MH18" s="28">
        <f t="shared" ref="MH18:MM18" si="43">AVERAGE(MH2:MH8)</f>
        <v>4.2356457629947695</v>
      </c>
      <c r="MI18" s="27">
        <f t="shared" si="43"/>
        <v>5.4602857142857131</v>
      </c>
      <c r="MJ18" s="27">
        <f t="shared" si="43"/>
        <v>11.559105714285717</v>
      </c>
      <c r="MK18" s="27">
        <f t="shared" si="43"/>
        <v>10.869200154603607</v>
      </c>
      <c r="ML18" s="27">
        <f t="shared" si="43"/>
        <v>2037.3215714285727</v>
      </c>
      <c r="MM18" s="29">
        <f t="shared" si="43"/>
        <v>0.21131520123183531</v>
      </c>
      <c r="MO18" t="s">
        <v>41</v>
      </c>
      <c r="MP18" s="28">
        <f t="shared" ref="MP18:MU18" si="44">AVERAGE(MP2:MP8)</f>
        <v>4.2356457629947695</v>
      </c>
      <c r="MQ18" s="27">
        <f t="shared" si="44"/>
        <v>5.4602857142857131</v>
      </c>
      <c r="MR18" s="27">
        <f t="shared" si="44"/>
        <v>11.559105714285717</v>
      </c>
      <c r="MS18" s="27">
        <f t="shared" si="44"/>
        <v>10.869200154603607</v>
      </c>
      <c r="MT18" s="27">
        <f t="shared" si="44"/>
        <v>2037.3215714285727</v>
      </c>
      <c r="MU18" s="29">
        <f t="shared" si="44"/>
        <v>6.720174014664447E-2</v>
      </c>
      <c r="MW18" t="s">
        <v>41</v>
      </c>
      <c r="MX18" s="28">
        <f t="shared" ref="MX18:NC18" si="45">AVERAGE(MX2:MX8)</f>
        <v>4.2356457629947695</v>
      </c>
      <c r="MY18" s="27">
        <f t="shared" si="45"/>
        <v>5.4602857142857131</v>
      </c>
      <c r="MZ18" s="27">
        <f t="shared" si="45"/>
        <v>11.559105714285717</v>
      </c>
      <c r="NA18" s="27">
        <f t="shared" si="45"/>
        <v>10.869200154603607</v>
      </c>
      <c r="NB18" s="27">
        <f t="shared" si="45"/>
        <v>2037.3215714285727</v>
      </c>
      <c r="NC18" s="29">
        <f t="shared" si="45"/>
        <v>0</v>
      </c>
      <c r="NE18" t="s">
        <v>41</v>
      </c>
      <c r="NF18" s="28">
        <f t="shared" ref="NF18:NK18" si="46">AVERAGE(NF2:NF8)</f>
        <v>4.2356457629947695</v>
      </c>
      <c r="NG18" s="27">
        <f t="shared" si="46"/>
        <v>5.4602857142857131</v>
      </c>
      <c r="NH18" s="27">
        <f t="shared" si="46"/>
        <v>11.559105714285717</v>
      </c>
      <c r="NI18" s="27">
        <f t="shared" si="46"/>
        <v>10.869200154603607</v>
      </c>
      <c r="NJ18" s="27">
        <f t="shared" si="46"/>
        <v>2037.3215714285727</v>
      </c>
      <c r="NK18" s="29">
        <f t="shared" si="46"/>
        <v>7.0504431791595422E-3</v>
      </c>
      <c r="NM18" t="s">
        <v>41</v>
      </c>
      <c r="NN18" s="28">
        <f t="shared" ref="NN18:NS18" si="47">AVERAGE(NN2:NN8)</f>
        <v>4.2356457629947695</v>
      </c>
      <c r="NO18" s="27">
        <f t="shared" si="47"/>
        <v>5.4602857142857131</v>
      </c>
      <c r="NP18" s="27">
        <f t="shared" si="47"/>
        <v>11.559105714285717</v>
      </c>
      <c r="NQ18" s="27">
        <f t="shared" si="47"/>
        <v>10.869200154603607</v>
      </c>
      <c r="NR18" s="27">
        <f t="shared" si="47"/>
        <v>2037.3215714285727</v>
      </c>
      <c r="NS18" s="29">
        <f t="shared" si="47"/>
        <v>8.7025964446251311E-2</v>
      </c>
      <c r="NU18" t="s">
        <v>41</v>
      </c>
      <c r="NV18" s="28">
        <f t="shared" ref="NV18:OA18" si="48">AVERAGE(NV2:NV8)</f>
        <v>4.2356457629947695</v>
      </c>
      <c r="NW18" s="27">
        <f t="shared" si="48"/>
        <v>5.4602857142857131</v>
      </c>
      <c r="NX18" s="27">
        <f t="shared" si="48"/>
        <v>11.559105714285717</v>
      </c>
      <c r="NY18" s="27">
        <f t="shared" si="48"/>
        <v>10.869200154603607</v>
      </c>
      <c r="NZ18" s="27">
        <f t="shared" si="48"/>
        <v>2037.3215714285727</v>
      </c>
      <c r="OA18" s="29">
        <f t="shared" si="48"/>
        <v>0.10464890138511426</v>
      </c>
      <c r="OC18" t="s">
        <v>41</v>
      </c>
      <c r="OD18" s="28">
        <f t="shared" ref="OD18:OI18" si="49">AVERAGE(OD2:OD8)</f>
        <v>4.2356457629947695</v>
      </c>
      <c r="OE18" s="27">
        <f t="shared" si="49"/>
        <v>5.4602857142857131</v>
      </c>
      <c r="OF18" s="27">
        <f t="shared" si="49"/>
        <v>11.559105714285717</v>
      </c>
      <c r="OG18" s="27">
        <f t="shared" si="49"/>
        <v>10.869200154603607</v>
      </c>
      <c r="OH18" s="27">
        <f t="shared" si="49"/>
        <v>2037.3215714285727</v>
      </c>
      <c r="OI18" s="29">
        <f t="shared" si="49"/>
        <v>0.28572318008578751</v>
      </c>
      <c r="OK18" t="s">
        <v>41</v>
      </c>
      <c r="OL18" s="28">
        <f t="shared" ref="OL18:OQ18" si="50">AVERAGE(OL2:OL8)</f>
        <v>4.2356457629947695</v>
      </c>
      <c r="OM18" s="27">
        <f t="shared" si="50"/>
        <v>5.4602857142857131</v>
      </c>
      <c r="ON18" s="27">
        <f t="shared" si="50"/>
        <v>11.559105714285717</v>
      </c>
      <c r="OO18" s="27">
        <f t="shared" si="50"/>
        <v>10.869200154603607</v>
      </c>
      <c r="OP18" s="27">
        <f t="shared" si="50"/>
        <v>2037.3215714285727</v>
      </c>
      <c r="OQ18" s="29">
        <f t="shared" si="50"/>
        <v>5.2441014189105899E-2</v>
      </c>
      <c r="OS18" t="s">
        <v>41</v>
      </c>
      <c r="OT18" s="28">
        <f t="shared" ref="OT18:OY18" si="51">AVERAGE(OT2:OT8)</f>
        <v>4.2356457629947695</v>
      </c>
      <c r="OU18" s="27">
        <f t="shared" si="51"/>
        <v>5.4602857142857131</v>
      </c>
      <c r="OV18" s="27">
        <f t="shared" si="51"/>
        <v>11.559105714285717</v>
      </c>
      <c r="OW18" s="27">
        <f t="shared" si="51"/>
        <v>10.869200154603607</v>
      </c>
      <c r="OX18" s="27">
        <f t="shared" si="51"/>
        <v>2037.3215714285727</v>
      </c>
      <c r="OY18" s="29">
        <f t="shared" si="51"/>
        <v>0.18194361895879727</v>
      </c>
      <c r="PA18" t="s">
        <v>41</v>
      </c>
      <c r="PB18" s="28">
        <f t="shared" ref="PB18:PG18" si="52">AVERAGE(PB2:PB8)</f>
        <v>4.2356457629947695</v>
      </c>
      <c r="PC18" s="27">
        <f t="shared" si="52"/>
        <v>5.4602857142857131</v>
      </c>
      <c r="PD18" s="27">
        <f t="shared" si="52"/>
        <v>11.559105714285717</v>
      </c>
      <c r="PE18" s="27">
        <f t="shared" si="52"/>
        <v>10.869200154603607</v>
      </c>
      <c r="PF18" s="27">
        <f t="shared" si="52"/>
        <v>2037.3215714285727</v>
      </c>
      <c r="PG18" s="29">
        <f t="shared" si="52"/>
        <v>7.1652910052910049E-4</v>
      </c>
      <c r="PI18" t="s">
        <v>41</v>
      </c>
      <c r="PJ18" s="28">
        <f t="shared" ref="PJ18:PO18" si="53">AVERAGE(PJ2:PJ8)</f>
        <v>4.2356457629947695</v>
      </c>
      <c r="PK18" s="27">
        <f t="shared" si="53"/>
        <v>5.4602857142857131</v>
      </c>
      <c r="PL18" s="27">
        <f t="shared" si="53"/>
        <v>11.559105714285717</v>
      </c>
      <c r="PM18" s="27">
        <f t="shared" si="53"/>
        <v>10.869200154603607</v>
      </c>
      <c r="PN18" s="27">
        <f t="shared" si="53"/>
        <v>2037.3215714285727</v>
      </c>
      <c r="PO18" s="29">
        <f t="shared" si="53"/>
        <v>3.5714285714285712E-2</v>
      </c>
      <c r="PQ18" t="s">
        <v>41</v>
      </c>
      <c r="PR18" s="28">
        <f t="shared" ref="PR18:PW18" si="54">AVERAGE(PR2:PR8)</f>
        <v>4.2356457629947695</v>
      </c>
      <c r="PS18" s="27">
        <f t="shared" si="54"/>
        <v>5.4602857142857131</v>
      </c>
      <c r="PT18" s="27">
        <f t="shared" si="54"/>
        <v>11.559105714285717</v>
      </c>
      <c r="PU18" s="27">
        <f t="shared" si="54"/>
        <v>10.869200154603607</v>
      </c>
      <c r="PV18" s="27">
        <f t="shared" si="54"/>
        <v>2037.3215714285727</v>
      </c>
      <c r="PW18" s="29">
        <f t="shared" si="54"/>
        <v>0.17370167585673549</v>
      </c>
      <c r="PY18" t="s">
        <v>41</v>
      </c>
      <c r="PZ18" s="28">
        <f t="shared" ref="PZ18:QE18" si="55">AVERAGE(PZ2:PZ8)</f>
        <v>4.2356457629947695</v>
      </c>
      <c r="QA18" s="27">
        <f t="shared" si="55"/>
        <v>5.4602857142857131</v>
      </c>
      <c r="QB18" s="27">
        <f t="shared" si="55"/>
        <v>11.559105714285717</v>
      </c>
      <c r="QC18" s="27">
        <f t="shared" si="55"/>
        <v>10.869200154603607</v>
      </c>
      <c r="QD18" s="27">
        <f t="shared" si="55"/>
        <v>2037.3215714285727</v>
      </c>
      <c r="QE18" s="29">
        <f t="shared" si="55"/>
        <v>0.29398392774564236</v>
      </c>
    </row>
    <row r="19" spans="1:487" x14ac:dyDescent="0.45">
      <c r="A19" t="s">
        <v>79</v>
      </c>
      <c r="B19">
        <f>_xlfn.COVARIANCE.P(G2:G8,B2:B8)</f>
        <v>-1.0689294799051114E-2</v>
      </c>
      <c r="C19">
        <f>_xlfn.COVARIANCE.P(G2:G8,C2:C8)</f>
        <v>-1.347824658061607E-2</v>
      </c>
      <c r="D19">
        <f>_xlfn.COVARIANCE.P(G2:G8,D2:D8)</f>
        <v>3.1443405805042699E-3</v>
      </c>
      <c r="E19">
        <f>_xlfn.COVARIANCE.P(G2:G8,E2:E8)</f>
        <v>-9.2121035377641467E-3</v>
      </c>
      <c r="F19">
        <f>_xlfn.COVARIANCE.P(G2:G8,F2:F8)</f>
        <v>4.0158894622658421</v>
      </c>
      <c r="I19" t="s">
        <v>79</v>
      </c>
      <c r="J19">
        <f>_xlfn.COVARIANCE.P(O2:O8,J2:J8)</f>
        <v>-4.5065388513426709E-2</v>
      </c>
      <c r="K19">
        <f>_xlfn.COVARIANCE.P(O2:O8,K2:K8)</f>
        <v>-6.1616332212750827E-2</v>
      </c>
      <c r="L19">
        <f>_xlfn.COVARIANCE.P(O2:O8,L2:L8)</f>
        <v>1.2131969267016903E-2</v>
      </c>
      <c r="M19">
        <f>_xlfn.COVARIANCE.P(O2:O8,M2:M8)</f>
        <v>-3.8374348604702464E-2</v>
      </c>
      <c r="N19">
        <f>_xlfn.COVARIANCE.P(O2:O8,N2:N8)</f>
        <v>12.121125023406819</v>
      </c>
      <c r="Q19" t="s">
        <v>79</v>
      </c>
      <c r="R19">
        <f>_xlfn.COVARIANCE.P(W2:W8,R2:R8)</f>
        <v>3.544422294398563E-2</v>
      </c>
      <c r="S19">
        <f>_xlfn.COVARIANCE.P(W2:W8,S2:S8)</f>
        <v>4.1644576504282209E-2</v>
      </c>
      <c r="T19">
        <f>_xlfn.COVARIANCE.P(W2:W8,T2:T8)</f>
        <v>1.1055928066268459E-2</v>
      </c>
      <c r="U19">
        <f>_xlfn.COVARIANCE.P(W2:W8,U2:U8)</f>
        <v>7.0695733471434685E-3</v>
      </c>
      <c r="V19">
        <f>_xlfn.COVARIANCE.P(W2:W8,V2:V8)</f>
        <v>-1.364474747431863</v>
      </c>
      <c r="Y19" t="s">
        <v>79</v>
      </c>
      <c r="Z19">
        <f>_xlfn.COVARIANCE.P(AE2:AE8,Z2:Z8)</f>
        <v>7.5059958632729754E-2</v>
      </c>
      <c r="AA19">
        <f>_xlfn.COVARIANCE.P(AE2:AE8,AA2:AA8)</f>
        <v>4.0777261648058297E-2</v>
      </c>
      <c r="AB19">
        <f>_xlfn.COVARIANCE.P(AE2:AE8,AB2:AB8)</f>
        <v>-3.2991556387382076E-2</v>
      </c>
      <c r="AC19">
        <f>_xlfn.COVARIANCE.P(AE2:AE8,AC2:AC8)</f>
        <v>5.2047916795828188E-2</v>
      </c>
      <c r="AD19">
        <f>_xlfn.COVARIANCE.P(AE2:AE8,AD2:AD8)</f>
        <v>8.0553867514262407</v>
      </c>
      <c r="AG19" t="s">
        <v>79</v>
      </c>
      <c r="AH19">
        <f>_xlfn.COVARIANCE.P(AM2:AM8,AH2:AH8)</f>
        <v>3.3859758226680893E-2</v>
      </c>
      <c r="AI19">
        <f>_xlfn.COVARIANCE.P(AM2:AM8,AI2:AI8)</f>
        <v>3.634548327439352E-2</v>
      </c>
      <c r="AJ19">
        <f>_xlfn.COVARIANCE.P(AM2:AM8,AJ2:AJ8)</f>
        <v>7.0718506468239642E-2</v>
      </c>
      <c r="AK19">
        <f>_xlfn.COVARIANCE.P(AM2:AM8,AK2:AK8)</f>
        <v>-4.9081037653708873E-2</v>
      </c>
      <c r="AL19">
        <f>_xlfn.COVARIANCE.P(AM2:AM8,AL2:AL8)</f>
        <v>-6.2424113191135717</v>
      </c>
      <c r="AO19" t="s">
        <v>79</v>
      </c>
      <c r="AP19">
        <f>_xlfn.COVARIANCE.P(AU2:AU8,AP2:AP8)</f>
        <v>4.9011015253336322E-2</v>
      </c>
      <c r="AQ19">
        <f>_xlfn.COVARIANCE.P(AU2:AU8,AQ2:AQ8)</f>
        <v>0.13476770622982151</v>
      </c>
      <c r="AR19">
        <f>_xlfn.COVARIANCE.P(AU2:AU8,AR2:AR8)</f>
        <v>4.6454911064890088E-2</v>
      </c>
      <c r="AS19">
        <f>_xlfn.COVARIANCE.P(AU2:AU8,AS2:AS8)</f>
        <v>-4.6729180469719063E-3</v>
      </c>
      <c r="AT19">
        <f>_xlfn.COVARIANCE.P(AU2:AU8,AT2:AT8)</f>
        <v>17.696121334194409</v>
      </c>
      <c r="AW19" t="s">
        <v>79</v>
      </c>
      <c r="AX19">
        <f>_xlfn.COVARIANCE.P(BC2:BC8,AX2:AX8)</f>
        <v>0</v>
      </c>
      <c r="AY19">
        <f>_xlfn.COVARIANCE.P(BC2:BC8,AY2:AY8)</f>
        <v>0</v>
      </c>
      <c r="AZ19">
        <f>_xlfn.COVARIANCE.P(BC2:BC8,AZ2:AZ8)</f>
        <v>0</v>
      </c>
      <c r="BA19">
        <f>_xlfn.COVARIANCE.P(BC2:BC8,BA2:BA8)</f>
        <v>0</v>
      </c>
      <c r="BB19">
        <f>_xlfn.COVARIANCE.P(BC2:BC8,BB2:BB8)</f>
        <v>0</v>
      </c>
      <c r="BE19" t="s">
        <v>79</v>
      </c>
      <c r="BF19">
        <f>_xlfn.COVARIANCE.P(BK2:BK8,BF2:BF8)</f>
        <v>0</v>
      </c>
      <c r="BG19">
        <f>_xlfn.COVARIANCE.P(BK2:BK8,BG2:BG8)</f>
        <v>0</v>
      </c>
      <c r="BH19">
        <f>_xlfn.COVARIANCE.P(BK2:BK8,BH2:BH8)</f>
        <v>0</v>
      </c>
      <c r="BI19">
        <f>_xlfn.COVARIANCE.P(BK2:BK8,BI2:BI8)</f>
        <v>0</v>
      </c>
      <c r="BJ19">
        <f>_xlfn.COVARIANCE.P(BK2:BK8,BJ2:BJ8)</f>
        <v>0</v>
      </c>
      <c r="BM19" t="s">
        <v>79</v>
      </c>
      <c r="BN19">
        <f>_xlfn.COVARIANCE.P(BS2:BS8,BN2:BN8)</f>
        <v>4.2972735005161487E-2</v>
      </c>
      <c r="BO19">
        <f>_xlfn.COVARIANCE.P(BS2:BS8,BO2:BO8)</f>
        <v>2.1805174569313468E-2</v>
      </c>
      <c r="BP19">
        <f>_xlfn.COVARIANCE.P(BS2:BS8,BP2:BP8)</f>
        <v>2.6274008109270681E-2</v>
      </c>
      <c r="BQ19">
        <f>_xlfn.COVARIANCE.P(BS2:BS8,BQ2:BQ8)</f>
        <v>-9.0043422830794768E-3</v>
      </c>
      <c r="BR19">
        <f>_xlfn.COVARIANCE.P(BS2:BS8,BR2:BR8)</f>
        <v>-11.358653432525738</v>
      </c>
      <c r="BU19" t="s">
        <v>79</v>
      </c>
      <c r="BV19">
        <f>_xlfn.COVARIANCE.P(CA2:CA8,BV2:BV8)</f>
        <v>-7.4224319214645076E-2</v>
      </c>
      <c r="BW19">
        <f>_xlfn.COVARIANCE.P(CA2:CA8,BW2:BW8)</f>
        <v>6.2555038979965685E-4</v>
      </c>
      <c r="BX19">
        <f>_xlfn.COVARIANCE.P(CA2:CA8,BX2:BX8)</f>
        <v>5.1829869916200123E-2</v>
      </c>
      <c r="BY19">
        <f>_xlfn.COVARIANCE.P(CA2:CA8,BY2:BY8)</f>
        <v>-5.6993162995010151E-2</v>
      </c>
      <c r="BZ19">
        <f>_xlfn.COVARIANCE.P(CA2:CA8,BZ2:BZ8)</f>
        <v>14.756666835951316</v>
      </c>
      <c r="CC19" t="s">
        <v>79</v>
      </c>
      <c r="CD19">
        <f>_xlfn.COVARIANCE.P(CI2:CI8,CD2:CD8)</f>
        <v>2.3856964478331383E-2</v>
      </c>
      <c r="CE19">
        <f>_xlfn.COVARIANCE.P(CI2:CI8,CE2:CE8)</f>
        <v>-5.7782950386045476E-3</v>
      </c>
      <c r="CF19">
        <f>_xlfn.COVARIANCE.P(CI2:CI8,CF2:CF8)</f>
        <v>-6.4744075098696801E-3</v>
      </c>
      <c r="CG19">
        <f>_xlfn.COVARIANCE.P(CI2:CI8,CG2:CG8)</f>
        <v>8.9102152983637425E-3</v>
      </c>
      <c r="CH19">
        <f>_xlfn.COVARIANCE.P(CI2:CI8,CH2:CH8)</f>
        <v>-5.4825483735748737</v>
      </c>
      <c r="CK19" t="s">
        <v>79</v>
      </c>
      <c r="CL19">
        <f>_xlfn.COVARIANCE.P(CQ2:CQ8,CL2:CL8)</f>
        <v>0</v>
      </c>
      <c r="CM19">
        <f>_xlfn.COVARIANCE.P(CQ2:CQ8,CM2:CM8)</f>
        <v>0</v>
      </c>
      <c r="CN19">
        <f>_xlfn.COVARIANCE.P(CQ2:CQ8,CN2:CN8)</f>
        <v>0</v>
      </c>
      <c r="CO19">
        <f>_xlfn.COVARIANCE.P(CQ2:CQ8,CO2:CO8)</f>
        <v>0</v>
      </c>
      <c r="CP19">
        <f>_xlfn.COVARIANCE.P(CQ2:CQ8,CP2:CP8)</f>
        <v>0</v>
      </c>
      <c r="CS19" t="s">
        <v>79</v>
      </c>
      <c r="CT19">
        <f>_xlfn.COVARIANCE.P(CY2:CY8,CT2:CT8)</f>
        <v>-3.3427195775365369E-2</v>
      </c>
      <c r="CU19">
        <f>_xlfn.COVARIANCE.P(CY2:CY8,CU2:CU8)</f>
        <v>-2.7437457068479526E-2</v>
      </c>
      <c r="CV19">
        <f>_xlfn.COVARIANCE.P(CY2:CY8,CV2:CV8)</f>
        <v>6.6132929184883518E-2</v>
      </c>
      <c r="CW19">
        <f>_xlfn.COVARIANCE.P(CY2:CY8,CW2:CW8)</f>
        <v>-6.9351748670429675E-2</v>
      </c>
      <c r="CX19">
        <f>_xlfn.COVARIANCE.P(CY2:CY8,CX2:CX8)</f>
        <v>-7.9510526016939593</v>
      </c>
      <c r="DA19" t="s">
        <v>79</v>
      </c>
      <c r="DB19">
        <f>_xlfn.COVARIANCE.P(DG2:DG8,DB2:DB8)</f>
        <v>-1.9246622138964307E-2</v>
      </c>
      <c r="DC19">
        <f>_xlfn.COVARIANCE.P(DG2:DG8,DC2:DC8)</f>
        <v>4.5883110967742412E-2</v>
      </c>
      <c r="DD19">
        <f>_xlfn.COVARIANCE.P(DG2:DG8,DD2:DD8)</f>
        <v>5.7133520728237727E-2</v>
      </c>
      <c r="DE19">
        <f>_xlfn.COVARIANCE.P(DG2:DG8,DE2:DE8)</f>
        <v>-3.3167718625181995E-2</v>
      </c>
      <c r="DF19">
        <f>_xlfn.COVARIANCE.P(DG2:DG8,DF2:DF8)</f>
        <v>-9.9367475651532917</v>
      </c>
      <c r="DI19" t="s">
        <v>79</v>
      </c>
      <c r="DJ19">
        <f>_xlfn.COVARIANCE.P(DO2:DO8,DJ2:DJ8)</f>
        <v>0</v>
      </c>
      <c r="DK19">
        <f>_xlfn.COVARIANCE.P(DO2:DO8,DK2:DK8)</f>
        <v>0</v>
      </c>
      <c r="DL19">
        <f>_xlfn.COVARIANCE.P(DO2:DO8,DL2:DL8)</f>
        <v>0</v>
      </c>
      <c r="DM19">
        <f>_xlfn.COVARIANCE.P(DO2:DO8,DM2:DM8)</f>
        <v>0</v>
      </c>
      <c r="DN19">
        <f>_xlfn.COVARIANCE.P(DO2:DO8,DN2:DN8)</f>
        <v>0</v>
      </c>
      <c r="DQ19" t="s">
        <v>79</v>
      </c>
      <c r="DR19">
        <f>_xlfn.COVARIANCE.P(DW2:DW8,DR2:DR8)</f>
        <v>0</v>
      </c>
      <c r="DS19">
        <f>_xlfn.COVARIANCE.P(DW2:DW8,DS2:DS8)</f>
        <v>0</v>
      </c>
      <c r="DT19">
        <f>_xlfn.COVARIANCE.P(DW2:DW8,DT2:DT8)</f>
        <v>0</v>
      </c>
      <c r="DU19">
        <f>_xlfn.COVARIANCE.P(DW2:DW8,DU2:DU8)</f>
        <v>0</v>
      </c>
      <c r="DV19">
        <f>_xlfn.COVARIANCE.P(DW2:DW8,DV2:DV8)</f>
        <v>0</v>
      </c>
      <c r="DY19" t="s">
        <v>79</v>
      </c>
      <c r="DZ19">
        <f>_xlfn.COVARIANCE.P(EE2:EE8,DZ2:DZ8)</f>
        <v>5.6070085875079216E-2</v>
      </c>
      <c r="EA19">
        <f>_xlfn.COVARIANCE.P(EE2:EE8,EA2:EA8)</f>
        <v>7.7421777283112933E-2</v>
      </c>
      <c r="EB19">
        <f>_xlfn.COVARIANCE.P(EE2:EE8,EB2:EB8)</f>
        <v>5.4031146933891216E-2</v>
      </c>
      <c r="EC19">
        <f>_xlfn.COVARIANCE.P(EE2:EE8,EC2:EC8)</f>
        <v>-1.2437407178756323E-2</v>
      </c>
      <c r="ED19">
        <f>_xlfn.COVARIANCE.P(EE2:EE8,ED2:ED8)</f>
        <v>-21.339551439511158</v>
      </c>
      <c r="EG19" t="s">
        <v>79</v>
      </c>
      <c r="EH19">
        <f>_xlfn.COVARIANCE.P(EM2:EM8,EH2:EH8)</f>
        <v>-3.8549718273308456E-2</v>
      </c>
      <c r="EI19">
        <f>_xlfn.COVARIANCE.P(EM2:EM8,EI2:EI8)</f>
        <v>7.9877431081532071E-2</v>
      </c>
      <c r="EJ19">
        <f>_xlfn.COVARIANCE.P(EM2:EM8,EJ2:EJ8)</f>
        <v>1.9849411047406621E-2</v>
      </c>
      <c r="EK19">
        <f>_xlfn.COVARIANCE.P(EM2:EM8,EK2:EK8)</f>
        <v>-3.553186987187418E-3</v>
      </c>
      <c r="EL19">
        <f>_xlfn.COVARIANCE.P(EM2:EM8,EL2:EL8)</f>
        <v>14.88490208448493</v>
      </c>
      <c r="EO19" t="s">
        <v>79</v>
      </c>
      <c r="EP19">
        <f>_xlfn.COVARIANCE.P(EU2:EU8,EP2:EP8)</f>
        <v>1.9396414835110391E-2</v>
      </c>
      <c r="EQ19">
        <f>_xlfn.COVARIANCE.P(EU2:EU8,EQ2:EQ8)</f>
        <v>2.7877324054652628E-2</v>
      </c>
      <c r="ER19">
        <f>_xlfn.COVARIANCE.P(EU2:EU8,ER2:ER8)</f>
        <v>2.0660330839121572E-2</v>
      </c>
      <c r="ES19">
        <f>_xlfn.COVARIANCE.P(EU2:EU8,ES2:ES8)</f>
        <v>-7.5549443073321832E-3</v>
      </c>
      <c r="ET19">
        <f>_xlfn.COVARIANCE.P(EU2:EU8,ET2:ET8)</f>
        <v>-1.8812678657694306</v>
      </c>
      <c r="EW19" t="s">
        <v>79</v>
      </c>
      <c r="EX19">
        <f>_xlfn.COVARIANCE.P(FC2:FC8,EX2:EX8)</f>
        <v>5.4191446352183648E-2</v>
      </c>
      <c r="EY19">
        <f>_xlfn.COVARIANCE.P(FC2:FC8,EY2:EY8)</f>
        <v>5.7837885425006834E-2</v>
      </c>
      <c r="EZ19">
        <f>_xlfn.COVARIANCE.P(FC2:FC8,EZ2:EZ8)</f>
        <v>2.3559477098494153E-2</v>
      </c>
      <c r="FA19">
        <f>_xlfn.COVARIANCE.P(FC2:FC8,FA2:FA8)</f>
        <v>3.7282088553896955E-3</v>
      </c>
      <c r="FB19">
        <f>_xlfn.COVARIANCE.P(FC2:FC8,FB2:FB8)</f>
        <v>2.6300497111434988</v>
      </c>
      <c r="FE19" t="s">
        <v>79</v>
      </c>
      <c r="FF19">
        <f>_xlfn.COVARIANCE.P(FK2:FK8,FF2:FF8)</f>
        <v>0</v>
      </c>
      <c r="FG19">
        <f>_xlfn.COVARIANCE.P(FK2:FK8,FG2:FG8)</f>
        <v>0</v>
      </c>
      <c r="FH19">
        <f>_xlfn.COVARIANCE.P(FK2:FK8,FH2:FH8)</f>
        <v>0</v>
      </c>
      <c r="FI19">
        <f>_xlfn.COVARIANCE.P(FK2:FK8,FI2:FI8)</f>
        <v>0</v>
      </c>
      <c r="FJ19">
        <f>_xlfn.COVARIANCE.P(FK2:FK8,FJ2:FJ8)</f>
        <v>0</v>
      </c>
      <c r="FM19" t="s">
        <v>79</v>
      </c>
      <c r="FN19">
        <f>_xlfn.COVARIANCE.P(FS2:FS8,FN2:FN8)</f>
        <v>0</v>
      </c>
      <c r="FO19">
        <f>_xlfn.COVARIANCE.P(FS2:FS8,FO2:FO8)</f>
        <v>0</v>
      </c>
      <c r="FP19">
        <f>_xlfn.COVARIANCE.P(FS2:FS8,FP2:FP8)</f>
        <v>0</v>
      </c>
      <c r="FQ19">
        <f>_xlfn.COVARIANCE.P(FS2:FS8,FQ2:FQ8)</f>
        <v>0</v>
      </c>
      <c r="FR19">
        <f>_xlfn.COVARIANCE.P(FS2:FS8,FR2:FR8)</f>
        <v>0</v>
      </c>
      <c r="FU19" t="s">
        <v>79</v>
      </c>
      <c r="FV19">
        <f>_xlfn.COVARIANCE.P(GA2:GA8,FV2:FV8)</f>
        <v>0</v>
      </c>
      <c r="FW19">
        <f>_xlfn.COVARIANCE.P(GA2:GA8,FW2:FW8)</f>
        <v>0</v>
      </c>
      <c r="FX19">
        <f>_xlfn.COVARIANCE.P(GA2:GA8,FX2:FX8)</f>
        <v>0</v>
      </c>
      <c r="FY19">
        <f>_xlfn.COVARIANCE.P(GA2:GA8,FY2:FY8)</f>
        <v>0</v>
      </c>
      <c r="FZ19">
        <f>_xlfn.COVARIANCE.P(GA2:GA8,FZ2:FZ8)</f>
        <v>0</v>
      </c>
      <c r="GC19" t="s">
        <v>79</v>
      </c>
      <c r="GD19">
        <f>_xlfn.COVARIANCE.P(GI2:GI8,GD2:GD8)</f>
        <v>0</v>
      </c>
      <c r="GE19">
        <f>_xlfn.COVARIANCE.P(GI2:GI8,GE2:GE8)</f>
        <v>0</v>
      </c>
      <c r="GF19">
        <f>_xlfn.COVARIANCE.P(GI2:GI8,GF2:GF8)</f>
        <v>0</v>
      </c>
      <c r="GG19">
        <f>_xlfn.COVARIANCE.P(GI2:GI8,GG2:GG8)</f>
        <v>0</v>
      </c>
      <c r="GH19">
        <f>_xlfn.COVARIANCE.P(GI2:GI8,GH2:GH8)</f>
        <v>0</v>
      </c>
      <c r="GK19" t="s">
        <v>79</v>
      </c>
      <c r="GL19">
        <f>_xlfn.COVARIANCE.P(GQ2:GQ8,GL2:GL8)</f>
        <v>2.6923178022547574E-2</v>
      </c>
      <c r="GM19">
        <f>_xlfn.COVARIANCE.P(GQ2:GQ8,GM2:GM8)</f>
        <v>7.6687975467887148E-3</v>
      </c>
      <c r="GN19">
        <f>_xlfn.COVARIANCE.P(GQ2:GQ8,GN2:GN8)</f>
        <v>1.7344157891621362E-2</v>
      </c>
      <c r="GO19">
        <f>_xlfn.COVARIANCE.P(GQ2:GQ8,GO2:GO8)</f>
        <v>-8.4506791984335829E-3</v>
      </c>
      <c r="GP19">
        <f>_xlfn.COVARIANCE.P(GQ2:GQ8,GP2:GP8)</f>
        <v>-7.5048762050258722</v>
      </c>
      <c r="GS19" t="s">
        <v>79</v>
      </c>
      <c r="GT19">
        <f>_xlfn.COVARIANCE.P(GY2:GY8,GT2:GT8)</f>
        <v>8.7467303187963558E-2</v>
      </c>
      <c r="GU19">
        <f>_xlfn.COVARIANCE.P(GY2:GY8,GU2:GU8)</f>
        <v>2.491418507690012E-2</v>
      </c>
      <c r="GV19">
        <f>_xlfn.COVARIANCE.P(GY2:GY8,GV2:GV8)</f>
        <v>5.6347237892044662E-2</v>
      </c>
      <c r="GW19">
        <f>_xlfn.COVARIANCE.P(GY2:GY8,GW2:GW8)</f>
        <v>-2.7454341347614247E-2</v>
      </c>
      <c r="GX19">
        <f>_xlfn.COVARIANCE.P(GY2:GY8,GX2:GX8)</f>
        <v>-24.381641790704812</v>
      </c>
      <c r="HA19" t="s">
        <v>79</v>
      </c>
      <c r="HB19">
        <f>_xlfn.COVARIANCE.P(HG2:HG8,HB2:HB8)</f>
        <v>1.4236351640604118E-2</v>
      </c>
      <c r="HC19">
        <f>_xlfn.COVARIANCE.P(HG2:HG8,HC2:HC8)</f>
        <v>3.0809152565492132E-2</v>
      </c>
      <c r="HD19">
        <f>_xlfn.COVARIANCE.P(HG2:HG8,HD2:HD8)</f>
        <v>-1.0977236584359352E-2</v>
      </c>
      <c r="HE19">
        <f>_xlfn.COVARIANCE.P(HG2:HG8,HE2:HE8)</f>
        <v>1.8970029967022489E-2</v>
      </c>
      <c r="HF19">
        <f>_xlfn.COVARIANCE.P(HG2:HG8,HF2:HF8)</f>
        <v>6.8144817758709042</v>
      </c>
      <c r="HI19" t="s">
        <v>79</v>
      </c>
      <c r="HJ19">
        <f>_xlfn.COVARIANCE.P(HO2:HO8,HJ2:HJ8)</f>
        <v>7.3459879174147405E-3</v>
      </c>
      <c r="HK19">
        <f>_xlfn.COVARIANCE.P(HO2:HO8,HK2:HK8)</f>
        <v>3.5558174241067976E-2</v>
      </c>
      <c r="HL19">
        <f>_xlfn.COVARIANCE.P(HO2:HO8,HL2:HL8)</f>
        <v>-3.3121664767675044E-2</v>
      </c>
      <c r="HM19">
        <f>_xlfn.COVARIANCE.P(HO2:HO8,HM2:HM8)</f>
        <v>3.4856719808306923E-2</v>
      </c>
      <c r="HN19">
        <f>_xlfn.COVARIANCE.P(HO2:HO8,HN2:HN8)</f>
        <v>19.491358727839206</v>
      </c>
      <c r="HQ19" t="s">
        <v>79</v>
      </c>
      <c r="HR19">
        <f>_xlfn.COVARIANCE.P(HW2:HW8,HR2:HR8)</f>
        <v>-1.189514010064246E-2</v>
      </c>
      <c r="HS19">
        <f>_xlfn.COVARIANCE.P(HW2:HW8,HS2:HS8)</f>
        <v>6.9844004603891651E-3</v>
      </c>
      <c r="HT19">
        <f>_xlfn.COVARIANCE.P(HW2:HW8,HT2:HT8)</f>
        <v>-2.7156519334665646E-2</v>
      </c>
      <c r="HU19">
        <f>_xlfn.COVARIANCE.P(HW2:HW8,HU2:HU8)</f>
        <v>1.9908449860624424E-2</v>
      </c>
      <c r="HV19">
        <f>_xlfn.COVARIANCE.P(HW2:HW8,HV2:HV8)</f>
        <v>19.411822992205163</v>
      </c>
      <c r="HY19" t="s">
        <v>79</v>
      </c>
      <c r="HZ19">
        <f>_xlfn.COVARIANCE.P(IE2:IE8,HZ2:HZ8)</f>
        <v>-2.0765599650033727E-2</v>
      </c>
      <c r="IA19">
        <f>_xlfn.COVARIANCE.P(IE2:IE8,IA2:IA8)</f>
        <v>-1.4940985906221961E-2</v>
      </c>
      <c r="IB19">
        <f>_xlfn.COVARIANCE.P(IE2:IE8,IB2:IB8)</f>
        <v>8.104801777919746E-3</v>
      </c>
      <c r="IC19">
        <f>_xlfn.COVARIANCE.P(IE2:IE8,IC2:IC8)</f>
        <v>-1.8565293694466023E-2</v>
      </c>
      <c r="ID19">
        <f>_xlfn.COVARIANCE.P(IE2:IE8,ID2:ID8)</f>
        <v>19.172292479087673</v>
      </c>
      <c r="IG19" t="s">
        <v>79</v>
      </c>
      <c r="IH19">
        <f>_xlfn.COVARIANCE.P(IM2:IM8,IH2:IH8)</f>
        <v>-1.2323099189457792E-2</v>
      </c>
      <c r="II19">
        <f>_xlfn.COVARIANCE.P(IM2:IM8,II2:II8)</f>
        <v>3.2773484332605622E-3</v>
      </c>
      <c r="IJ19">
        <f>_xlfn.COVARIANCE.P(IM2:IM8,IJ2:IJ8)</f>
        <v>-1.1016372636090852E-2</v>
      </c>
      <c r="IK19">
        <f>_xlfn.COVARIANCE.P(IM2:IM8,IK2:IK8)</f>
        <v>5.8450894594617659E-3</v>
      </c>
      <c r="IL19">
        <f>_xlfn.COVARIANCE.P(IM2:IM8,IL2:IL8)</f>
        <v>14.386553877975759</v>
      </c>
      <c r="IO19" t="s">
        <v>79</v>
      </c>
      <c r="IP19">
        <f>_xlfn.COVARIANCE.P(IU2:IU8,IP2:IP8)</f>
        <v>-2.4357238671251939E-2</v>
      </c>
      <c r="IQ19">
        <f>_xlfn.COVARIANCE.P(IU2:IU8,IQ2:IQ8)</f>
        <v>9.715196038826223E-4</v>
      </c>
      <c r="IR19">
        <f>_xlfn.COVARIANCE.P(IU2:IU8,IR2:IR8)</f>
        <v>-2.2613463721715934E-2</v>
      </c>
      <c r="IS19">
        <f>_xlfn.COVARIANCE.P(IU2:IU8,IS2:IS8)</f>
        <v>9.27156464665152E-3</v>
      </c>
      <c r="IT19">
        <f>_xlfn.COVARIANCE.P(IU2:IU8,IT2:IT8)</f>
        <v>33.847049226816772</v>
      </c>
      <c r="IW19" t="s">
        <v>79</v>
      </c>
      <c r="IX19">
        <f>_xlfn.COVARIANCE.P(JC2:JC8,IX2:IX8)</f>
        <v>0</v>
      </c>
      <c r="IY19">
        <f>_xlfn.COVARIANCE.P(JC2:JC8,IY2:IY8)</f>
        <v>0</v>
      </c>
      <c r="IZ19">
        <f>_xlfn.COVARIANCE.P(JC2:JC8,IZ2:IZ8)</f>
        <v>0</v>
      </c>
      <c r="JA19">
        <f>_xlfn.COVARIANCE.P(JC2:JC8,JA2:JA8)</f>
        <v>0</v>
      </c>
      <c r="JB19">
        <f>_xlfn.COVARIANCE.P(JC2:JC8,JB2:JB8)</f>
        <v>0</v>
      </c>
      <c r="JE19" t="s">
        <v>79</v>
      </c>
      <c r="JF19">
        <f>_xlfn.COVARIANCE.P(JK2:JK8,JF2:JF8)</f>
        <v>0</v>
      </c>
      <c r="JG19">
        <f>_xlfn.COVARIANCE.P(JK2:JK8,JG2:JG8)</f>
        <v>0</v>
      </c>
      <c r="JH19">
        <f>_xlfn.COVARIANCE.P(JK2:JK8,JH2:JH8)</f>
        <v>0</v>
      </c>
      <c r="JI19">
        <f>_xlfn.COVARIANCE.P(JK2:JK8,JI2:JI8)</f>
        <v>0</v>
      </c>
      <c r="JJ19">
        <f>_xlfn.COVARIANCE.P(JK2:JK8,JJ2:JJ8)</f>
        <v>0</v>
      </c>
      <c r="JM19" t="s">
        <v>79</v>
      </c>
      <c r="JN19">
        <f>_xlfn.COVARIANCE.P(JS2:JS8,JN2:JN8)</f>
        <v>0</v>
      </c>
      <c r="JO19">
        <f>_xlfn.COVARIANCE.P(JS2:JS8,JO2:JO8)</f>
        <v>0</v>
      </c>
      <c r="JP19">
        <f>_xlfn.COVARIANCE.P(JS2:JS8,JP2:JP8)</f>
        <v>0</v>
      </c>
      <c r="JQ19">
        <f>_xlfn.COVARIANCE.P(JS2:JS8,JQ2:JQ8)</f>
        <v>0</v>
      </c>
      <c r="JR19">
        <f>_xlfn.COVARIANCE.P(JS2:JS8,JR2:JR8)</f>
        <v>0</v>
      </c>
      <c r="JU19" t="s">
        <v>79</v>
      </c>
      <c r="JV19">
        <f>_xlfn.COVARIANCE.P(KA2:KA8,JV2:JV8)</f>
        <v>0</v>
      </c>
      <c r="JW19">
        <f>_xlfn.COVARIANCE.P(KA2:KA8,JW2:JW8)</f>
        <v>0</v>
      </c>
      <c r="JX19">
        <f>_xlfn.COVARIANCE.P(KA2:KA8,JX2:JX8)</f>
        <v>0</v>
      </c>
      <c r="JY19">
        <f>_xlfn.COVARIANCE.P(KA2:KA8,JY2:JY8)</f>
        <v>0</v>
      </c>
      <c r="JZ19">
        <f>_xlfn.COVARIANCE.P(KA2:KA8,JZ2:JZ8)</f>
        <v>0</v>
      </c>
      <c r="KC19" t="s">
        <v>79</v>
      </c>
      <c r="KD19">
        <f>_xlfn.COVARIANCE.P(KI2:KI8,KD2:KD8)</f>
        <v>2.2543449081718122E-2</v>
      </c>
      <c r="KE19">
        <f>_xlfn.COVARIANCE.P(KI2:KI8,KE2:KE8)</f>
        <v>1.6424661890165188E-2</v>
      </c>
      <c r="KF19">
        <f>_xlfn.COVARIANCE.P(KI2:KI8,KF2:KF8)</f>
        <v>1.5260360428134181E-2</v>
      </c>
      <c r="KG19">
        <f>_xlfn.COVARIANCE.P(KI2:KI8,KG2:KG8)</f>
        <v>-5.9139876615828656E-3</v>
      </c>
      <c r="KH19">
        <f>_xlfn.COVARIANCE.P(KI2:KI8,KH2:KH8)</f>
        <v>-1.906062457491416</v>
      </c>
      <c r="KK19" t="s">
        <v>79</v>
      </c>
      <c r="KL19">
        <f>_xlfn.COVARIANCE.P(KQ2:KQ8,KL2:KL8)</f>
        <v>-3.3328026998884867E-2</v>
      </c>
      <c r="KM19">
        <f>_xlfn.COVARIANCE.P(KQ2:KQ8,KM2:KM8)</f>
        <v>1.8118764167984535E-2</v>
      </c>
      <c r="KN19">
        <f>_xlfn.COVARIANCE.P(KQ2:KQ8,KN2:KN8)</f>
        <v>2.2498682488794861E-2</v>
      </c>
      <c r="KO19">
        <f>_xlfn.COVARIANCE.P(KQ2:KQ8,KO2:KO8)</f>
        <v>-2.2541410267636917E-2</v>
      </c>
      <c r="KP19">
        <f>_xlfn.COVARIANCE.P(KQ2:KQ8,KP2:KP8)</f>
        <v>15.900856870730706</v>
      </c>
      <c r="KS19" t="s">
        <v>79</v>
      </c>
      <c r="KT19">
        <f>_xlfn.COVARIANCE.P(KY2:KY8,KT2:KT8)</f>
        <v>-0.21464381778218361</v>
      </c>
      <c r="KU19">
        <f>_xlfn.COVARIANCE.P(KY2:KY8,KU2:KU8)</f>
        <v>-6.8090091429154259E-2</v>
      </c>
      <c r="KV19">
        <f>_xlfn.COVARIANCE.P(KY2:KY8,KV2:KV8)</f>
        <v>3.4948057846479398E-2</v>
      </c>
      <c r="KW19">
        <f>_xlfn.COVARIANCE.P(KY2:KY8,KW2:KW8)</f>
        <v>-8.2425427319723715E-2</v>
      </c>
      <c r="KX19">
        <f>_xlfn.COVARIANCE.P(KY2:KY8,KX2:KX8)</f>
        <v>28.07409018006933</v>
      </c>
      <c r="LA19" t="s">
        <v>79</v>
      </c>
      <c r="LB19">
        <f>_xlfn.COVARIANCE.P(LG2:LG8,LB2:LB8)</f>
        <v>-0.2359023710544132</v>
      </c>
      <c r="LC19">
        <f>_xlfn.COVARIANCE.P(LG2:LG8,LC2:LC8)</f>
        <v>-6.6438775510204079E-2</v>
      </c>
      <c r="LD19">
        <f>_xlfn.COVARIANCE.P(LG2:LG8,LD2:LD8)</f>
        <v>3.649622448979583E-2</v>
      </c>
      <c r="LE19">
        <f>_xlfn.COVARIANCE.P(LG2:LG8,LE2:LE8)</f>
        <v>-8.6042862664414549E-2</v>
      </c>
      <c r="LF19">
        <f>_xlfn.COVARIANCE.P(LG2:LG8,LF2:LF8)</f>
        <v>30.217443877550973</v>
      </c>
      <c r="LI19" t="s">
        <v>79</v>
      </c>
      <c r="LJ19">
        <f>_xlfn.COVARIANCE.P(LO2:LO8,LJ2:LJ8)</f>
        <v>5.4846577716991134E-2</v>
      </c>
      <c r="LK19">
        <f>_xlfn.COVARIANCE.P(LO2:LO8,LK2:LK8)</f>
        <v>4.326845122480362E-2</v>
      </c>
      <c r="LL19">
        <f>_xlfn.COVARIANCE.P(LO2:LO8,LL2:LL8)</f>
        <v>4.4781121311343132E-2</v>
      </c>
      <c r="LM19">
        <f>_xlfn.COVARIANCE.P(LO2:LO8,LM2:LM8)</f>
        <v>-2.0631916980581807E-2</v>
      </c>
      <c r="LN19">
        <f>_xlfn.COVARIANCE.P(LO2:LO8,LN2:LN8)</f>
        <v>-8.7604118364307588</v>
      </c>
      <c r="LQ19" t="s">
        <v>79</v>
      </c>
      <c r="LR19">
        <f>_xlfn.COVARIANCE.P(LW2:LW8,LR2:LR8)</f>
        <v>2.3956481145127974E-2</v>
      </c>
      <c r="LS19">
        <f>_xlfn.COVARIANCE.P(LW2:LW8,LS2:LS8)</f>
        <v>8.6191468983396399E-2</v>
      </c>
      <c r="LT19">
        <f>_xlfn.COVARIANCE.P(LW2:LW8,LT2:LT8)</f>
        <v>9.3145991295353725E-2</v>
      </c>
      <c r="LU19">
        <f>_xlfn.COVARIANCE.P(LW2:LW8,LU2:LU8)</f>
        <v>-5.8951851711034196E-2</v>
      </c>
      <c r="LV19">
        <f>_xlfn.COVARIANCE.P(LW2:LW8,LV2:LV8)</f>
        <v>-2.5236244695013532</v>
      </c>
      <c r="LY19" t="s">
        <v>79</v>
      </c>
      <c r="LZ19">
        <f>_xlfn.COVARIANCE.P(ME2:ME8,LZ2:LZ8)</f>
        <v>-1.67525842388687E-2</v>
      </c>
      <c r="MA19">
        <f>_xlfn.COVARIANCE.P(ME2:ME8,MA2:MA8)</f>
        <v>-1.9084794567231979E-2</v>
      </c>
      <c r="MB19">
        <f>_xlfn.COVARIANCE.P(ME2:ME8,MB2:MB8)</f>
        <v>3.5439272127712869E-2</v>
      </c>
      <c r="MC19">
        <f>_xlfn.COVARIANCE.P(ME2:ME8,MC2:MC8)</f>
        <v>-3.940428986820501E-2</v>
      </c>
      <c r="MD19">
        <f>_xlfn.COVARIANCE.P(ME2:ME8,MD2:MD8)</f>
        <v>-4.375864565647464</v>
      </c>
      <c r="MG19" t="s">
        <v>79</v>
      </c>
      <c r="MH19">
        <f>_xlfn.COVARIANCE.P(MM2:MM8,MH2:MH8)</f>
        <v>0.26323429102803952</v>
      </c>
      <c r="MI19">
        <f>_xlfn.COVARIANCE.P(MM2:MM8,MI2:MI8)</f>
        <v>-2.5097649702086409E-2</v>
      </c>
      <c r="MJ19">
        <f>_xlfn.COVARIANCE.P(MM2:MM8,MJ2:MJ8)</f>
        <v>7.9468598303045798E-2</v>
      </c>
      <c r="MK19">
        <f>_xlfn.COVARIANCE.P(MM2:MM8,MK2:MK8)</f>
        <v>-3.0538160918339278E-2</v>
      </c>
      <c r="ML19">
        <f>_xlfn.COVARIANCE.P(MM2:MM8,ML2:ML8)</f>
        <v>-67.467319422330178</v>
      </c>
      <c r="MO19" t="s">
        <v>79</v>
      </c>
      <c r="MP19">
        <f>_xlfn.COVARIANCE.P(MU2:MU8,MP2:MP8)</f>
        <v>0.12544214799263609</v>
      </c>
      <c r="MQ19">
        <f>_xlfn.COVARIANCE.P(MU2:MU8,MQ2:MQ8)</f>
        <v>0.1067071430611428</v>
      </c>
      <c r="MR19">
        <f>_xlfn.COVARIANCE.P(MU2:MU8,MR2:MR8)</f>
        <v>2.8077610444806878E-2</v>
      </c>
      <c r="MS19">
        <f>_xlfn.COVARIANCE.P(MU2:MU8,MS2:MS8)</f>
        <v>2.7054898126488036E-2</v>
      </c>
      <c r="MT19">
        <f>_xlfn.COVARIANCE.P(MU2:MU8,MT2:MT8)</f>
        <v>-19.118192720943789</v>
      </c>
      <c r="MW19" t="s">
        <v>79</v>
      </c>
      <c r="MX19">
        <f>_xlfn.COVARIANCE.P(NC2:NC8,MX2:MX8)</f>
        <v>0</v>
      </c>
      <c r="MY19">
        <f>_xlfn.COVARIANCE.P(NC2:NC8,MY2:MY8)</f>
        <v>0</v>
      </c>
      <c r="MZ19">
        <f>_xlfn.COVARIANCE.P(NC2:NC8,MZ2:MZ8)</f>
        <v>0</v>
      </c>
      <c r="NA19">
        <f>_xlfn.COVARIANCE.P(NC2:NC8,NA2:NA8)</f>
        <v>0</v>
      </c>
      <c r="NB19">
        <f>_xlfn.COVARIANCE.P(NC2:NC8,NB2:NB8)</f>
        <v>0</v>
      </c>
      <c r="NE19" t="s">
        <v>79</v>
      </c>
      <c r="NF19">
        <f>_xlfn.COVARIANCE.P(NK2:NK8,NF2:NF8)</f>
        <v>3.2929180669884557E-3</v>
      </c>
      <c r="NG19">
        <f>_xlfn.COVARIANCE.P(NK2:NK8,NG2:NG8)</f>
        <v>9.7025248638761314E-4</v>
      </c>
      <c r="NH19">
        <f>_xlfn.COVARIANCE.P(NK2:NK8,NH2:NH8)</f>
        <v>1.0176696644393305E-2</v>
      </c>
      <c r="NI19">
        <f>_xlfn.COVARIANCE.P(NK2:NK8,NI2:NI8)</f>
        <v>-7.8760105687958274E-3</v>
      </c>
      <c r="NJ19">
        <f>_xlfn.COVARIANCE.P(NK2:NK8,NJ2:NJ8)</f>
        <v>-2.4369721583875861</v>
      </c>
      <c r="NM19" t="s">
        <v>79</v>
      </c>
      <c r="NN19">
        <f>_xlfn.COVARIANCE.P(NS2:NS8,NN2:NN8)</f>
        <v>0.256693162831094</v>
      </c>
      <c r="NO19">
        <f>_xlfn.COVARIANCE.P(NS2:NS8,NO2:NO8)</f>
        <v>-1.1881710998118824E-2</v>
      </c>
      <c r="NP19">
        <f>_xlfn.COVARIANCE.P(NS2:NS8,NP2:NP8)</f>
        <v>1.770368560086279E-2</v>
      </c>
      <c r="NQ19">
        <f>_xlfn.COVARIANCE.P(NS2:NS8,NQ2:NQ8)</f>
        <v>3.0282344263687425E-2</v>
      </c>
      <c r="NR19">
        <f>_xlfn.COVARIANCE.P(NS2:NS8,NR2:NR8)</f>
        <v>-63.660528167849527</v>
      </c>
      <c r="NU19" t="s">
        <v>79</v>
      </c>
      <c r="NV19">
        <f>_xlfn.COVARIANCE.P(OA2:OA8,NV2:NV8)</f>
        <v>6.2177823897844202E-2</v>
      </c>
      <c r="NW19">
        <f>_xlfn.COVARIANCE.P(OA2:OA8,NW2:NW8)</f>
        <v>2.1722995644206478E-2</v>
      </c>
      <c r="NX19">
        <f>_xlfn.COVARIANCE.P(OA2:OA8,NX2:NX8)</f>
        <v>4.4735287780400694E-2</v>
      </c>
      <c r="NY19">
        <f>_xlfn.COVARIANCE.P(OA2:OA8,NY2:NY8)</f>
        <v>-2.3641164573737935E-2</v>
      </c>
      <c r="NZ19">
        <f>_xlfn.COVARIANCE.P(OA2:OA8,NZ2:NZ8)</f>
        <v>-13.906561649431088</v>
      </c>
      <c r="OC19" t="s">
        <v>79</v>
      </c>
      <c r="OD19">
        <f>_xlfn.COVARIANCE.P(OI2:OI8,OD2:OD8)</f>
        <v>2.6822741611305802E-2</v>
      </c>
      <c r="OE19">
        <f>_xlfn.COVARIANCE.P(OI2:OI8,OE2:OE8)</f>
        <v>3.953608181248721E-2</v>
      </c>
      <c r="OF19">
        <f>_xlfn.COVARIANCE.P(OI2:OI8,OF2:OF8)</f>
        <v>4.7997977260025124E-2</v>
      </c>
      <c r="OG19">
        <f>_xlfn.COVARIANCE.P(OI2:OI8,OG2:OG8)</f>
        <v>-3.1197940433391448E-2</v>
      </c>
      <c r="OH19">
        <f>_xlfn.COVARIANCE.P(OI2:OI8,OH2:OH8)</f>
        <v>6.8466715114588412</v>
      </c>
      <c r="OK19" t="s">
        <v>79</v>
      </c>
      <c r="OL19">
        <f>_xlfn.COVARIANCE.P(OQ2:OQ8,OL2:OL8)</f>
        <v>8.8889772086444951E-3</v>
      </c>
      <c r="OM19">
        <f>_xlfn.COVARIANCE.P(OQ2:OQ8,OM2:OM8)</f>
        <v>2.7600391067066854E-2</v>
      </c>
      <c r="ON19">
        <f>_xlfn.COVARIANCE.P(OQ2:OQ8,ON2:ON8)</f>
        <v>-1.5614030934703692E-2</v>
      </c>
      <c r="OO19">
        <f>_xlfn.COVARIANCE.P(OQ2:OQ8,OO2:OO8)</f>
        <v>2.1305091088057868E-2</v>
      </c>
      <c r="OP19">
        <f>_xlfn.COVARIANCE.P(OQ2:OQ8,OP2:OP8)</f>
        <v>9.703443948925834</v>
      </c>
      <c r="OS19" t="s">
        <v>79</v>
      </c>
      <c r="OT19">
        <f>_xlfn.COVARIANCE.P(OY2:OY8,OT2:OT8)</f>
        <v>4.7495621018958795E-3</v>
      </c>
      <c r="OU19">
        <f>_xlfn.COVARIANCE.P(OY2:OY8,OU2:OU8)</f>
        <v>5.5748238550435612E-2</v>
      </c>
      <c r="OV19">
        <f>_xlfn.COVARIANCE.P(OY2:OY8,OV2:OV8)</f>
        <v>-4.7919519362930693E-2</v>
      </c>
      <c r="OW19">
        <f>_xlfn.COVARIANCE.P(OY2:OY8,OW2:OW8)</f>
        <v>5.189688212041995E-2</v>
      </c>
      <c r="OX19">
        <f>_xlfn.COVARIANCE.P(OY2:OY8,OX2:OX8)</f>
        <v>36.380182362781696</v>
      </c>
      <c r="PA19" t="s">
        <v>79</v>
      </c>
      <c r="PB19">
        <f>_xlfn.COVARIANCE.P(PG2:PG8,PB2:PB8)</f>
        <v>-4.7328655848404228E-3</v>
      </c>
      <c r="PC19">
        <f>_xlfn.COVARIANCE.P(PG2:PG8,PC2:PC8)</f>
        <v>-1.332948849584278E-3</v>
      </c>
      <c r="PD19">
        <f>_xlfn.COVARIANCE.P(PG2:PG8,PD2:PD8)</f>
        <v>7.3221699337868286E-4</v>
      </c>
      <c r="PE19">
        <f>_xlfn.COVARIANCE.P(PG2:PG8,PE2:PE8)</f>
        <v>-1.7262620197726927E-3</v>
      </c>
      <c r="PF19">
        <f>_xlfn.COVARIANCE.P(PG2:PG8,PF2:PF8)</f>
        <v>0.60624698069236493</v>
      </c>
      <c r="PI19" t="s">
        <v>79</v>
      </c>
      <c r="PJ19">
        <f>_xlfn.COVARIANCE.P(PO2:PO8,PJ2:PJ8)</f>
        <v>-0.2359023710544132</v>
      </c>
      <c r="PK19">
        <f>_xlfn.COVARIANCE.P(PO2:PO8,PK2:PK8)</f>
        <v>-6.6438775510204079E-2</v>
      </c>
      <c r="PL19">
        <f>_xlfn.COVARIANCE.P(PO2:PO8,PL2:PL8)</f>
        <v>3.649622448979583E-2</v>
      </c>
      <c r="PM19">
        <f>_xlfn.COVARIANCE.P(PO2:PO8,PM2:PM8)</f>
        <v>-8.6042862664414549E-2</v>
      </c>
      <c r="PN19">
        <f>_xlfn.COVARIANCE.P(PO2:PO8,PN2:PN8)</f>
        <v>30.217443877550973</v>
      </c>
      <c r="PQ19" t="s">
        <v>79</v>
      </c>
      <c r="PR19">
        <f>_xlfn.COVARIANCE.P(PW2:PW8,PR2:PR8)</f>
        <v>9.8014105407592367E-2</v>
      </c>
      <c r="PS19">
        <f>_xlfn.COVARIANCE.P(PW2:PW8,PS2:PS8)</f>
        <v>6.4596672375979672E-2</v>
      </c>
      <c r="PT19">
        <f>_xlfn.COVARIANCE.P(PW2:PW8,PT2:PT8)</f>
        <v>1.1859713073818338E-2</v>
      </c>
      <c r="PU19">
        <f>_xlfn.COVARIANCE.P(PW2:PW8,PU2:PU8)</f>
        <v>2.0166338832523632E-2</v>
      </c>
      <c r="PV19">
        <f>_xlfn.COVARIANCE.P(PW2:PW8,PV2:PV8)</f>
        <v>-8.182231413936206</v>
      </c>
      <c r="PY19" t="s">
        <v>79</v>
      </c>
      <c r="PZ19">
        <f>_xlfn.COVARIANCE.P(QE2:QE8,PZ2:PZ8)</f>
        <v>6.1530530672700201E-2</v>
      </c>
      <c r="QA19">
        <f>_xlfn.COVARIANCE.P(QE2:QE8,QA2:QA8)</f>
        <v>4.1430464432342003E-2</v>
      </c>
      <c r="QB19">
        <f>_xlfn.COVARIANCE.P(QE2:QE8,QB2:QB8)</f>
        <v>3.4683675666373946E-2</v>
      </c>
      <c r="QC19">
        <f>_xlfn.COVARIANCE.P(QE2:QE8,QC2:QC8)</f>
        <v>-1.3193240630164887E-2</v>
      </c>
      <c r="QD19">
        <f>_xlfn.COVARIANCE.P(QE2:QE8,QD2:QD8)</f>
        <v>2.8408468814505006</v>
      </c>
    </row>
    <row r="20" spans="1:487" x14ac:dyDescent="0.45">
      <c r="A20" t="s">
        <v>80</v>
      </c>
      <c r="B20">
        <f>_xlfn.VAR.P(B2:B8)</f>
        <v>9.1657056171759574</v>
      </c>
      <c r="C20">
        <f>_xlfn.VAR.P(C2:C8)</f>
        <v>1.827383346938785</v>
      </c>
      <c r="D20">
        <f>_xlfn.VAR.P(D2:D8)</f>
        <v>0.84603611505305776</v>
      </c>
      <c r="E20">
        <f>_xlfn.VAR.P(E2:E8)</f>
        <v>1.6993367729622577</v>
      </c>
      <c r="F20">
        <f>_xlfn.VAR.P(F2:F8)</f>
        <v>280187.1073176745</v>
      </c>
      <c r="I20" t="s">
        <v>80</v>
      </c>
      <c r="J20">
        <f>_xlfn.VAR.P(J2:J8)</f>
        <v>9.1657056171759574</v>
      </c>
      <c r="K20">
        <f>_xlfn.VAR.P(K2:K8)</f>
        <v>1.827383346938785</v>
      </c>
      <c r="L20">
        <f>_xlfn.VAR.P(L2:L8)</f>
        <v>0.84603611505305776</v>
      </c>
      <c r="M20">
        <f>_xlfn.VAR.P(M2:M8)</f>
        <v>1.6993367729622577</v>
      </c>
      <c r="N20">
        <f>_xlfn.VAR.P(N2:N8)</f>
        <v>280187.1073176745</v>
      </c>
      <c r="Q20" t="s">
        <v>80</v>
      </c>
      <c r="R20">
        <f>_xlfn.VAR.P(R2:R8)</f>
        <v>9.1657056171759574</v>
      </c>
      <c r="S20">
        <f>_xlfn.VAR.P(S2:S8)</f>
        <v>1.827383346938785</v>
      </c>
      <c r="T20">
        <f>_xlfn.VAR.P(T2:T8)</f>
        <v>0.84603611505305776</v>
      </c>
      <c r="U20">
        <f>_xlfn.VAR.P(U2:U8)</f>
        <v>1.6993367729622577</v>
      </c>
      <c r="V20">
        <f>_xlfn.VAR.P(V2:V8)</f>
        <v>280187.1073176745</v>
      </c>
      <c r="Y20" t="s">
        <v>80</v>
      </c>
      <c r="Z20">
        <f>_xlfn.VAR.P(Z2:Z8)</f>
        <v>9.1657056171759574</v>
      </c>
      <c r="AA20">
        <f>_xlfn.VAR.P(AA2:AA8)</f>
        <v>1.827383346938785</v>
      </c>
      <c r="AB20">
        <f>_xlfn.VAR.P(AB2:AB8)</f>
        <v>0.84603611505305776</v>
      </c>
      <c r="AC20">
        <f>_xlfn.VAR.P(AC2:AC8)</f>
        <v>1.6993367729622577</v>
      </c>
      <c r="AD20">
        <f>_xlfn.VAR.P(AD2:AD8)</f>
        <v>280187.1073176745</v>
      </c>
      <c r="AG20" t="s">
        <v>80</v>
      </c>
      <c r="AH20">
        <f>_xlfn.VAR.P(AH2:AH8)</f>
        <v>9.1657056171759574</v>
      </c>
      <c r="AI20">
        <f>_xlfn.VAR.P(AI2:AI8)</f>
        <v>1.827383346938785</v>
      </c>
      <c r="AJ20">
        <f>_xlfn.VAR.P(AJ2:AJ8)</f>
        <v>0.84603611505305776</v>
      </c>
      <c r="AK20">
        <f>_xlfn.VAR.P(AK2:AK8)</f>
        <v>1.6993367729622577</v>
      </c>
      <c r="AL20">
        <f>_xlfn.VAR.P(AL2:AL8)</f>
        <v>280187.1073176745</v>
      </c>
      <c r="AO20" t="s">
        <v>80</v>
      </c>
      <c r="AP20">
        <f>_xlfn.VAR.P(AP2:AP8)</f>
        <v>9.1657056171759574</v>
      </c>
      <c r="AQ20">
        <f>_xlfn.VAR.P(AQ2:AQ8)</f>
        <v>1.827383346938785</v>
      </c>
      <c r="AR20">
        <f>_xlfn.VAR.P(AR2:AR8)</f>
        <v>0.84603611505305776</v>
      </c>
      <c r="AS20">
        <f>_xlfn.VAR.P(AS2:AS8)</f>
        <v>1.6993367729622577</v>
      </c>
      <c r="AT20">
        <f>_xlfn.VAR.P(AT2:AT8)</f>
        <v>280187.1073176745</v>
      </c>
      <c r="AW20" t="s">
        <v>80</v>
      </c>
      <c r="AX20">
        <f>_xlfn.VAR.P(AX2:AX8)</f>
        <v>9.1657056171759574</v>
      </c>
      <c r="AY20">
        <f>_xlfn.VAR.P(AY2:AY8)</f>
        <v>1.827383346938785</v>
      </c>
      <c r="AZ20">
        <f>_xlfn.VAR.P(AZ2:AZ8)</f>
        <v>0.84603611505305776</v>
      </c>
      <c r="BA20">
        <f>_xlfn.VAR.P(BA2:BA8)</f>
        <v>1.6993367729622577</v>
      </c>
      <c r="BB20">
        <f>_xlfn.VAR.P(BB2:BB8)</f>
        <v>280187.1073176745</v>
      </c>
      <c r="BE20" t="s">
        <v>80</v>
      </c>
      <c r="BF20">
        <f>_xlfn.VAR.P(BF2:BF8)</f>
        <v>9.1657056171759574</v>
      </c>
      <c r="BG20">
        <f>_xlfn.VAR.P(BG2:BG8)</f>
        <v>1.827383346938785</v>
      </c>
      <c r="BH20">
        <f>_xlfn.VAR.P(BH2:BH8)</f>
        <v>0.84603611505305776</v>
      </c>
      <c r="BI20">
        <f>_xlfn.VAR.P(BI2:BI8)</f>
        <v>1.6993367729622577</v>
      </c>
      <c r="BJ20">
        <f>_xlfn.VAR.P(BJ2:BJ8)</f>
        <v>280187.1073176745</v>
      </c>
      <c r="BM20" t="s">
        <v>80</v>
      </c>
      <c r="BN20">
        <f>_xlfn.VAR.P(BN2:BN8)</f>
        <v>9.1657056171759574</v>
      </c>
      <c r="BO20">
        <f>_xlfn.VAR.P(BO2:BO8)</f>
        <v>1.827383346938785</v>
      </c>
      <c r="BP20">
        <f>_xlfn.VAR.P(BP2:BP8)</f>
        <v>0.84603611505305776</v>
      </c>
      <c r="BQ20">
        <f>_xlfn.VAR.P(BQ2:BQ8)</f>
        <v>1.6993367729622577</v>
      </c>
      <c r="BR20">
        <f>_xlfn.VAR.P(BR2:BR8)</f>
        <v>280187.1073176745</v>
      </c>
      <c r="BU20" t="s">
        <v>80</v>
      </c>
      <c r="BV20">
        <f>_xlfn.VAR.P(BV2:BV8)</f>
        <v>9.1657056171759574</v>
      </c>
      <c r="BW20">
        <f>_xlfn.VAR.P(BW2:BW8)</f>
        <v>1.827383346938785</v>
      </c>
      <c r="BX20">
        <f>_xlfn.VAR.P(BX2:BX8)</f>
        <v>0.84603611505305776</v>
      </c>
      <c r="BY20">
        <f>_xlfn.VAR.P(BY2:BY8)</f>
        <v>1.6993367729622577</v>
      </c>
      <c r="BZ20">
        <f>_xlfn.VAR.P(BZ2:BZ8)</f>
        <v>280187.1073176745</v>
      </c>
      <c r="CC20" t="s">
        <v>80</v>
      </c>
      <c r="CD20">
        <f>_xlfn.VAR.P(CD2:CD8)</f>
        <v>9.1657056171759574</v>
      </c>
      <c r="CE20">
        <f>_xlfn.VAR.P(CE2:CE8)</f>
        <v>1.827383346938785</v>
      </c>
      <c r="CF20">
        <f>_xlfn.VAR.P(CF2:CF8)</f>
        <v>0.84603611505305776</v>
      </c>
      <c r="CG20">
        <f>_xlfn.VAR.P(CG2:CG8)</f>
        <v>1.6993367729622577</v>
      </c>
      <c r="CH20">
        <f>_xlfn.VAR.P(CH2:CH8)</f>
        <v>280187.1073176745</v>
      </c>
      <c r="CK20" t="s">
        <v>80</v>
      </c>
      <c r="CL20">
        <f>_xlfn.VAR.P(CL2:CL8)</f>
        <v>9.1657056171759574</v>
      </c>
      <c r="CM20">
        <f>_xlfn.VAR.P(CM2:CM8)</f>
        <v>1.827383346938785</v>
      </c>
      <c r="CN20">
        <f>_xlfn.VAR.P(CN2:CN8)</f>
        <v>0.84603611505305776</v>
      </c>
      <c r="CO20">
        <f>_xlfn.VAR.P(CO2:CO8)</f>
        <v>1.6993367729622577</v>
      </c>
      <c r="CP20">
        <f>_xlfn.VAR.P(CP2:CP8)</f>
        <v>280187.1073176745</v>
      </c>
      <c r="CS20" t="s">
        <v>80</v>
      </c>
      <c r="CT20">
        <f>_xlfn.VAR.P(CT2:CT8)</f>
        <v>9.1657056171759574</v>
      </c>
      <c r="CU20">
        <f>_xlfn.VAR.P(CU2:CU8)</f>
        <v>1.827383346938785</v>
      </c>
      <c r="CV20">
        <f>_xlfn.VAR.P(CV2:CV8)</f>
        <v>0.84603611505305776</v>
      </c>
      <c r="CW20">
        <f>_xlfn.VAR.P(CW2:CW8)</f>
        <v>1.6993367729622577</v>
      </c>
      <c r="CX20">
        <f>_xlfn.VAR.P(CX2:CX8)</f>
        <v>280187.1073176745</v>
      </c>
      <c r="DA20" t="s">
        <v>80</v>
      </c>
      <c r="DB20">
        <f>_xlfn.VAR.P(DB2:DB8)</f>
        <v>9.1657056171759574</v>
      </c>
      <c r="DC20">
        <f>_xlfn.VAR.P(DC2:DC8)</f>
        <v>1.827383346938785</v>
      </c>
      <c r="DD20">
        <f>_xlfn.VAR.P(DD2:DD8)</f>
        <v>0.84603611505305776</v>
      </c>
      <c r="DE20">
        <f>_xlfn.VAR.P(DE2:DE8)</f>
        <v>1.6993367729622577</v>
      </c>
      <c r="DF20">
        <f>_xlfn.VAR.P(DF2:DF8)</f>
        <v>280187.1073176745</v>
      </c>
      <c r="DI20" t="s">
        <v>80</v>
      </c>
      <c r="DJ20">
        <f>_xlfn.VAR.P(DJ2:DJ8)</f>
        <v>9.1657056171759574</v>
      </c>
      <c r="DK20">
        <f>_xlfn.VAR.P(DK2:DK8)</f>
        <v>1.827383346938785</v>
      </c>
      <c r="DL20">
        <f>_xlfn.VAR.P(DL2:DL8)</f>
        <v>0.84603611505305776</v>
      </c>
      <c r="DM20">
        <f>_xlfn.VAR.P(DM2:DM8)</f>
        <v>1.6993367729622577</v>
      </c>
      <c r="DN20">
        <f>_xlfn.VAR.P(DN2:DN8)</f>
        <v>280187.1073176745</v>
      </c>
      <c r="DQ20" t="s">
        <v>80</v>
      </c>
      <c r="DR20">
        <f>_xlfn.VAR.P(DR2:DR8)</f>
        <v>9.1657056171759574</v>
      </c>
      <c r="DS20">
        <f>_xlfn.VAR.P(DS2:DS8)</f>
        <v>1.827383346938785</v>
      </c>
      <c r="DT20">
        <f>_xlfn.VAR.P(DT2:DT8)</f>
        <v>0.84603611505305776</v>
      </c>
      <c r="DU20">
        <f>_xlfn.VAR.P(DU2:DU8)</f>
        <v>1.6993367729622577</v>
      </c>
      <c r="DV20">
        <f>_xlfn.VAR.P(DV2:DV8)</f>
        <v>280187.1073176745</v>
      </c>
      <c r="DY20" t="s">
        <v>80</v>
      </c>
      <c r="DZ20">
        <f>_xlfn.VAR.P(DZ2:DZ8)</f>
        <v>9.1657056171759574</v>
      </c>
      <c r="EA20">
        <f>_xlfn.VAR.P(EA2:EA8)</f>
        <v>1.827383346938785</v>
      </c>
      <c r="EB20">
        <f>_xlfn.VAR.P(EB2:EB8)</f>
        <v>0.84603611505305776</v>
      </c>
      <c r="EC20">
        <f>_xlfn.VAR.P(EC2:EC8)</f>
        <v>1.6993367729622577</v>
      </c>
      <c r="ED20">
        <f>_xlfn.VAR.P(ED2:ED8)</f>
        <v>280187.1073176745</v>
      </c>
      <c r="EG20" t="s">
        <v>80</v>
      </c>
      <c r="EH20">
        <f>_xlfn.VAR.P(EH2:EH8)</f>
        <v>9.1657056171759574</v>
      </c>
      <c r="EI20">
        <f>_xlfn.VAR.P(EI2:EI8)</f>
        <v>1.827383346938785</v>
      </c>
      <c r="EJ20">
        <f>_xlfn.VAR.P(EJ2:EJ8)</f>
        <v>0.84603611505305776</v>
      </c>
      <c r="EK20">
        <f>_xlfn.VAR.P(EK2:EK8)</f>
        <v>1.6993367729622577</v>
      </c>
      <c r="EL20">
        <f>_xlfn.VAR.P(EL2:EL8)</f>
        <v>280187.1073176745</v>
      </c>
      <c r="EO20" t="s">
        <v>80</v>
      </c>
      <c r="EP20">
        <f>_xlfn.VAR.P(EP2:EP8)</f>
        <v>9.1657056171759574</v>
      </c>
      <c r="EQ20">
        <f>_xlfn.VAR.P(EQ2:EQ8)</f>
        <v>1.827383346938785</v>
      </c>
      <c r="ER20">
        <f>_xlfn.VAR.P(ER2:ER8)</f>
        <v>0.84603611505305776</v>
      </c>
      <c r="ES20">
        <f>_xlfn.VAR.P(ES2:ES8)</f>
        <v>1.6993367729622577</v>
      </c>
      <c r="ET20">
        <f>_xlfn.VAR.P(ET2:ET8)</f>
        <v>280187.1073176745</v>
      </c>
      <c r="EW20" t="s">
        <v>80</v>
      </c>
      <c r="EX20">
        <f>_xlfn.VAR.P(EX2:EX8)</f>
        <v>9.1657056171759574</v>
      </c>
      <c r="EY20">
        <f>_xlfn.VAR.P(EY2:EY8)</f>
        <v>1.827383346938785</v>
      </c>
      <c r="EZ20">
        <f>_xlfn.VAR.P(EZ2:EZ8)</f>
        <v>0.84603611505305776</v>
      </c>
      <c r="FA20">
        <f>_xlfn.VAR.P(FA2:FA8)</f>
        <v>1.6993367729622577</v>
      </c>
      <c r="FB20">
        <f>_xlfn.VAR.P(FB2:FB8)</f>
        <v>280187.1073176745</v>
      </c>
      <c r="FE20" t="s">
        <v>80</v>
      </c>
      <c r="FF20">
        <f>_xlfn.VAR.P(FF2:FF8)</f>
        <v>9.1657056171759574</v>
      </c>
      <c r="FG20">
        <f>_xlfn.VAR.P(FG2:FG8)</f>
        <v>1.827383346938785</v>
      </c>
      <c r="FH20">
        <f>_xlfn.VAR.P(FH2:FH8)</f>
        <v>0.84603611505305776</v>
      </c>
      <c r="FI20">
        <f>_xlfn.VAR.P(FI2:FI8)</f>
        <v>1.6993367729622577</v>
      </c>
      <c r="FJ20">
        <f>_xlfn.VAR.P(FJ2:FJ8)</f>
        <v>280187.1073176745</v>
      </c>
      <c r="FM20" t="s">
        <v>80</v>
      </c>
      <c r="FN20">
        <f>_xlfn.VAR.P(FN2:FN8)</f>
        <v>9.1657056171759574</v>
      </c>
      <c r="FO20">
        <f>_xlfn.VAR.P(FO2:FO8)</f>
        <v>1.827383346938785</v>
      </c>
      <c r="FP20">
        <f>_xlfn.VAR.P(FP2:FP8)</f>
        <v>0.84603611505305776</v>
      </c>
      <c r="FQ20">
        <f>_xlfn.VAR.P(FQ2:FQ8)</f>
        <v>1.6993367729622577</v>
      </c>
      <c r="FR20">
        <f>_xlfn.VAR.P(FR2:FR8)</f>
        <v>280187.1073176745</v>
      </c>
      <c r="FU20" t="s">
        <v>80</v>
      </c>
      <c r="FV20">
        <f>_xlfn.VAR.P(FV2:FV8)</f>
        <v>9.1657056171759574</v>
      </c>
      <c r="FW20">
        <f>_xlfn.VAR.P(FW2:FW8)</f>
        <v>1.827383346938785</v>
      </c>
      <c r="FX20">
        <f>_xlfn.VAR.P(FX2:FX8)</f>
        <v>0.84603611505305776</v>
      </c>
      <c r="FY20">
        <f>_xlfn.VAR.P(FY2:FY8)</f>
        <v>1.6993367729622577</v>
      </c>
      <c r="FZ20">
        <f>_xlfn.VAR.P(FZ2:FZ8)</f>
        <v>280187.1073176745</v>
      </c>
      <c r="GC20" t="s">
        <v>80</v>
      </c>
      <c r="GD20">
        <f>_xlfn.VAR.P(GD2:GD8)</f>
        <v>9.1657056171759574</v>
      </c>
      <c r="GE20">
        <f>_xlfn.VAR.P(GE2:GE8)</f>
        <v>1.827383346938785</v>
      </c>
      <c r="GF20">
        <f>_xlfn.VAR.P(GF2:GF8)</f>
        <v>0.84603611505305776</v>
      </c>
      <c r="GG20">
        <f>_xlfn.VAR.P(GG2:GG8)</f>
        <v>1.6993367729622577</v>
      </c>
      <c r="GH20">
        <f>_xlfn.VAR.P(GH2:GH8)</f>
        <v>280187.1073176745</v>
      </c>
      <c r="GK20" t="s">
        <v>80</v>
      </c>
      <c r="GL20">
        <f>_xlfn.VAR.P(GL2:GL8)</f>
        <v>9.1657056171759574</v>
      </c>
      <c r="GM20">
        <f>_xlfn.VAR.P(GM2:GM8)</f>
        <v>1.827383346938785</v>
      </c>
      <c r="GN20">
        <f>_xlfn.VAR.P(GN2:GN8)</f>
        <v>0.84603611505305776</v>
      </c>
      <c r="GO20">
        <f>_xlfn.VAR.P(GO2:GO8)</f>
        <v>1.6993367729622577</v>
      </c>
      <c r="GP20">
        <f>_xlfn.VAR.P(GP2:GP8)</f>
        <v>280187.1073176745</v>
      </c>
      <c r="GS20" t="s">
        <v>80</v>
      </c>
      <c r="GT20">
        <f>_xlfn.VAR.P(GT2:GT8)</f>
        <v>9.1657056171759574</v>
      </c>
      <c r="GU20">
        <f>_xlfn.VAR.P(GU2:GU8)</f>
        <v>1.827383346938785</v>
      </c>
      <c r="GV20">
        <f>_xlfn.VAR.P(GV2:GV8)</f>
        <v>0.84603611505305776</v>
      </c>
      <c r="GW20">
        <f>_xlfn.VAR.P(GW2:GW8)</f>
        <v>1.6993367729622577</v>
      </c>
      <c r="GX20">
        <f>_xlfn.VAR.P(GX2:GX8)</f>
        <v>280187.1073176745</v>
      </c>
      <c r="HA20" t="s">
        <v>80</v>
      </c>
      <c r="HB20">
        <f>_xlfn.VAR.P(HB2:HB8)</f>
        <v>9.1657056171759574</v>
      </c>
      <c r="HC20">
        <f>_xlfn.VAR.P(HC2:HC8)</f>
        <v>1.827383346938785</v>
      </c>
      <c r="HD20">
        <f>_xlfn.VAR.P(HD2:HD8)</f>
        <v>0.84603611505305776</v>
      </c>
      <c r="HE20">
        <f>_xlfn.VAR.P(HE2:HE8)</f>
        <v>1.6993367729622577</v>
      </c>
      <c r="HF20">
        <f>_xlfn.VAR.P(HF2:HF8)</f>
        <v>280187.1073176745</v>
      </c>
      <c r="HI20" t="s">
        <v>80</v>
      </c>
      <c r="HJ20">
        <f>_xlfn.VAR.P(HJ2:HJ8)</f>
        <v>9.1657056171759574</v>
      </c>
      <c r="HK20">
        <f>_xlfn.VAR.P(HK2:HK8)</f>
        <v>1.827383346938785</v>
      </c>
      <c r="HL20">
        <f>_xlfn.VAR.P(HL2:HL8)</f>
        <v>0.84603611505305776</v>
      </c>
      <c r="HM20">
        <f>_xlfn.VAR.P(HM2:HM8)</f>
        <v>1.6993367729622577</v>
      </c>
      <c r="HN20">
        <f>_xlfn.VAR.P(HN2:HN8)</f>
        <v>280187.1073176745</v>
      </c>
      <c r="HQ20" t="s">
        <v>80</v>
      </c>
      <c r="HR20">
        <f>_xlfn.VAR.P(HR2:HR8)</f>
        <v>9.1657056171759574</v>
      </c>
      <c r="HS20">
        <f>_xlfn.VAR.P(HS2:HS8)</f>
        <v>1.827383346938785</v>
      </c>
      <c r="HT20">
        <f>_xlfn.VAR.P(HT2:HT8)</f>
        <v>0.84603611505305776</v>
      </c>
      <c r="HU20">
        <f>_xlfn.VAR.P(HU2:HU8)</f>
        <v>1.6993367729622577</v>
      </c>
      <c r="HV20">
        <f>_xlfn.VAR.P(HV2:HV8)</f>
        <v>280187.1073176745</v>
      </c>
      <c r="HY20" t="s">
        <v>80</v>
      </c>
      <c r="HZ20">
        <f>_xlfn.VAR.P(HZ2:HZ8)</f>
        <v>9.1657056171759574</v>
      </c>
      <c r="IA20">
        <f>_xlfn.VAR.P(IA2:IA8)</f>
        <v>1.827383346938785</v>
      </c>
      <c r="IB20">
        <f>_xlfn.VAR.P(IB2:IB8)</f>
        <v>0.84603611505305776</v>
      </c>
      <c r="IC20">
        <f>_xlfn.VAR.P(IC2:IC8)</f>
        <v>1.6993367729622577</v>
      </c>
      <c r="ID20">
        <f>_xlfn.VAR.P(ID2:ID8)</f>
        <v>280187.1073176745</v>
      </c>
      <c r="IG20" t="s">
        <v>80</v>
      </c>
      <c r="IH20">
        <f>_xlfn.VAR.P(IH2:IH8)</f>
        <v>9.1657056171759574</v>
      </c>
      <c r="II20">
        <f>_xlfn.VAR.P(II2:II8)</f>
        <v>1.827383346938785</v>
      </c>
      <c r="IJ20">
        <f>_xlfn.VAR.P(IJ2:IJ8)</f>
        <v>0.84603611505305776</v>
      </c>
      <c r="IK20">
        <f>_xlfn.VAR.P(IK2:IK8)</f>
        <v>1.6993367729622577</v>
      </c>
      <c r="IL20">
        <f>_xlfn.VAR.P(IL2:IL8)</f>
        <v>280187.1073176745</v>
      </c>
      <c r="IO20" t="s">
        <v>80</v>
      </c>
      <c r="IP20">
        <f>_xlfn.VAR.P(IP2:IP8)</f>
        <v>9.1657056171759574</v>
      </c>
      <c r="IQ20">
        <f>_xlfn.VAR.P(IQ2:IQ8)</f>
        <v>1.827383346938785</v>
      </c>
      <c r="IR20">
        <f>_xlfn.VAR.P(IR2:IR8)</f>
        <v>0.84603611505305776</v>
      </c>
      <c r="IS20">
        <f>_xlfn.VAR.P(IS2:IS8)</f>
        <v>1.6993367729622577</v>
      </c>
      <c r="IT20">
        <f>_xlfn.VAR.P(IT2:IT8)</f>
        <v>280187.1073176745</v>
      </c>
      <c r="IW20" t="s">
        <v>80</v>
      </c>
      <c r="IX20">
        <f>_xlfn.VAR.P(IX2:IX8)</f>
        <v>9.1657056171759574</v>
      </c>
      <c r="IY20">
        <f>_xlfn.VAR.P(IY2:IY8)</f>
        <v>1.827383346938785</v>
      </c>
      <c r="IZ20">
        <f>_xlfn.VAR.P(IZ2:IZ8)</f>
        <v>0.84603611505305776</v>
      </c>
      <c r="JA20">
        <f>_xlfn.VAR.P(JA2:JA8)</f>
        <v>1.6993367729622577</v>
      </c>
      <c r="JB20">
        <f>_xlfn.VAR.P(JB2:JB8)</f>
        <v>280187.1073176745</v>
      </c>
      <c r="JE20" t="s">
        <v>80</v>
      </c>
      <c r="JF20">
        <f>_xlfn.VAR.P(JF2:JF8)</f>
        <v>9.1657056171759574</v>
      </c>
      <c r="JG20">
        <f>_xlfn.VAR.P(JG2:JG8)</f>
        <v>1.827383346938785</v>
      </c>
      <c r="JH20">
        <f>_xlfn.VAR.P(JH2:JH8)</f>
        <v>0.84603611505305776</v>
      </c>
      <c r="JI20">
        <f>_xlfn.VAR.P(JI2:JI8)</f>
        <v>1.6993367729622577</v>
      </c>
      <c r="JJ20">
        <f>_xlfn.VAR.P(JJ2:JJ8)</f>
        <v>280187.1073176745</v>
      </c>
      <c r="JM20" t="s">
        <v>80</v>
      </c>
      <c r="JN20">
        <f>_xlfn.VAR.P(JN2:JN8)</f>
        <v>9.1657056171759574</v>
      </c>
      <c r="JO20">
        <f>_xlfn.VAR.P(JO2:JO8)</f>
        <v>1.827383346938785</v>
      </c>
      <c r="JP20">
        <f>_xlfn.VAR.P(JP2:JP8)</f>
        <v>0.84603611505305776</v>
      </c>
      <c r="JQ20">
        <f>_xlfn.VAR.P(JQ2:JQ8)</f>
        <v>1.6993367729622577</v>
      </c>
      <c r="JR20">
        <f>_xlfn.VAR.P(JR2:JR8)</f>
        <v>280187.1073176745</v>
      </c>
      <c r="JU20" t="s">
        <v>80</v>
      </c>
      <c r="JV20">
        <f>_xlfn.VAR.P(JV2:JV8)</f>
        <v>9.1657056171759574</v>
      </c>
      <c r="JW20">
        <f>_xlfn.VAR.P(JW2:JW8)</f>
        <v>1.827383346938785</v>
      </c>
      <c r="JX20">
        <f>_xlfn.VAR.P(JX2:JX8)</f>
        <v>0.84603611505305776</v>
      </c>
      <c r="JY20">
        <f>_xlfn.VAR.P(JY2:JY8)</f>
        <v>1.6993367729622577</v>
      </c>
      <c r="JZ20">
        <f>_xlfn.VAR.P(JZ2:JZ8)</f>
        <v>280187.1073176745</v>
      </c>
      <c r="KC20" t="s">
        <v>80</v>
      </c>
      <c r="KD20">
        <f>_xlfn.VAR.P(KD2:KD8)</f>
        <v>9.1657056171759574</v>
      </c>
      <c r="KE20">
        <f>_xlfn.VAR.P(KE2:KE8)</f>
        <v>1.827383346938785</v>
      </c>
      <c r="KF20">
        <f>_xlfn.VAR.P(KF2:KF8)</f>
        <v>0.84603611505305776</v>
      </c>
      <c r="KG20">
        <f>_xlfn.VAR.P(KG2:KG8)</f>
        <v>1.6993367729622577</v>
      </c>
      <c r="KH20">
        <f>_xlfn.VAR.P(KH2:KH8)</f>
        <v>280187.1073176745</v>
      </c>
      <c r="KK20" t="s">
        <v>80</v>
      </c>
      <c r="KL20">
        <f>_xlfn.VAR.P(KL2:KL8)</f>
        <v>9.1657056171759574</v>
      </c>
      <c r="KM20">
        <f>_xlfn.VAR.P(KM2:KM8)</f>
        <v>1.827383346938785</v>
      </c>
      <c r="KN20">
        <f>_xlfn.VAR.P(KN2:KN8)</f>
        <v>0.84603611505305776</v>
      </c>
      <c r="KO20">
        <f>_xlfn.VAR.P(KO2:KO8)</f>
        <v>1.6993367729622577</v>
      </c>
      <c r="KP20">
        <f>_xlfn.VAR.P(KP2:KP8)</f>
        <v>280187.1073176745</v>
      </c>
      <c r="KS20" t="s">
        <v>80</v>
      </c>
      <c r="KT20">
        <f>_xlfn.VAR.P(KT2:KT8)</f>
        <v>9.1657056171759574</v>
      </c>
      <c r="KU20">
        <f>_xlfn.VAR.P(KU2:KU8)</f>
        <v>1.827383346938785</v>
      </c>
      <c r="KV20">
        <f>_xlfn.VAR.P(KV2:KV8)</f>
        <v>0.84603611505305776</v>
      </c>
      <c r="KW20">
        <f>_xlfn.VAR.P(KW2:KW8)</f>
        <v>1.6993367729622577</v>
      </c>
      <c r="KX20">
        <f>_xlfn.VAR.P(KX2:KX8)</f>
        <v>280187.1073176745</v>
      </c>
      <c r="LA20" t="s">
        <v>80</v>
      </c>
      <c r="LB20">
        <f>_xlfn.VAR.P(LB2:LB8)</f>
        <v>9.1657056171759574</v>
      </c>
      <c r="LC20">
        <f>_xlfn.VAR.P(LC2:LC8)</f>
        <v>1.827383346938785</v>
      </c>
      <c r="LD20">
        <f>_xlfn.VAR.P(LD2:LD8)</f>
        <v>0.84603611505305776</v>
      </c>
      <c r="LE20">
        <f>_xlfn.VAR.P(LE2:LE8)</f>
        <v>1.6993367729622577</v>
      </c>
      <c r="LF20">
        <f>_xlfn.VAR.P(LF2:LF8)</f>
        <v>280187.1073176745</v>
      </c>
      <c r="LI20" t="s">
        <v>80</v>
      </c>
      <c r="LJ20">
        <f>_xlfn.VAR.P(LJ2:LJ8)</f>
        <v>9.1657056171759574</v>
      </c>
      <c r="LK20">
        <f>_xlfn.VAR.P(LK2:LK8)</f>
        <v>1.827383346938785</v>
      </c>
      <c r="LL20">
        <f>_xlfn.VAR.P(LL2:LL8)</f>
        <v>0.84603611505305776</v>
      </c>
      <c r="LM20">
        <f>_xlfn.VAR.P(LM2:LM8)</f>
        <v>1.6993367729622577</v>
      </c>
      <c r="LN20">
        <f>_xlfn.VAR.P(LN2:LN8)</f>
        <v>280187.1073176745</v>
      </c>
      <c r="LQ20" t="s">
        <v>80</v>
      </c>
      <c r="LR20">
        <f>_xlfn.VAR.P(LR2:LR8)</f>
        <v>9.1657056171759574</v>
      </c>
      <c r="LS20">
        <f>_xlfn.VAR.P(LS2:LS8)</f>
        <v>1.827383346938785</v>
      </c>
      <c r="LT20">
        <f>_xlfn.VAR.P(LT2:LT8)</f>
        <v>0.84603611505305776</v>
      </c>
      <c r="LU20">
        <f>_xlfn.VAR.P(LU2:LU8)</f>
        <v>1.6993367729622577</v>
      </c>
      <c r="LV20">
        <f>_xlfn.VAR.P(LV2:LV8)</f>
        <v>280187.1073176745</v>
      </c>
      <c r="LY20" t="s">
        <v>80</v>
      </c>
      <c r="LZ20">
        <f>_xlfn.VAR.P(LZ2:LZ8)</f>
        <v>9.1657056171759574</v>
      </c>
      <c r="MA20">
        <f>_xlfn.VAR.P(MA2:MA8)</f>
        <v>1.827383346938785</v>
      </c>
      <c r="MB20">
        <f>_xlfn.VAR.P(MB2:MB8)</f>
        <v>0.84603611505305776</v>
      </c>
      <c r="MC20">
        <f>_xlfn.VAR.P(MC2:MC8)</f>
        <v>1.6993367729622577</v>
      </c>
      <c r="MD20">
        <f>_xlfn.VAR.P(MD2:MD8)</f>
        <v>280187.1073176745</v>
      </c>
      <c r="MG20" t="s">
        <v>80</v>
      </c>
      <c r="MH20">
        <f>_xlfn.VAR.P(MH2:MH8)</f>
        <v>9.1657056171759574</v>
      </c>
      <c r="MI20">
        <f>_xlfn.VAR.P(MI2:MI8)</f>
        <v>1.827383346938785</v>
      </c>
      <c r="MJ20">
        <f>_xlfn.VAR.P(MJ2:MJ8)</f>
        <v>0.84603611505305776</v>
      </c>
      <c r="MK20">
        <f>_xlfn.VAR.P(MK2:MK8)</f>
        <v>1.6993367729622577</v>
      </c>
      <c r="ML20">
        <f>_xlfn.VAR.P(ML2:ML8)</f>
        <v>280187.1073176745</v>
      </c>
      <c r="MO20" t="s">
        <v>80</v>
      </c>
      <c r="MP20">
        <f>_xlfn.VAR.P(MP2:MP8)</f>
        <v>9.1657056171759574</v>
      </c>
      <c r="MQ20">
        <f>_xlfn.VAR.P(MQ2:MQ8)</f>
        <v>1.827383346938785</v>
      </c>
      <c r="MR20">
        <f>_xlfn.VAR.P(MR2:MR8)</f>
        <v>0.84603611505305776</v>
      </c>
      <c r="MS20">
        <f>_xlfn.VAR.P(MS2:MS8)</f>
        <v>1.6993367729622577</v>
      </c>
      <c r="MT20">
        <f>_xlfn.VAR.P(MT2:MT8)</f>
        <v>280187.1073176745</v>
      </c>
      <c r="MW20" t="s">
        <v>80</v>
      </c>
      <c r="MX20">
        <f>_xlfn.VAR.P(MX2:MX8)</f>
        <v>9.1657056171759574</v>
      </c>
      <c r="MY20">
        <f>_xlfn.VAR.P(MY2:MY8)</f>
        <v>1.827383346938785</v>
      </c>
      <c r="MZ20">
        <f>_xlfn.VAR.P(MZ2:MZ8)</f>
        <v>0.84603611505305776</v>
      </c>
      <c r="NA20">
        <f>_xlfn.VAR.P(NA2:NA8)</f>
        <v>1.6993367729622577</v>
      </c>
      <c r="NB20">
        <f>_xlfn.VAR.P(NB2:NB8)</f>
        <v>280187.1073176745</v>
      </c>
      <c r="NE20" t="s">
        <v>80</v>
      </c>
      <c r="NF20">
        <f>_xlfn.VAR.P(NF2:NF8)</f>
        <v>9.1657056171759574</v>
      </c>
      <c r="NG20">
        <f>_xlfn.VAR.P(NG2:NG8)</f>
        <v>1.827383346938785</v>
      </c>
      <c r="NH20">
        <f>_xlfn.VAR.P(NH2:NH8)</f>
        <v>0.84603611505305776</v>
      </c>
      <c r="NI20">
        <f>_xlfn.VAR.P(NI2:NI8)</f>
        <v>1.6993367729622577</v>
      </c>
      <c r="NJ20">
        <f>_xlfn.VAR.P(NJ2:NJ8)</f>
        <v>280187.1073176745</v>
      </c>
      <c r="NM20" t="s">
        <v>80</v>
      </c>
      <c r="NN20">
        <f>_xlfn.VAR.P(NN2:NN8)</f>
        <v>9.1657056171759574</v>
      </c>
      <c r="NO20">
        <f>_xlfn.VAR.P(NO2:NO8)</f>
        <v>1.827383346938785</v>
      </c>
      <c r="NP20">
        <f>_xlfn.VAR.P(NP2:NP8)</f>
        <v>0.84603611505305776</v>
      </c>
      <c r="NQ20">
        <f>_xlfn.VAR.P(NQ2:NQ8)</f>
        <v>1.6993367729622577</v>
      </c>
      <c r="NR20">
        <f>_xlfn.VAR.P(NR2:NR8)</f>
        <v>280187.1073176745</v>
      </c>
      <c r="NU20" t="s">
        <v>80</v>
      </c>
      <c r="NV20">
        <f>_xlfn.VAR.P(NV2:NV8)</f>
        <v>9.1657056171759574</v>
      </c>
      <c r="NW20">
        <f>_xlfn.VAR.P(NW2:NW8)</f>
        <v>1.827383346938785</v>
      </c>
      <c r="NX20">
        <f>_xlfn.VAR.P(NX2:NX8)</f>
        <v>0.84603611505305776</v>
      </c>
      <c r="NY20">
        <f>_xlfn.VAR.P(NY2:NY8)</f>
        <v>1.6993367729622577</v>
      </c>
      <c r="NZ20">
        <f>_xlfn.VAR.P(NZ2:NZ8)</f>
        <v>280187.1073176745</v>
      </c>
      <c r="OC20" t="s">
        <v>80</v>
      </c>
      <c r="OD20">
        <f>_xlfn.VAR.P(OD2:OD8)</f>
        <v>9.1657056171759574</v>
      </c>
      <c r="OE20">
        <f>_xlfn.VAR.P(OE2:OE8)</f>
        <v>1.827383346938785</v>
      </c>
      <c r="OF20">
        <f>_xlfn.VAR.P(OF2:OF8)</f>
        <v>0.84603611505305776</v>
      </c>
      <c r="OG20">
        <f>_xlfn.VAR.P(OG2:OG8)</f>
        <v>1.6993367729622577</v>
      </c>
      <c r="OH20">
        <f>_xlfn.VAR.P(OH2:OH8)</f>
        <v>280187.1073176745</v>
      </c>
      <c r="OK20" t="s">
        <v>80</v>
      </c>
      <c r="OL20">
        <f>_xlfn.VAR.P(OL2:OL8)</f>
        <v>9.1657056171759574</v>
      </c>
      <c r="OM20">
        <f>_xlfn.VAR.P(OM2:OM8)</f>
        <v>1.827383346938785</v>
      </c>
      <c r="ON20">
        <f>_xlfn.VAR.P(ON2:ON8)</f>
        <v>0.84603611505305776</v>
      </c>
      <c r="OO20">
        <f>_xlfn.VAR.P(OO2:OO8)</f>
        <v>1.6993367729622577</v>
      </c>
      <c r="OP20">
        <f>_xlfn.VAR.P(OP2:OP8)</f>
        <v>280187.1073176745</v>
      </c>
      <c r="OS20" t="s">
        <v>80</v>
      </c>
      <c r="OT20">
        <f>_xlfn.VAR.P(OT2:OT8)</f>
        <v>9.1657056171759574</v>
      </c>
      <c r="OU20">
        <f>_xlfn.VAR.P(OU2:OU8)</f>
        <v>1.827383346938785</v>
      </c>
      <c r="OV20">
        <f>_xlfn.VAR.P(OV2:OV8)</f>
        <v>0.84603611505305776</v>
      </c>
      <c r="OW20">
        <f>_xlfn.VAR.P(OW2:OW8)</f>
        <v>1.6993367729622577</v>
      </c>
      <c r="OX20">
        <f>_xlfn.VAR.P(OX2:OX8)</f>
        <v>280187.1073176745</v>
      </c>
      <c r="PA20" t="s">
        <v>80</v>
      </c>
      <c r="PB20">
        <f>_xlfn.VAR.P(PB2:PB8)</f>
        <v>9.1657056171759574</v>
      </c>
      <c r="PC20">
        <f>_xlfn.VAR.P(PC2:PC8)</f>
        <v>1.827383346938785</v>
      </c>
      <c r="PD20">
        <f>_xlfn.VAR.P(PD2:PD8)</f>
        <v>0.84603611505305776</v>
      </c>
      <c r="PE20">
        <f>_xlfn.VAR.P(PE2:PE8)</f>
        <v>1.6993367729622577</v>
      </c>
      <c r="PF20">
        <f>_xlfn.VAR.P(PF2:PF8)</f>
        <v>280187.1073176745</v>
      </c>
      <c r="PI20" t="s">
        <v>80</v>
      </c>
      <c r="PJ20">
        <f>_xlfn.VAR.P(PJ2:PJ8)</f>
        <v>9.1657056171759574</v>
      </c>
      <c r="PK20">
        <f>_xlfn.VAR.P(PK2:PK8)</f>
        <v>1.827383346938785</v>
      </c>
      <c r="PL20">
        <f>_xlfn.VAR.P(PL2:PL8)</f>
        <v>0.84603611505305776</v>
      </c>
      <c r="PM20">
        <f>_xlfn.VAR.P(PM2:PM8)</f>
        <v>1.6993367729622577</v>
      </c>
      <c r="PN20">
        <f>_xlfn.VAR.P(PN2:PN8)</f>
        <v>280187.1073176745</v>
      </c>
      <c r="PQ20" t="s">
        <v>80</v>
      </c>
      <c r="PR20">
        <f>_xlfn.VAR.P(PR2:PR8)</f>
        <v>9.1657056171759574</v>
      </c>
      <c r="PS20">
        <f>_xlfn.VAR.P(PS2:PS8)</f>
        <v>1.827383346938785</v>
      </c>
      <c r="PT20">
        <f>_xlfn.VAR.P(PT2:PT8)</f>
        <v>0.84603611505305776</v>
      </c>
      <c r="PU20">
        <f>_xlfn.VAR.P(PU2:PU8)</f>
        <v>1.6993367729622577</v>
      </c>
      <c r="PV20">
        <f>_xlfn.VAR.P(PV2:PV8)</f>
        <v>280187.1073176745</v>
      </c>
      <c r="PY20" t="s">
        <v>80</v>
      </c>
      <c r="PZ20">
        <f>_xlfn.VAR.P(PZ2:PZ8)</f>
        <v>9.1657056171759574</v>
      </c>
      <c r="QA20">
        <f>_xlfn.VAR.P(QA2:QA8)</f>
        <v>1.827383346938785</v>
      </c>
      <c r="QB20">
        <f>_xlfn.VAR.P(QB2:QB8)</f>
        <v>0.84603611505305776</v>
      </c>
      <c r="QC20">
        <f>_xlfn.VAR.P(QC2:QC8)</f>
        <v>1.6993367729622577</v>
      </c>
      <c r="QD20">
        <f>_xlfn.VAR.P(QD2:QD8)</f>
        <v>280187.1073176745</v>
      </c>
    </row>
    <row r="21" spans="1:487" x14ac:dyDescent="0.45">
      <c r="A21" t="s">
        <v>81</v>
      </c>
      <c r="B21">
        <f>B19/B20</f>
        <v>-1.1662271564799164E-3</v>
      </c>
      <c r="C21">
        <f>C19/C20</f>
        <v>-7.3757083335550247E-3</v>
      </c>
      <c r="D21">
        <f>D19/D20</f>
        <v>3.7165559774089288E-3</v>
      </c>
      <c r="E21">
        <f>E19/E20</f>
        <v>-5.420999347707723E-3</v>
      </c>
      <c r="F21">
        <f>F19/F20</f>
        <v>1.4332884552438204E-5</v>
      </c>
      <c r="I21" t="s">
        <v>81</v>
      </c>
      <c r="J21">
        <f>J19/J20</f>
        <v>-4.916739681119258E-3</v>
      </c>
      <c r="K21">
        <f>K19/K20</f>
        <v>-3.3718339567868946E-2</v>
      </c>
      <c r="L21">
        <f>L19/L20</f>
        <v>1.4339777051073128E-2</v>
      </c>
      <c r="M21">
        <f>M19/M20</f>
        <v>-2.2581956216841521E-2</v>
      </c>
      <c r="N21">
        <f>N19/N20</f>
        <v>4.3260823595512403E-5</v>
      </c>
      <c r="Q21" t="s">
        <v>81</v>
      </c>
      <c r="R21">
        <f>R19/R20</f>
        <v>3.8670479311014943E-3</v>
      </c>
      <c r="S21">
        <f>S19/S20</f>
        <v>2.2789184641550338E-2</v>
      </c>
      <c r="T21">
        <f>T19/T20</f>
        <v>1.3067915032888525E-2</v>
      </c>
      <c r="U21">
        <f>U19/U20</f>
        <v>4.1601955890237675E-3</v>
      </c>
      <c r="V21">
        <f>V19/V20</f>
        <v>-4.869869854092999E-6</v>
      </c>
      <c r="Y21" t="s">
        <v>81</v>
      </c>
      <c r="Z21">
        <f>Z19/Z20</f>
        <v>8.1892176955882263E-3</v>
      </c>
      <c r="AA21">
        <f>AA19/AA20</f>
        <v>2.2314563452910947E-2</v>
      </c>
      <c r="AB21">
        <f>AB19/AB20</f>
        <v>-3.899544688504588E-2</v>
      </c>
      <c r="AC21">
        <f>AC19/AC20</f>
        <v>3.0628370799685022E-2</v>
      </c>
      <c r="AD21">
        <f>AD19/AD20</f>
        <v>2.8750026468181102E-5</v>
      </c>
      <c r="AG21" t="s">
        <v>81</v>
      </c>
      <c r="AH21">
        <f>AH19/AH20</f>
        <v>3.6941791107964268E-3</v>
      </c>
      <c r="AI21">
        <f>AI19/AI20</f>
        <v>1.9889358921475957E-2</v>
      </c>
      <c r="AJ21">
        <f>AJ19/AJ20</f>
        <v>8.3588046904835317E-2</v>
      </c>
      <c r="AK21">
        <f>AK19/AK20</f>
        <v>-2.8882466639118014E-2</v>
      </c>
      <c r="AL21">
        <f>AL19/AL20</f>
        <v>-2.2279438118599662E-5</v>
      </c>
      <c r="AO21" t="s">
        <v>81</v>
      </c>
      <c r="AP21">
        <f>AP19/AP20</f>
        <v>5.3472168210915213E-3</v>
      </c>
      <c r="AQ21">
        <f>AQ19/AQ20</f>
        <v>7.3749006444423976E-2</v>
      </c>
      <c r="AR21">
        <f>AR19/AR20</f>
        <v>5.4908898377200768E-2</v>
      </c>
      <c r="AS21">
        <f>AS19/AS20</f>
        <v>-2.7498481297654424E-3</v>
      </c>
      <c r="AT21">
        <f>AT19/AT20</f>
        <v>6.3158228455282382E-5</v>
      </c>
      <c r="AW21" t="s">
        <v>81</v>
      </c>
      <c r="AX21">
        <f>AX19/AX20</f>
        <v>0</v>
      </c>
      <c r="AY21">
        <f>AY19/AY20</f>
        <v>0</v>
      </c>
      <c r="AZ21">
        <f>AZ19/AZ20</f>
        <v>0</v>
      </c>
      <c r="BA21">
        <f>BA19/BA20</f>
        <v>0</v>
      </c>
      <c r="BB21">
        <f>BB19/BB20</f>
        <v>0</v>
      </c>
      <c r="BE21" t="s">
        <v>81</v>
      </c>
      <c r="BF21">
        <f>BF19/BF20</f>
        <v>0</v>
      </c>
      <c r="BG21">
        <f>BG19/BG20</f>
        <v>0</v>
      </c>
      <c r="BH21">
        <f>BH19/BH20</f>
        <v>0</v>
      </c>
      <c r="BI21">
        <f>BI19/BI20</f>
        <v>0</v>
      </c>
      <c r="BJ21">
        <f>BJ19/BJ20</f>
        <v>0</v>
      </c>
      <c r="BM21" t="s">
        <v>81</v>
      </c>
      <c r="BN21">
        <f>BN19/BN20</f>
        <v>4.6884262707099474E-3</v>
      </c>
      <c r="BO21">
        <f>BO19/BO20</f>
        <v>1.1932457743932758E-2</v>
      </c>
      <c r="BP21">
        <f>BP19/BP20</f>
        <v>3.1055421443354048E-2</v>
      </c>
      <c r="BQ21">
        <f>BQ19/BQ20</f>
        <v>-5.2987391471457689E-3</v>
      </c>
      <c r="BR21">
        <f>BR19/BR20</f>
        <v>-4.0539529249814349E-5</v>
      </c>
      <c r="BU21" t="s">
        <v>81</v>
      </c>
      <c r="BV21">
        <f>BV19/BV20</f>
        <v>-8.0980474733503716E-3</v>
      </c>
      <c r="BW21">
        <f>BW19/BW20</f>
        <v>3.4232028591459632E-4</v>
      </c>
      <c r="BX21">
        <f>BX19/BX20</f>
        <v>6.1262006425044514E-2</v>
      </c>
      <c r="BY21">
        <f>BY19/BY20</f>
        <v>-3.3538474481229839E-2</v>
      </c>
      <c r="BZ21">
        <f>BZ19/BZ20</f>
        <v>5.2667187213651105E-5</v>
      </c>
      <c r="CC21" t="s">
        <v>81</v>
      </c>
      <c r="CD21">
        <f>CD19/CD20</f>
        <v>2.6028508305596166E-3</v>
      </c>
      <c r="CE21">
        <f>CE19/CE20</f>
        <v>-3.1620595909907421E-3</v>
      </c>
      <c r="CF21">
        <f>CF19/CF20</f>
        <v>-7.6526372747854248E-3</v>
      </c>
      <c r="CG21">
        <f>CG19/CG20</f>
        <v>5.2433487229441829E-3</v>
      </c>
      <c r="CH21">
        <f>CH19/CH20</f>
        <v>-1.9567454141845265E-5</v>
      </c>
      <c r="CK21" t="s">
        <v>81</v>
      </c>
      <c r="CL21">
        <f>CL19/CL20</f>
        <v>0</v>
      </c>
      <c r="CM21">
        <f>CM19/CM20</f>
        <v>0</v>
      </c>
      <c r="CN21">
        <f>CN19/CN20</f>
        <v>0</v>
      </c>
      <c r="CO21">
        <f>CO19/CO20</f>
        <v>0</v>
      </c>
      <c r="CP21">
        <f>CP19/CP20</f>
        <v>0</v>
      </c>
      <c r="CS21" t="s">
        <v>81</v>
      </c>
      <c r="CT21">
        <f>CT19/CT20</f>
        <v>-3.6469855318858268E-3</v>
      </c>
      <c r="CU21">
        <f>CU19/CU20</f>
        <v>-1.5014614812180756E-2</v>
      </c>
      <c r="CV21">
        <f>CV19/CV20</f>
        <v>7.8167974165897283E-2</v>
      </c>
      <c r="CW21">
        <f>CW19/CW20</f>
        <v>-4.081106804364433E-2</v>
      </c>
      <c r="CX21">
        <f>CX19/CX20</f>
        <v>-2.8377653339627444E-5</v>
      </c>
      <c r="DA21" t="s">
        <v>81</v>
      </c>
      <c r="DB21">
        <f>DB19/DB20</f>
        <v>-2.0998516582179274E-3</v>
      </c>
      <c r="DC21">
        <f>DC19/DC20</f>
        <v>2.5108640201086083E-2</v>
      </c>
      <c r="DD21">
        <f>DD19/DD20</f>
        <v>6.7530829608443713E-2</v>
      </c>
      <c r="DE21">
        <f>DE19/DE20</f>
        <v>-1.951803736193182E-2</v>
      </c>
      <c r="DF21">
        <f>DF19/DF20</f>
        <v>-3.5464685225102331E-5</v>
      </c>
      <c r="DI21" t="s">
        <v>81</v>
      </c>
      <c r="DJ21">
        <f>DJ19/DJ20</f>
        <v>0</v>
      </c>
      <c r="DK21">
        <f>DK19/DK20</f>
        <v>0</v>
      </c>
      <c r="DL21">
        <f>DL19/DL20</f>
        <v>0</v>
      </c>
      <c r="DM21">
        <f>DM19/DM20</f>
        <v>0</v>
      </c>
      <c r="DN21">
        <f>DN19/DN20</f>
        <v>0</v>
      </c>
      <c r="DQ21" t="s">
        <v>81</v>
      </c>
      <c r="DR21">
        <f>DR19/DR20</f>
        <v>0</v>
      </c>
      <c r="DS21">
        <f>DS19/DS20</f>
        <v>0</v>
      </c>
      <c r="DT21">
        <f>DT19/DT20</f>
        <v>0</v>
      </c>
      <c r="DU21">
        <f>DU19/DU20</f>
        <v>0</v>
      </c>
      <c r="DV21">
        <f>DV19/DV20</f>
        <v>0</v>
      </c>
      <c r="DY21" t="s">
        <v>81</v>
      </c>
      <c r="DZ21">
        <f>DZ19/DZ20</f>
        <v>6.1173779976096323E-3</v>
      </c>
      <c r="EA21">
        <f>EA19/EA20</f>
        <v>4.2367562018560116E-2</v>
      </c>
      <c r="EB21">
        <f>EB19/EB20</f>
        <v>6.3863877643689879E-2</v>
      </c>
      <c r="EC21">
        <f>EC19/EC20</f>
        <v>-7.3189772484447716E-3</v>
      </c>
      <c r="ED21">
        <f>ED19/ED20</f>
        <v>-7.6161789326432142E-5</v>
      </c>
      <c r="EG21" t="s">
        <v>81</v>
      </c>
      <c r="EH21">
        <f>EH19/EH20</f>
        <v>-4.2058647619086413E-3</v>
      </c>
      <c r="EI21">
        <f>EI19/EI20</f>
        <v>4.3711370805333195E-2</v>
      </c>
      <c r="EJ21">
        <f>EJ19/EJ20</f>
        <v>2.3461659253354448E-2</v>
      </c>
      <c r="EK21">
        <f>EK19/EK20</f>
        <v>-2.0909257327454624E-3</v>
      </c>
      <c r="EL21">
        <f>EL19/EL20</f>
        <v>5.3124864405729112E-5</v>
      </c>
      <c r="EO21" t="s">
        <v>81</v>
      </c>
      <c r="EP21">
        <f>EP19/EP20</f>
        <v>2.1161943930168045E-3</v>
      </c>
      <c r="EQ21">
        <f>EQ19/EQ20</f>
        <v>1.5255323466393876E-2</v>
      </c>
      <c r="ER21">
        <f>ER19/ER20</f>
        <v>2.4420152368821623E-2</v>
      </c>
      <c r="ES21">
        <f>ES19/ES20</f>
        <v>-4.4458193499588199E-3</v>
      </c>
      <c r="ET21">
        <f>ET19/ET20</f>
        <v>-6.7143270216086718E-6</v>
      </c>
      <c r="EW21" t="s">
        <v>81</v>
      </c>
      <c r="EX21">
        <f>EX19/EX20</f>
        <v>5.9124140154176753E-3</v>
      </c>
      <c r="EY21">
        <f>EY19/EY20</f>
        <v>3.1650658041672705E-2</v>
      </c>
      <c r="EZ21">
        <f>EZ19/EZ20</f>
        <v>2.7846892915459831E-2</v>
      </c>
      <c r="FA21">
        <f>FA19/FA20</f>
        <v>2.1939199543659256E-3</v>
      </c>
      <c r="FB21">
        <f>FB19/FB20</f>
        <v>9.3867620688255443E-6</v>
      </c>
      <c r="FE21" t="s">
        <v>81</v>
      </c>
      <c r="FF21">
        <f>FF19/FF20</f>
        <v>0</v>
      </c>
      <c r="FG21">
        <f>FG19/FG20</f>
        <v>0</v>
      </c>
      <c r="FH21">
        <f>FH19/FH20</f>
        <v>0</v>
      </c>
      <c r="FI21">
        <f>FI19/FI20</f>
        <v>0</v>
      </c>
      <c r="FJ21">
        <f>FJ19/FJ20</f>
        <v>0</v>
      </c>
      <c r="FM21" t="s">
        <v>81</v>
      </c>
      <c r="FN21">
        <f>FN19/FN20</f>
        <v>0</v>
      </c>
      <c r="FO21">
        <f>FO19/FO20</f>
        <v>0</v>
      </c>
      <c r="FP21">
        <f>FP19/FP20</f>
        <v>0</v>
      </c>
      <c r="FQ21">
        <f>FQ19/FQ20</f>
        <v>0</v>
      </c>
      <c r="FR21">
        <f>FR19/FR20</f>
        <v>0</v>
      </c>
      <c r="FU21" t="s">
        <v>81</v>
      </c>
      <c r="FV21">
        <f>FV19/FV20</f>
        <v>0</v>
      </c>
      <c r="FW21">
        <f>FW19/FW20</f>
        <v>0</v>
      </c>
      <c r="FX21">
        <f>FX19/FX20</f>
        <v>0</v>
      </c>
      <c r="FY21">
        <f>FY19/FY20</f>
        <v>0</v>
      </c>
      <c r="FZ21">
        <f>FZ19/FZ20</f>
        <v>0</v>
      </c>
      <c r="GC21" t="s">
        <v>81</v>
      </c>
      <c r="GD21">
        <f>GD19/GD20</f>
        <v>0</v>
      </c>
      <c r="GE21">
        <f>GE19/GE20</f>
        <v>0</v>
      </c>
      <c r="GF21">
        <f>GF19/GF20</f>
        <v>0</v>
      </c>
      <c r="GG21">
        <f>GG19/GG20</f>
        <v>0</v>
      </c>
      <c r="GH21">
        <f>GH19/GH20</f>
        <v>0</v>
      </c>
      <c r="GK21" t="s">
        <v>81</v>
      </c>
      <c r="GL21">
        <f>GL19/GL20</f>
        <v>2.9373819263947588E-3</v>
      </c>
      <c r="GM21">
        <f>GM19/GM20</f>
        <v>4.1966003245216231E-3</v>
      </c>
      <c r="GN21">
        <f>GN19/GN20</f>
        <v>2.0500493516797037E-2</v>
      </c>
      <c r="GO21">
        <f>GO19/GO20</f>
        <v>-4.9729278697962197E-3</v>
      </c>
      <c r="GP21">
        <f>GP19/GP20</f>
        <v>-2.6785230330091126E-5</v>
      </c>
      <c r="GS21" t="s">
        <v>81</v>
      </c>
      <c r="GT21">
        <f>GT19/GT20</f>
        <v>9.5428881137154704E-3</v>
      </c>
      <c r="GU21">
        <f>GU19/GU20</f>
        <v>1.3633803284152788E-2</v>
      </c>
      <c r="GV21">
        <f>GV19/GV20</f>
        <v>6.6601456946682402E-2</v>
      </c>
      <c r="GW21">
        <f>GW19/GW20</f>
        <v>-1.6155915522122352E-2</v>
      </c>
      <c r="GX21">
        <f>GX19/GX20</f>
        <v>-8.7019142401370563E-5</v>
      </c>
      <c r="HA21" t="s">
        <v>81</v>
      </c>
      <c r="HB21">
        <f>HB19/HB20</f>
        <v>1.553219384869408E-3</v>
      </c>
      <c r="HC21">
        <f>HC19/HC20</f>
        <v>1.6859709604502705E-2</v>
      </c>
      <c r="HD21">
        <f>HD19/HD20</f>
        <v>-1.2974903067431031E-2</v>
      </c>
      <c r="HE21">
        <f>HE19/HE20</f>
        <v>1.1163196294489777E-2</v>
      </c>
      <c r="HF21">
        <f>HF19/HF20</f>
        <v>2.4321182516598399E-5</v>
      </c>
      <c r="HI21" t="s">
        <v>81</v>
      </c>
      <c r="HJ21">
        <f>HJ19/HJ20</f>
        <v>8.0146452703530211E-4</v>
      </c>
      <c r="HK21">
        <f>HK19/HK20</f>
        <v>1.9458519363566865E-2</v>
      </c>
      <c r="HL21">
        <f>HL19/HL20</f>
        <v>-3.9149232731746766E-2</v>
      </c>
      <c r="HM21">
        <f>HM19/HM20</f>
        <v>2.0511955230360385E-2</v>
      </c>
      <c r="HN21">
        <f>HN19/HN20</f>
        <v>6.9565508971617377E-5</v>
      </c>
      <c r="HQ21" t="s">
        <v>81</v>
      </c>
      <c r="HR21">
        <f>HR19/HR20</f>
        <v>-1.2977877096938084E-3</v>
      </c>
      <c r="HS21">
        <f>HS19/HS20</f>
        <v>3.8220773282679659E-3</v>
      </c>
      <c r="HT21">
        <f>HT19/HT20</f>
        <v>-3.2098534390535526E-2</v>
      </c>
      <c r="HU21">
        <f>HU19/HU20</f>
        <v>1.1715423438945724E-2</v>
      </c>
      <c r="HV21">
        <f>HV19/HV20</f>
        <v>6.9281642463998712E-5</v>
      </c>
      <c r="HY21" t="s">
        <v>81</v>
      </c>
      <c r="HZ21">
        <f>HZ19/HZ20</f>
        <v>-2.2655756705867026E-3</v>
      </c>
      <c r="IA21">
        <f>IA19/IA20</f>
        <v>-8.1761639840107758E-3</v>
      </c>
      <c r="IB21">
        <f>IB19/IB20</f>
        <v>9.5797349944233365E-3</v>
      </c>
      <c r="IC21">
        <f>IC19/IC20</f>
        <v>-1.0925023214852985E-2</v>
      </c>
      <c r="ID21">
        <f>ID19/ID20</f>
        <v>6.8426747621011132E-5</v>
      </c>
      <c r="IG21" t="s">
        <v>81</v>
      </c>
      <c r="IH21">
        <f>IH19/IH20</f>
        <v>-1.3444790509489065E-3</v>
      </c>
      <c r="II21">
        <f>II19/II20</f>
        <v>1.7934651964245734E-3</v>
      </c>
      <c r="IJ21">
        <f>IJ19/IJ20</f>
        <v>-1.3021161201138533E-2</v>
      </c>
      <c r="IK21">
        <f>IK19/IK20</f>
        <v>3.4396298323331729E-3</v>
      </c>
      <c r="IL21">
        <f>IL19/IL20</f>
        <v>5.1346237932583987E-5</v>
      </c>
      <c r="IO21" t="s">
        <v>81</v>
      </c>
      <c r="IP21">
        <f>IP19/IP20</f>
        <v>-2.6574319194376046E-3</v>
      </c>
      <c r="IQ21">
        <f>IQ19/IQ20</f>
        <v>5.3164521035507003E-4</v>
      </c>
      <c r="IR21">
        <f>IR19/IR20</f>
        <v>-2.6728721527801171E-2</v>
      </c>
      <c r="IS21">
        <f>IS19/IS20</f>
        <v>5.4559901216575633E-3</v>
      </c>
      <c r="IT21">
        <f>IT19/IT20</f>
        <v>1.2080159415915303E-4</v>
      </c>
      <c r="IW21" t="s">
        <v>81</v>
      </c>
      <c r="IX21">
        <f>IX19/IX20</f>
        <v>0</v>
      </c>
      <c r="IY21">
        <f>IY19/IY20</f>
        <v>0</v>
      </c>
      <c r="IZ21">
        <f>IZ19/IZ20</f>
        <v>0</v>
      </c>
      <c r="JA21">
        <f>JA19/JA20</f>
        <v>0</v>
      </c>
      <c r="JB21">
        <f>JB19/JB20</f>
        <v>0</v>
      </c>
      <c r="JE21" t="s">
        <v>81</v>
      </c>
      <c r="JF21">
        <f>JF19/JF20</f>
        <v>0</v>
      </c>
      <c r="JG21">
        <f>JG19/JG20</f>
        <v>0</v>
      </c>
      <c r="JH21">
        <f>JH19/JH20</f>
        <v>0</v>
      </c>
      <c r="JI21">
        <f>JI19/JI20</f>
        <v>0</v>
      </c>
      <c r="JJ21">
        <f>JJ19/JJ20</f>
        <v>0</v>
      </c>
      <c r="JM21" t="s">
        <v>81</v>
      </c>
      <c r="JN21">
        <f>JN19/JN20</f>
        <v>0</v>
      </c>
      <c r="JO21">
        <f>JO19/JO20</f>
        <v>0</v>
      </c>
      <c r="JP21">
        <f>JP19/JP20</f>
        <v>0</v>
      </c>
      <c r="JQ21">
        <f>JQ19/JQ20</f>
        <v>0</v>
      </c>
      <c r="JR21">
        <f>JR19/JR20</f>
        <v>0</v>
      </c>
      <c r="JU21" t="s">
        <v>81</v>
      </c>
      <c r="JV21">
        <f>JV19/JV20</f>
        <v>0</v>
      </c>
      <c r="JW21">
        <f>JW19/JW20</f>
        <v>0</v>
      </c>
      <c r="JX21">
        <f>JX19/JX20</f>
        <v>0</v>
      </c>
      <c r="JY21">
        <f>JY19/JY20</f>
        <v>0</v>
      </c>
      <c r="JZ21">
        <f>JZ19/JZ20</f>
        <v>0</v>
      </c>
      <c r="KC21" t="s">
        <v>81</v>
      </c>
      <c r="KD21">
        <f>KD19/KD20</f>
        <v>2.4595432172153896E-3</v>
      </c>
      <c r="KE21">
        <f>KE19/KE20</f>
        <v>8.9880768135923005E-3</v>
      </c>
      <c r="KF21">
        <f>KF19/KF20</f>
        <v>1.8037481091663744E-2</v>
      </c>
      <c r="KG21">
        <f>KG19/KG20</f>
        <v>-3.4801740041638086E-3</v>
      </c>
      <c r="KH21">
        <f>KH19/KH20</f>
        <v>-6.802820000316194E-6</v>
      </c>
      <c r="KK21" t="s">
        <v>81</v>
      </c>
      <c r="KL21">
        <f>KL19/KL20</f>
        <v>-3.6361659855658288E-3</v>
      </c>
      <c r="KM21">
        <f>KM19/KM20</f>
        <v>9.9151413403963176E-3</v>
      </c>
      <c r="KN21">
        <f>KN19/KN20</f>
        <v>2.6593052103199986E-2</v>
      </c>
      <c r="KO21">
        <f>KO19/KO20</f>
        <v>-1.3264828153128868E-2</v>
      </c>
      <c r="KP21">
        <f>KP19/KP20</f>
        <v>5.6750851325583688E-5</v>
      </c>
      <c r="KS21" t="s">
        <v>81</v>
      </c>
      <c r="KT21">
        <f>KT19/KT20</f>
        <v>-2.3418144412139373E-2</v>
      </c>
      <c r="KU21">
        <f>KU19/KU20</f>
        <v>-3.726097840566301E-2</v>
      </c>
      <c r="KV21">
        <f>KV19/KV20</f>
        <v>4.1307997642970225E-2</v>
      </c>
      <c r="KW21">
        <f>KW19/KW20</f>
        <v>-4.8504468702834563E-2</v>
      </c>
      <c r="KX21">
        <f>KX19/KX20</f>
        <v>1.0019765166510353E-4</v>
      </c>
      <c r="LA21" t="s">
        <v>81</v>
      </c>
      <c r="LB21">
        <f>LB19/LB20</f>
        <v>-2.5737502480152424E-2</v>
      </c>
      <c r="LC21">
        <f>LC19/LC20</f>
        <v>-3.6357327881695801E-2</v>
      </c>
      <c r="LD21">
        <f>LD19/LD20</f>
        <v>4.313790373772286E-2</v>
      </c>
      <c r="LE21">
        <f>LE19/LE20</f>
        <v>-5.0633202337183554E-2</v>
      </c>
      <c r="LF21">
        <f>LF19/LF20</f>
        <v>1.0784737444500118E-4</v>
      </c>
      <c r="LI21" t="s">
        <v>81</v>
      </c>
      <c r="LJ21">
        <f>LJ19/LJ20</f>
        <v>5.9838903852870952E-3</v>
      </c>
      <c r="LK21">
        <f>LK19/LK20</f>
        <v>2.3677818503318699E-2</v>
      </c>
      <c r="LL21">
        <f>LL19/LL20</f>
        <v>5.2930507947092489E-2</v>
      </c>
      <c r="LM21">
        <f>LM19/LM20</f>
        <v>-1.214115842654106E-2</v>
      </c>
      <c r="LN21">
        <f>LN19/LN20</f>
        <v>-3.1266291730183917E-5</v>
      </c>
      <c r="LQ21" t="s">
        <v>81</v>
      </c>
      <c r="LR21">
        <f>LR19/LR20</f>
        <v>2.6137083325297977E-3</v>
      </c>
      <c r="LS21">
        <f>LS19/LS20</f>
        <v>4.716660525980141E-2</v>
      </c>
      <c r="LT21">
        <f>LT19/LT20</f>
        <v>0.11009694460798784</v>
      </c>
      <c r="LU21">
        <f>LU19/LU20</f>
        <v>-3.4691093989727674E-2</v>
      </c>
      <c r="LV21">
        <f>LV19/LV20</f>
        <v>-9.0069257420902053E-6</v>
      </c>
      <c r="LY21" t="s">
        <v>81</v>
      </c>
      <c r="LZ21">
        <f>LZ19/LZ20</f>
        <v>-1.8277462683806262E-3</v>
      </c>
      <c r="MA21">
        <f>MA19/MA20</f>
        <v>-1.0443782690261812E-2</v>
      </c>
      <c r="MB21">
        <f>MB19/MB20</f>
        <v>4.188860439544044E-2</v>
      </c>
      <c r="MC21">
        <f>MC19/MC20</f>
        <v>-2.318804047270516E-2</v>
      </c>
      <c r="MD21">
        <f>MD19/MD20</f>
        <v>-1.5617651388527789E-5</v>
      </c>
      <c r="MG21" t="s">
        <v>81</v>
      </c>
      <c r="MH21">
        <f>MH19/MH20</f>
        <v>2.871947911296158E-2</v>
      </c>
      <c r="MI21">
        <f>MI19/MI20</f>
        <v>-1.3734200732500791E-2</v>
      </c>
      <c r="MJ21">
        <f>MJ19/MJ20</f>
        <v>9.393050354364843E-2</v>
      </c>
      <c r="MK21">
        <f>MK19/MK20</f>
        <v>-1.7970635017275371E-2</v>
      </c>
      <c r="ML21">
        <f>ML19/ML20</f>
        <v>-2.4079380406977872E-4</v>
      </c>
      <c r="MO21" t="s">
        <v>81</v>
      </c>
      <c r="MP21">
        <f>MP19/MP20</f>
        <v>1.3686032830638305E-2</v>
      </c>
      <c r="MQ21">
        <f>MQ19/MQ20</f>
        <v>5.8393408936279069E-2</v>
      </c>
      <c r="MR21">
        <f>MR19/MR20</f>
        <v>3.318724809170355E-2</v>
      </c>
      <c r="MS21">
        <f>MS19/MS20</f>
        <v>1.5920857217328589E-2</v>
      </c>
      <c r="MT21">
        <f>MT19/MT20</f>
        <v>-6.8233663225866041E-5</v>
      </c>
      <c r="MW21" t="s">
        <v>81</v>
      </c>
      <c r="MX21">
        <f>MX19/MX20</f>
        <v>0</v>
      </c>
      <c r="MY21">
        <f>MY19/MY20</f>
        <v>0</v>
      </c>
      <c r="MZ21">
        <f>MZ19/MZ20</f>
        <v>0</v>
      </c>
      <c r="NA21">
        <f>NA19/NA20</f>
        <v>0</v>
      </c>
      <c r="NB21">
        <f>NB19/NB20</f>
        <v>0</v>
      </c>
      <c r="NE21" t="s">
        <v>81</v>
      </c>
      <c r="NF21">
        <f>NF19/NF20</f>
        <v>3.5926509147508884E-4</v>
      </c>
      <c r="NG21">
        <f>NG19/NG20</f>
        <v>5.3095180494720535E-4</v>
      </c>
      <c r="NH21">
        <f>NH19/NH20</f>
        <v>1.2028678756526948E-2</v>
      </c>
      <c r="NI21">
        <f>NI19/NI20</f>
        <v>-4.634755567059546E-3</v>
      </c>
      <c r="NJ21">
        <f>NJ19/NJ20</f>
        <v>-8.6976598663569529E-6</v>
      </c>
      <c r="NM21" t="s">
        <v>81</v>
      </c>
      <c r="NN21">
        <f>NN19/NN20</f>
        <v>2.8005826670896686E-2</v>
      </c>
      <c r="NO21">
        <f>NO19/NO20</f>
        <v>-6.5020352834138234E-3</v>
      </c>
      <c r="NP21">
        <f>NP19/NP20</f>
        <v>2.0925449027376961E-2</v>
      </c>
      <c r="NQ21">
        <f>NQ19/NQ20</f>
        <v>1.7820095901826281E-2</v>
      </c>
      <c r="NR21">
        <f>NR19/NR20</f>
        <v>-2.2720720013598482E-4</v>
      </c>
      <c r="NU21" t="s">
        <v>81</v>
      </c>
      <c r="NV21">
        <f>NV19/NV20</f>
        <v>6.7837465542562115E-3</v>
      </c>
      <c r="NW21">
        <f>NW19/NW20</f>
        <v>1.1887486925278504E-2</v>
      </c>
      <c r="NX21">
        <f>NX19/NX20</f>
        <v>5.2876333509232279E-2</v>
      </c>
      <c r="NY21">
        <f>NY19/NY20</f>
        <v>-1.3911994932309399E-2</v>
      </c>
      <c r="NZ21">
        <f>NZ19/NZ20</f>
        <v>-4.9633124744972331E-5</v>
      </c>
      <c r="OC21" t="s">
        <v>81</v>
      </c>
      <c r="OD21">
        <f>OD19/OD20</f>
        <v>2.9264240781464402E-3</v>
      </c>
      <c r="OE21">
        <f>OE19/OE20</f>
        <v>2.1635351924771382E-2</v>
      </c>
      <c r="OF21">
        <f>OF19/OF20</f>
        <v>5.6732775830751633E-2</v>
      </c>
      <c r="OG21">
        <f>OG19/OG20</f>
        <v>-1.8358892086474229E-2</v>
      </c>
      <c r="OH21">
        <f>OH19/OH20</f>
        <v>2.4436069086134377E-5</v>
      </c>
      <c r="OK21" t="s">
        <v>81</v>
      </c>
      <c r="OL21">
        <f>OL19/OL20</f>
        <v>9.6980828098898453E-4</v>
      </c>
      <c r="OM21">
        <f>OM19/OM20</f>
        <v>1.5103777274375825E-2</v>
      </c>
      <c r="ON21">
        <f>ON19/ON20</f>
        <v>-1.845551349037208E-2</v>
      </c>
      <c r="OO21">
        <f>OO19/OO20</f>
        <v>1.2537297742883043E-2</v>
      </c>
      <c r="OP21">
        <f>OP19/OP20</f>
        <v>3.4632014448559641E-5</v>
      </c>
      <c r="OS21" t="s">
        <v>81</v>
      </c>
      <c r="OT21">
        <f>OT19/OT20</f>
        <v>5.1818837526218368E-4</v>
      </c>
      <c r="OU21">
        <f>OU19/OU20</f>
        <v>3.0507139426341236E-2</v>
      </c>
      <c r="OV21">
        <f>OV19/OV20</f>
        <v>-5.6640039958489832E-2</v>
      </c>
      <c r="OW21">
        <f>OW19/OW20</f>
        <v>3.0539492198449932E-2</v>
      </c>
      <c r="OX21">
        <f>OX19/OX20</f>
        <v>1.2984245674635579E-4</v>
      </c>
      <c r="PA21" t="s">
        <v>81</v>
      </c>
      <c r="PB21">
        <f>PB19/PB20</f>
        <v>-5.1636674605513508E-4</v>
      </c>
      <c r="PC21">
        <f>PC19/PC20</f>
        <v>-7.2943033645196621E-4</v>
      </c>
      <c r="PD21">
        <f>PD19/PD20</f>
        <v>8.6546777418924144E-4</v>
      </c>
      <c r="PE21">
        <f>PE19/PE20</f>
        <v>-1.0158445619719624E-3</v>
      </c>
      <c r="PF21">
        <f>PF19/PF20</f>
        <v>2.1637219017540506E-6</v>
      </c>
      <c r="PI21" t="s">
        <v>81</v>
      </c>
      <c r="PJ21">
        <f>PJ19/PJ20</f>
        <v>-2.5737502480152424E-2</v>
      </c>
      <c r="PK21">
        <f>PK19/PK20</f>
        <v>-3.6357327881695801E-2</v>
      </c>
      <c r="PL21">
        <f>PL19/PL20</f>
        <v>4.313790373772286E-2</v>
      </c>
      <c r="PM21">
        <f>PM19/PM20</f>
        <v>-5.0633202337183554E-2</v>
      </c>
      <c r="PN21">
        <f>PN19/PN20</f>
        <v>1.0784737444500118E-4</v>
      </c>
      <c r="PQ21" t="s">
        <v>81</v>
      </c>
      <c r="PR21">
        <f>PR19/PR20</f>
        <v>1.0693568995268632E-2</v>
      </c>
      <c r="PS21">
        <f>PS19/PS20</f>
        <v>3.5349272764355323E-2</v>
      </c>
      <c r="PT21">
        <f>PT19/PT20</f>
        <v>1.4017974957339233E-2</v>
      </c>
      <c r="PU21">
        <f>PU19/PU20</f>
        <v>1.1867182040302689E-2</v>
      </c>
      <c r="PV21">
        <f>PV19/PV20</f>
        <v>-2.9202740598121955E-5</v>
      </c>
      <c r="PY21" t="s">
        <v>81</v>
      </c>
      <c r="PZ21">
        <f>PZ19/PZ20</f>
        <v>6.7131253438246852E-3</v>
      </c>
      <c r="QA21">
        <f>QA19/QA20</f>
        <v>2.2672015973958567E-2</v>
      </c>
      <c r="QB21">
        <f>QB19/QB20</f>
        <v>4.0995502496012026E-2</v>
      </c>
      <c r="QC21">
        <f>QC19/QC20</f>
        <v>-7.7637586851996582E-3</v>
      </c>
      <c r="QD21">
        <f>QD19/QD20</f>
        <v>1.0139106358771766E-5</v>
      </c>
    </row>
    <row r="22" spans="1:487" x14ac:dyDescent="0.45">
      <c r="A22" t="s">
        <v>77</v>
      </c>
      <c r="B22">
        <f>G18 - (B21*B18) - (C21*C18) - (D21*D18) - (E21*E18) - (F21*F18)</f>
        <v>5.3000321554141437E-2</v>
      </c>
      <c r="I22" t="s">
        <v>77</v>
      </c>
      <c r="J22">
        <f>O18 - (J21*J18) - (K21*K18) - (L21*L18) - (M21*M18) - (N21*N18)</f>
        <v>0.25006279046846192</v>
      </c>
      <c r="Q22" t="s">
        <v>77</v>
      </c>
      <c r="R22">
        <f>W18 - (R21*R18) - (S21*S18) - (T21*T18) - (U21*U18) - (V21*V18)</f>
        <v>-0.20960749559216221</v>
      </c>
      <c r="Y22" t="s">
        <v>77</v>
      </c>
      <c r="Z22">
        <f>AE18 - (Z21*Z18) - (AA21*AA18) - (AB21*AB18) - (AC21*AC18) - (AD21*AD18)</f>
        <v>0.21904251215975884</v>
      </c>
      <c r="AG22" t="s">
        <v>77</v>
      </c>
      <c r="AH22">
        <f>AM18 - (AH21*AH18) - (AI21*AI18) - (AJ21*AJ18) - (AK21*AK18) - (AL21*AL18)</f>
        <v>-0.53834056323421065</v>
      </c>
      <c r="AO22" t="s">
        <v>77</v>
      </c>
      <c r="AP22">
        <f>AU18 - (AP21*AP18) - (AQ21*AQ18) - (AR21*AR18) - (AS21*AS18) - (AT21*AT18)</f>
        <v>-0.76773616693522506</v>
      </c>
      <c r="AW22" t="s">
        <v>77</v>
      </c>
      <c r="AX22">
        <f>BC18 - (AX21*AX18) - (AY21*AY18) - (AZ21*AZ18) - (BA21*BA18) - (BB21*BB18)</f>
        <v>0</v>
      </c>
      <c r="BE22" t="s">
        <v>77</v>
      </c>
      <c r="BF22">
        <f>BK18 - (BF21*BF18) - (BG21*BG18) - (BH21*BH18) - (BI21*BI18) - (BJ21*BJ18)</f>
        <v>0</v>
      </c>
      <c r="BM22" t="s">
        <v>77</v>
      </c>
      <c r="BN22">
        <f>BS18 - (BN21*BN18) - (BO21*BO18) - (BP21*BP18) - (BQ21*BQ18) - (BR21*BR18)</f>
        <v>-0.2712718439257602</v>
      </c>
      <c r="BU22" t="s">
        <v>77</v>
      </c>
      <c r="BV22">
        <f>CA18 - (BV21*BV18) - (BW21*BW18) - (BX21*BX18) - (BY21*BY18) - (BZ21*BZ18)</f>
        <v>-0.20917585498881561</v>
      </c>
      <c r="CC22" t="s">
        <v>77</v>
      </c>
      <c r="CD22">
        <f>CI18 - (CD21*CD18) - (CE21*CE18) - (CF21*CF18) - (CG21*CG18) - (CH21*CH18)</f>
        <v>8.4617074468811282E-2</v>
      </c>
      <c r="CK22" t="s">
        <v>77</v>
      </c>
      <c r="CL22">
        <f>CQ18 - (CL21*CL18) - (CM21*CM18) - (CN21*CN18) - (CO21*CO18) - (CP21*CP18)</f>
        <v>0</v>
      </c>
      <c r="CS22" t="s">
        <v>77</v>
      </c>
      <c r="CT22">
        <f>CY18 - (CT21*CT18) - (CU21*CU18) - (CV21*CV18) - (CW21*CW18) - (CX21*CX18)</f>
        <v>-0.22105562767372308</v>
      </c>
      <c r="DA22" t="s">
        <v>77</v>
      </c>
      <c r="DB22">
        <f>DG18 - (DB21*DB18) - (DC21*DC18) - (DD21*DD18) - (DE21*DE18) - (DF21*DF18)</f>
        <v>-0.47321537117968449</v>
      </c>
      <c r="DI22" t="s">
        <v>77</v>
      </c>
      <c r="DJ22">
        <f>DO18 - (DJ21*DJ18) - (DK21*DK18) - (DL21*DL18) - (DM21*DM18) - (DN21*DN18)</f>
        <v>0</v>
      </c>
      <c r="DQ22" t="s">
        <v>77</v>
      </c>
      <c r="DR22">
        <f>DW18 - (DR21*DR18) - (DS21*DS18) - (DT21*DT18) - (DU21*DU18) - (DV21*DV18)</f>
        <v>0</v>
      </c>
      <c r="DY22" t="s">
        <v>77</v>
      </c>
      <c r="DZ22">
        <f>EE18 - (DZ21*DZ18) - (EA21*EA18) - (EB21*EB18) - (EC21*EC18) - (ED21*ED18)</f>
        <v>-0.54416365922100773</v>
      </c>
      <c r="EG22" t="s">
        <v>77</v>
      </c>
      <c r="EH22">
        <f>EM18 - (EH21*EH18) - (EI21*EI18) - (EJ21*EJ18) - (EK21*EK18) - (EL21*EL18)</f>
        <v>-9.691892738051805E-2</v>
      </c>
      <c r="EO22" t="s">
        <v>77</v>
      </c>
      <c r="EP22">
        <f>EU18 - (EP21*EP18) - (EQ21*EQ18) - (ER21*ER18) - (ES21*ES18) - (ET21*ET18)</f>
        <v>-0.18449434009532303</v>
      </c>
      <c r="EW22" t="s">
        <v>77</v>
      </c>
      <c r="EX22">
        <f>FC18 - (EX21*EX18) - (EY21*EY18) - (EZ21*EZ18) - (FA21*FA18) - (FB21*FB18)</f>
        <v>-0.2241130396913969</v>
      </c>
      <c r="FE22" t="s">
        <v>77</v>
      </c>
      <c r="FF22">
        <f>FK18 - (FF21*FF18) - (FG21*FG18) - (FH21*FH18) - (FI21*FI18) - (FJ21*FJ18)</f>
        <v>0</v>
      </c>
      <c r="FM22" t="s">
        <v>77</v>
      </c>
      <c r="FN22">
        <f>FS18 - (FN21*FN18) - (FO21*FO18) - (FP21*FP18) - (FQ21*FQ18) - (FR21*FR18)</f>
        <v>0</v>
      </c>
      <c r="FU22" t="s">
        <v>77</v>
      </c>
      <c r="FV22">
        <f>GA18 - (FV21*FV18) - (FW21*FW18) - (FX21*FX18) - (FY21*FY18) - (FZ21*FZ18)</f>
        <v>0</v>
      </c>
      <c r="GC22" t="s">
        <v>77</v>
      </c>
      <c r="GD22">
        <f>GI18 - (GD21*GD18) - (GE21*GE18) - (GF21*GF18) - (GG21*GG18) - (GH21*GH18)</f>
        <v>0</v>
      </c>
      <c r="GK22" t="s">
        <v>77</v>
      </c>
      <c r="GL22">
        <f>GQ18 - (GL21*GL18) - (GM21*GM18) - (GN21*GN18) - (GO21*GO18) - (GP21*GP18)</f>
        <v>-0.15258303854611835</v>
      </c>
      <c r="GS22" t="s">
        <v>77</v>
      </c>
      <c r="GT22">
        <f>GY18 - (GT21*GT18) - (GU21*GU18) - (GV21*GV18) - (GW21*GW18) - (GX21*GX18)</f>
        <v>-0.49570770889963528</v>
      </c>
      <c r="HA22" t="s">
        <v>77</v>
      </c>
      <c r="HB22">
        <f>HG18 - (HB21*HB18) - (HC21*HC18) - (HD21*HD18) - (HE21*HE18) - (HF21*HF18)</f>
        <v>-6.6450845024740079E-2</v>
      </c>
      <c r="HI22" t="s">
        <v>77</v>
      </c>
      <c r="HJ22">
        <f>HO18 - (HJ21*HJ18) - (HK21*HK18) - (HL21*HL18) - (HM21*HM18) - (HN21*HN18)</f>
        <v>8.9663444381269719E-2</v>
      </c>
      <c r="HQ22" t="s">
        <v>77</v>
      </c>
      <c r="HR22">
        <f>HW18 - (HR21*HR18) - (HS21*HS18) - (HT21*HT18) - (HU21*HU18) - (HV21*HV18)</f>
        <v>0.16669372691528286</v>
      </c>
      <c r="HY22" t="s">
        <v>77</v>
      </c>
      <c r="HZ22">
        <f>IE18 - (HZ21*HZ18) - (IA21*IA18) - (IB21*IB18) - (IC21*IC18) - (ID21*ID18)</f>
        <v>4.690037570054767E-2</v>
      </c>
      <c r="IG22" t="s">
        <v>77</v>
      </c>
      <c r="IH22">
        <f>IM18 - (IH21*IH18) - (II21*II18) - (IJ21*IJ18) - (IK21*IK18) - (IL21*IL18)</f>
        <v>7.5214032201490463E-2</v>
      </c>
      <c r="IO22" t="s">
        <v>77</v>
      </c>
      <c r="IP22">
        <f>IU18 - (IP21*IP18) - (IQ21*IQ18) - (IR21*IR18) - (IS21*IS18) - (IT21*IT18)</f>
        <v>0.18668485949309654</v>
      </c>
      <c r="IW22" t="s">
        <v>77</v>
      </c>
      <c r="IX22">
        <f>JC18 - (IX21*IX18) - (IY21*IY18) - (IZ21*IZ18) - (JA21*JA18) - (JB21*JB18)</f>
        <v>0</v>
      </c>
      <c r="JE22" t="s">
        <v>77</v>
      </c>
      <c r="JF22">
        <f>JK18 - (JF21*JF18) - (JG21*JG18) - (JH21*JH18) - (JI21*JI18) - (JJ21*JJ18)</f>
        <v>0</v>
      </c>
      <c r="JM22" t="s">
        <v>77</v>
      </c>
      <c r="JN22">
        <f>JS18 - (JN21*JN18) - (JO21*JO18) - (JP21*JP18) - (JQ21*JQ18) - (JR21*JR18)</f>
        <v>0</v>
      </c>
      <c r="JU22" t="s">
        <v>77</v>
      </c>
      <c r="JV22">
        <f>KA18 - (JV21*JV18) - (JW21*JW18) - (JX21*JX18) - (JY21*JY18) - (JZ21*JZ18)</f>
        <v>0</v>
      </c>
      <c r="KC22" t="s">
        <v>77</v>
      </c>
      <c r="KD22">
        <f>KI18 - (KD21*KD18) - (KE21*KE18) - (KF21*KF18) - (KG21*KG18) - (KH21*KH18)</f>
        <v>-0.11499991608962336</v>
      </c>
      <c r="KK22" t="s">
        <v>77</v>
      </c>
      <c r="KL22">
        <f>KQ18 - (KL21*KL18) - (KM21*KM18) - (KN21*KN18) - (KO21*KO18) - (KP21*KP18)</f>
        <v>-0.11287579456970803</v>
      </c>
      <c r="KS22" t="s">
        <v>77</v>
      </c>
      <c r="KT22">
        <f>KY18 - (KT21*KT18) - (KU21*KU18) - (KV21*KV18) - (KW21*KW18) - (KX21*KX18)</f>
        <v>0.18670683225551535</v>
      </c>
      <c r="LA22" t="s">
        <v>77</v>
      </c>
      <c r="LB22">
        <f>LG18 - (LB21*LB18) - (LC21*LC18) - (LD21*LD18) - (LE21*LE18) - (LF21*LF18)</f>
        <v>0.17523766578207212</v>
      </c>
      <c r="LI22" t="s">
        <v>77</v>
      </c>
      <c r="LJ22">
        <f>LO18 - (LJ21*LJ18) - (LK21*LK18) - (LL21*LL18) - (LM21*LM18) - (LN21*LN18)</f>
        <v>-0.44850112902631029</v>
      </c>
      <c r="LQ22" t="s">
        <v>77</v>
      </c>
      <c r="LR22">
        <f>LW18 - (LR21*LR18) - (LS21*LS18) - (LT21*LT18) - (LU21*LU18) - (LV21*LV18)</f>
        <v>-0.85708098007722977</v>
      </c>
      <c r="LY22" t="s">
        <v>77</v>
      </c>
      <c r="LZ22">
        <f>ME18 - (LZ21*LZ18) - (MA21*MA18) - (MB21*MB18) - (MC21*MC18) - (MD21*MD18)</f>
        <v>-6.8721215061850208E-2</v>
      </c>
      <c r="MG22" t="s">
        <v>77</v>
      </c>
      <c r="MH22">
        <f>MM18 - (MH21*MH18) - (MI21*MI18) - (MJ21*MJ18) - (MK21*MK18) - (ML21*ML18)</f>
        <v>-0.23518945878291231</v>
      </c>
      <c r="MO22" t="s">
        <v>77</v>
      </c>
      <c r="MP22">
        <f>MU18 - (MP21*MP18) - (MQ21*MQ18) - (MR21*MR18) - (MS21*MS18) - (MT21*MT18)</f>
        <v>-0.72726012224645298</v>
      </c>
      <c r="MW22" t="s">
        <v>77</v>
      </c>
      <c r="MX22">
        <f>NC18 - (MX21*MX18) - (MY21*MY18) - (MZ21*MZ18) - (NA21*NA18) - (NB21*NB18)</f>
        <v>0</v>
      </c>
      <c r="NE22" t="s">
        <v>77</v>
      </c>
      <c r="NF22">
        <f>NK18 - (NF21*NF18) - (NG21*NG18) - (NH21*NH18) - (NI21*NI18) - (NJ21*NJ18)</f>
        <v>-6.8315178396033016E-2</v>
      </c>
      <c r="NM22" t="s">
        <v>77</v>
      </c>
      <c r="NN22">
        <f>NS18 - (NN21*NN18) - (NO21*NO18) - (NP21*NP18) - (NQ21*NQ18) - (NR21*NR18)</f>
        <v>3.1230637203709999E-2</v>
      </c>
      <c r="NU22" t="s">
        <v>77</v>
      </c>
      <c r="NV22">
        <f>OA18 - (NV21*NV18) - (NW21*NW18) - (NX21*NX18) - (NY21*NY18) - (NZ21*NZ18)</f>
        <v>-0.34786595664911268</v>
      </c>
      <c r="OC22" t="s">
        <v>77</v>
      </c>
      <c r="OD22">
        <f>OI18 - (OD21*OD18) - (OE21*OE18) - (OF21*OF18) - (OG21*OG18) - (OH21*OH18)</f>
        <v>-0.35082512995788806</v>
      </c>
      <c r="OK22" t="s">
        <v>77</v>
      </c>
      <c r="OL22">
        <f>OQ18 - (OL21*OL18) - (OM21*OM18) - (ON21*ON18) - (OO21*OO18) - (OP21*OP18)</f>
        <v>-2.7635406646905225E-2</v>
      </c>
      <c r="OS22" t="s">
        <v>77</v>
      </c>
      <c r="OT22">
        <f>OY18 - (OT21*OT18) - (OU21*OU18) - (OV21*OV18) - (OW21*OW18) - (OX21*OX18)</f>
        <v>7.1408577169322807E-2</v>
      </c>
      <c r="PA22" t="s">
        <v>77</v>
      </c>
      <c r="PB22">
        <f>PG18 - (PB21*PB18) - (PC21*PC18) - (PD21*PD18) - (PE21*PE18) - (PF21*PF18)</f>
        <v>3.5157608371661261E-3</v>
      </c>
      <c r="PI22" t="s">
        <v>77</v>
      </c>
      <c r="PJ22">
        <f>PO18 - (PJ21*PJ18) - (PK21*PK18) - (PL21*PL18) - (PM21*PM18) - (PN21*PN18)</f>
        <v>0.17523766578207212</v>
      </c>
      <c r="PQ22" t="s">
        <v>77</v>
      </c>
      <c r="PR22">
        <f>PW18 - (PR21*PR18) - (PS21*PS18) - (PT21*PT18) - (PU21*PU18) - (PV21*PV18)</f>
        <v>-0.29613628136883907</v>
      </c>
      <c r="PY22" t="s">
        <v>77</v>
      </c>
      <c r="PZ22">
        <f>QE18 - (PZ21*PZ18) - (QA21*QA18) - (QB21*QB18) - (QC21*QC18) - (QD21*QD18)</f>
        <v>-0.26838829826996902</v>
      </c>
    </row>
    <row r="23" spans="1:487" x14ac:dyDescent="0.45">
      <c r="B23" t="s">
        <v>40</v>
      </c>
      <c r="C23" t="s">
        <v>39</v>
      </c>
      <c r="D23" t="s">
        <v>37</v>
      </c>
      <c r="E23" t="s">
        <v>36</v>
      </c>
      <c r="F23" t="s">
        <v>35</v>
      </c>
      <c r="G23" t="s">
        <v>77</v>
      </c>
      <c r="J23" t="s">
        <v>40</v>
      </c>
      <c r="K23" t="s">
        <v>39</v>
      </c>
      <c r="L23" t="s">
        <v>37</v>
      </c>
      <c r="M23" t="s">
        <v>36</v>
      </c>
      <c r="N23" t="s">
        <v>35</v>
      </c>
      <c r="O23" t="s">
        <v>77</v>
      </c>
      <c r="R23" t="s">
        <v>40</v>
      </c>
      <c r="S23" t="s">
        <v>39</v>
      </c>
      <c r="T23" t="s">
        <v>37</v>
      </c>
      <c r="U23" t="s">
        <v>36</v>
      </c>
      <c r="V23" t="s">
        <v>35</v>
      </c>
      <c r="W23" t="s">
        <v>77</v>
      </c>
      <c r="Z23" t="s">
        <v>40</v>
      </c>
      <c r="AA23" t="s">
        <v>39</v>
      </c>
      <c r="AB23" t="s">
        <v>37</v>
      </c>
      <c r="AC23" t="s">
        <v>36</v>
      </c>
      <c r="AD23" t="s">
        <v>35</v>
      </c>
      <c r="AE23" t="s">
        <v>77</v>
      </c>
      <c r="AH23" t="s">
        <v>40</v>
      </c>
      <c r="AI23" t="s">
        <v>39</v>
      </c>
      <c r="AJ23" t="s">
        <v>37</v>
      </c>
      <c r="AK23" t="s">
        <v>36</v>
      </c>
      <c r="AL23" t="s">
        <v>35</v>
      </c>
      <c r="AM23" t="s">
        <v>77</v>
      </c>
      <c r="AP23" t="s">
        <v>40</v>
      </c>
      <c r="AQ23" t="s">
        <v>39</v>
      </c>
      <c r="AR23" t="s">
        <v>37</v>
      </c>
      <c r="AS23" t="s">
        <v>36</v>
      </c>
      <c r="AT23" t="s">
        <v>35</v>
      </c>
      <c r="AU23" t="s">
        <v>77</v>
      </c>
      <c r="AX23" t="s">
        <v>40</v>
      </c>
      <c r="AY23" t="s">
        <v>39</v>
      </c>
      <c r="AZ23" t="s">
        <v>37</v>
      </c>
      <c r="BA23" t="s">
        <v>36</v>
      </c>
      <c r="BB23" t="s">
        <v>35</v>
      </c>
      <c r="BC23" t="s">
        <v>77</v>
      </c>
      <c r="BF23" t="s">
        <v>40</v>
      </c>
      <c r="BG23" t="s">
        <v>39</v>
      </c>
      <c r="BH23" t="s">
        <v>37</v>
      </c>
      <c r="BI23" t="s">
        <v>36</v>
      </c>
      <c r="BJ23" t="s">
        <v>35</v>
      </c>
      <c r="BK23" t="s">
        <v>77</v>
      </c>
      <c r="BN23" t="s">
        <v>40</v>
      </c>
      <c r="BO23" t="s">
        <v>39</v>
      </c>
      <c r="BP23" t="s">
        <v>37</v>
      </c>
      <c r="BQ23" t="s">
        <v>36</v>
      </c>
      <c r="BR23" t="s">
        <v>35</v>
      </c>
      <c r="BS23" t="s">
        <v>77</v>
      </c>
      <c r="BV23" t="s">
        <v>40</v>
      </c>
      <c r="BW23" t="s">
        <v>39</v>
      </c>
      <c r="BX23" t="s">
        <v>37</v>
      </c>
      <c r="BY23" t="s">
        <v>36</v>
      </c>
      <c r="BZ23" t="s">
        <v>35</v>
      </c>
      <c r="CA23" t="s">
        <v>77</v>
      </c>
      <c r="CD23" t="s">
        <v>40</v>
      </c>
      <c r="CE23" t="s">
        <v>39</v>
      </c>
      <c r="CF23" t="s">
        <v>37</v>
      </c>
      <c r="CG23" t="s">
        <v>36</v>
      </c>
      <c r="CH23" t="s">
        <v>35</v>
      </c>
      <c r="CI23" t="s">
        <v>77</v>
      </c>
      <c r="CL23" t="s">
        <v>40</v>
      </c>
      <c r="CM23" t="s">
        <v>39</v>
      </c>
      <c r="CN23" t="s">
        <v>37</v>
      </c>
      <c r="CO23" t="s">
        <v>36</v>
      </c>
      <c r="CP23" t="s">
        <v>35</v>
      </c>
      <c r="CQ23" t="s">
        <v>77</v>
      </c>
      <c r="CT23" t="s">
        <v>40</v>
      </c>
      <c r="CU23" t="s">
        <v>39</v>
      </c>
      <c r="CV23" t="s">
        <v>37</v>
      </c>
      <c r="CW23" t="s">
        <v>36</v>
      </c>
      <c r="CX23" t="s">
        <v>35</v>
      </c>
      <c r="CY23" t="s">
        <v>77</v>
      </c>
      <c r="DB23" t="s">
        <v>40</v>
      </c>
      <c r="DC23" t="s">
        <v>39</v>
      </c>
      <c r="DD23" t="s">
        <v>37</v>
      </c>
      <c r="DE23" t="s">
        <v>36</v>
      </c>
      <c r="DF23" t="s">
        <v>35</v>
      </c>
      <c r="DG23" t="s">
        <v>77</v>
      </c>
      <c r="DJ23" t="s">
        <v>40</v>
      </c>
      <c r="DK23" t="s">
        <v>39</v>
      </c>
      <c r="DL23" t="s">
        <v>37</v>
      </c>
      <c r="DM23" t="s">
        <v>36</v>
      </c>
      <c r="DN23" t="s">
        <v>35</v>
      </c>
      <c r="DO23" t="s">
        <v>77</v>
      </c>
      <c r="DR23" t="s">
        <v>40</v>
      </c>
      <c r="DS23" t="s">
        <v>39</v>
      </c>
      <c r="DT23" t="s">
        <v>37</v>
      </c>
      <c r="DU23" t="s">
        <v>36</v>
      </c>
      <c r="DV23" t="s">
        <v>35</v>
      </c>
      <c r="DW23" t="s">
        <v>77</v>
      </c>
      <c r="DZ23" t="s">
        <v>40</v>
      </c>
      <c r="EA23" t="s">
        <v>39</v>
      </c>
      <c r="EB23" t="s">
        <v>37</v>
      </c>
      <c r="EC23" t="s">
        <v>36</v>
      </c>
      <c r="ED23" t="s">
        <v>35</v>
      </c>
      <c r="EE23" t="s">
        <v>77</v>
      </c>
      <c r="EH23" t="s">
        <v>40</v>
      </c>
      <c r="EI23" t="s">
        <v>39</v>
      </c>
      <c r="EJ23" t="s">
        <v>37</v>
      </c>
      <c r="EK23" t="s">
        <v>36</v>
      </c>
      <c r="EL23" t="s">
        <v>35</v>
      </c>
      <c r="EM23" t="s">
        <v>77</v>
      </c>
      <c r="EP23" t="s">
        <v>40</v>
      </c>
      <c r="EQ23" t="s">
        <v>39</v>
      </c>
      <c r="ER23" t="s">
        <v>37</v>
      </c>
      <c r="ES23" t="s">
        <v>36</v>
      </c>
      <c r="ET23" t="s">
        <v>35</v>
      </c>
      <c r="EU23" t="s">
        <v>77</v>
      </c>
      <c r="EX23" t="s">
        <v>40</v>
      </c>
      <c r="EY23" t="s">
        <v>39</v>
      </c>
      <c r="EZ23" t="s">
        <v>37</v>
      </c>
      <c r="FA23" t="s">
        <v>36</v>
      </c>
      <c r="FB23" t="s">
        <v>35</v>
      </c>
      <c r="FC23" t="s">
        <v>77</v>
      </c>
      <c r="FF23" t="s">
        <v>40</v>
      </c>
      <c r="FG23" t="s">
        <v>39</v>
      </c>
      <c r="FH23" t="s">
        <v>37</v>
      </c>
      <c r="FI23" t="s">
        <v>36</v>
      </c>
      <c r="FJ23" t="s">
        <v>35</v>
      </c>
      <c r="FK23" t="s">
        <v>77</v>
      </c>
      <c r="FN23" t="s">
        <v>40</v>
      </c>
      <c r="FO23" t="s">
        <v>39</v>
      </c>
      <c r="FP23" t="s">
        <v>37</v>
      </c>
      <c r="FQ23" t="s">
        <v>36</v>
      </c>
      <c r="FR23" t="s">
        <v>35</v>
      </c>
      <c r="FS23" t="s">
        <v>77</v>
      </c>
      <c r="FV23" t="s">
        <v>40</v>
      </c>
      <c r="FW23" t="s">
        <v>39</v>
      </c>
      <c r="FX23" t="s">
        <v>37</v>
      </c>
      <c r="FY23" t="s">
        <v>36</v>
      </c>
      <c r="FZ23" t="s">
        <v>35</v>
      </c>
      <c r="GA23" t="s">
        <v>77</v>
      </c>
      <c r="GD23" t="s">
        <v>40</v>
      </c>
      <c r="GE23" t="s">
        <v>39</v>
      </c>
      <c r="GF23" t="s">
        <v>37</v>
      </c>
      <c r="GG23" t="s">
        <v>36</v>
      </c>
      <c r="GH23" t="s">
        <v>35</v>
      </c>
      <c r="GI23" t="s">
        <v>77</v>
      </c>
      <c r="GL23" t="s">
        <v>40</v>
      </c>
      <c r="GM23" t="s">
        <v>39</v>
      </c>
      <c r="GN23" t="s">
        <v>37</v>
      </c>
      <c r="GO23" t="s">
        <v>36</v>
      </c>
      <c r="GP23" t="s">
        <v>35</v>
      </c>
      <c r="GQ23" t="s">
        <v>77</v>
      </c>
      <c r="GT23" t="s">
        <v>40</v>
      </c>
      <c r="GU23" t="s">
        <v>39</v>
      </c>
      <c r="GV23" t="s">
        <v>37</v>
      </c>
      <c r="GW23" t="s">
        <v>36</v>
      </c>
      <c r="GX23" t="s">
        <v>35</v>
      </c>
      <c r="GY23" t="s">
        <v>77</v>
      </c>
      <c r="HB23" t="s">
        <v>40</v>
      </c>
      <c r="HC23" t="s">
        <v>39</v>
      </c>
      <c r="HD23" t="s">
        <v>37</v>
      </c>
      <c r="HE23" t="s">
        <v>36</v>
      </c>
      <c r="HF23" t="s">
        <v>35</v>
      </c>
      <c r="HG23" t="s">
        <v>77</v>
      </c>
      <c r="HJ23" t="s">
        <v>40</v>
      </c>
      <c r="HK23" t="s">
        <v>39</v>
      </c>
      <c r="HL23" t="s">
        <v>37</v>
      </c>
      <c r="HM23" t="s">
        <v>36</v>
      </c>
      <c r="HN23" t="s">
        <v>35</v>
      </c>
      <c r="HO23" t="s">
        <v>77</v>
      </c>
      <c r="HR23" t="s">
        <v>40</v>
      </c>
      <c r="HS23" t="s">
        <v>39</v>
      </c>
      <c r="HT23" t="s">
        <v>37</v>
      </c>
      <c r="HU23" t="s">
        <v>36</v>
      </c>
      <c r="HV23" t="s">
        <v>35</v>
      </c>
      <c r="HW23" t="s">
        <v>77</v>
      </c>
      <c r="HZ23" t="s">
        <v>40</v>
      </c>
      <c r="IA23" t="s">
        <v>39</v>
      </c>
      <c r="IB23" t="s">
        <v>37</v>
      </c>
      <c r="IC23" t="s">
        <v>36</v>
      </c>
      <c r="ID23" t="s">
        <v>35</v>
      </c>
      <c r="IE23" t="s">
        <v>77</v>
      </c>
      <c r="IH23" t="s">
        <v>40</v>
      </c>
      <c r="II23" t="s">
        <v>39</v>
      </c>
      <c r="IJ23" t="s">
        <v>37</v>
      </c>
      <c r="IK23" t="s">
        <v>36</v>
      </c>
      <c r="IL23" t="s">
        <v>35</v>
      </c>
      <c r="IM23" t="s">
        <v>77</v>
      </c>
      <c r="IP23" t="s">
        <v>40</v>
      </c>
      <c r="IQ23" t="s">
        <v>39</v>
      </c>
      <c r="IR23" t="s">
        <v>37</v>
      </c>
      <c r="IS23" t="s">
        <v>36</v>
      </c>
      <c r="IT23" t="s">
        <v>35</v>
      </c>
      <c r="IU23" t="s">
        <v>77</v>
      </c>
      <c r="IX23" t="s">
        <v>40</v>
      </c>
      <c r="IY23" t="s">
        <v>39</v>
      </c>
      <c r="IZ23" t="s">
        <v>37</v>
      </c>
      <c r="JA23" t="s">
        <v>36</v>
      </c>
      <c r="JB23" t="s">
        <v>35</v>
      </c>
      <c r="JC23" t="s">
        <v>77</v>
      </c>
      <c r="JF23" t="s">
        <v>40</v>
      </c>
      <c r="JG23" t="s">
        <v>39</v>
      </c>
      <c r="JH23" t="s">
        <v>37</v>
      </c>
      <c r="JI23" t="s">
        <v>36</v>
      </c>
      <c r="JJ23" t="s">
        <v>35</v>
      </c>
      <c r="JK23" t="s">
        <v>77</v>
      </c>
      <c r="JN23" t="s">
        <v>40</v>
      </c>
      <c r="JO23" t="s">
        <v>39</v>
      </c>
      <c r="JP23" t="s">
        <v>37</v>
      </c>
      <c r="JQ23" t="s">
        <v>36</v>
      </c>
      <c r="JR23" t="s">
        <v>35</v>
      </c>
      <c r="JS23" t="s">
        <v>77</v>
      </c>
      <c r="JV23" t="s">
        <v>40</v>
      </c>
      <c r="JW23" t="s">
        <v>39</v>
      </c>
      <c r="JX23" t="s">
        <v>37</v>
      </c>
      <c r="JY23" t="s">
        <v>36</v>
      </c>
      <c r="JZ23" t="s">
        <v>35</v>
      </c>
      <c r="KA23" t="s">
        <v>77</v>
      </c>
      <c r="KD23" t="s">
        <v>40</v>
      </c>
      <c r="KE23" t="s">
        <v>39</v>
      </c>
      <c r="KF23" t="s">
        <v>37</v>
      </c>
      <c r="KG23" t="s">
        <v>36</v>
      </c>
      <c r="KH23" t="s">
        <v>35</v>
      </c>
      <c r="KI23" t="s">
        <v>77</v>
      </c>
      <c r="KL23" t="s">
        <v>40</v>
      </c>
      <c r="KM23" t="s">
        <v>39</v>
      </c>
      <c r="KN23" t="s">
        <v>37</v>
      </c>
      <c r="KO23" t="s">
        <v>36</v>
      </c>
      <c r="KP23" t="s">
        <v>35</v>
      </c>
      <c r="KQ23" t="s">
        <v>77</v>
      </c>
      <c r="KT23" t="s">
        <v>40</v>
      </c>
      <c r="KU23" t="s">
        <v>39</v>
      </c>
      <c r="KV23" t="s">
        <v>37</v>
      </c>
      <c r="KW23" t="s">
        <v>36</v>
      </c>
      <c r="KX23" t="s">
        <v>35</v>
      </c>
      <c r="KY23" t="s">
        <v>77</v>
      </c>
      <c r="LB23" t="s">
        <v>40</v>
      </c>
      <c r="LC23" t="s">
        <v>39</v>
      </c>
      <c r="LD23" t="s">
        <v>37</v>
      </c>
      <c r="LE23" t="s">
        <v>36</v>
      </c>
      <c r="LF23" t="s">
        <v>35</v>
      </c>
      <c r="LG23" t="s">
        <v>77</v>
      </c>
      <c r="LJ23" t="s">
        <v>40</v>
      </c>
      <c r="LK23" t="s">
        <v>39</v>
      </c>
      <c r="LL23" t="s">
        <v>37</v>
      </c>
      <c r="LM23" t="s">
        <v>36</v>
      </c>
      <c r="LN23" t="s">
        <v>35</v>
      </c>
      <c r="LO23" t="s">
        <v>77</v>
      </c>
      <c r="LR23" t="s">
        <v>40</v>
      </c>
      <c r="LS23" t="s">
        <v>39</v>
      </c>
      <c r="LT23" t="s">
        <v>37</v>
      </c>
      <c r="LU23" t="s">
        <v>36</v>
      </c>
      <c r="LV23" t="s">
        <v>35</v>
      </c>
      <c r="LW23" t="s">
        <v>77</v>
      </c>
      <c r="LZ23" t="s">
        <v>40</v>
      </c>
      <c r="MA23" t="s">
        <v>39</v>
      </c>
      <c r="MB23" t="s">
        <v>37</v>
      </c>
      <c r="MC23" t="s">
        <v>36</v>
      </c>
      <c r="MD23" t="s">
        <v>35</v>
      </c>
      <c r="ME23" t="s">
        <v>77</v>
      </c>
      <c r="MH23" t="s">
        <v>40</v>
      </c>
      <c r="MI23" t="s">
        <v>39</v>
      </c>
      <c r="MJ23" t="s">
        <v>37</v>
      </c>
      <c r="MK23" t="s">
        <v>36</v>
      </c>
      <c r="ML23" t="s">
        <v>35</v>
      </c>
      <c r="MM23" t="s">
        <v>77</v>
      </c>
      <c r="MP23" t="s">
        <v>40</v>
      </c>
      <c r="MQ23" t="s">
        <v>39</v>
      </c>
      <c r="MR23" t="s">
        <v>37</v>
      </c>
      <c r="MS23" t="s">
        <v>36</v>
      </c>
      <c r="MT23" t="s">
        <v>35</v>
      </c>
      <c r="MU23" t="s">
        <v>77</v>
      </c>
      <c r="MX23" t="s">
        <v>40</v>
      </c>
      <c r="MY23" t="s">
        <v>39</v>
      </c>
      <c r="MZ23" t="s">
        <v>37</v>
      </c>
      <c r="NA23" t="s">
        <v>36</v>
      </c>
      <c r="NB23" t="s">
        <v>35</v>
      </c>
      <c r="NC23" t="s">
        <v>77</v>
      </c>
      <c r="NF23" t="s">
        <v>40</v>
      </c>
      <c r="NG23" t="s">
        <v>39</v>
      </c>
      <c r="NH23" t="s">
        <v>37</v>
      </c>
      <c r="NI23" t="s">
        <v>36</v>
      </c>
      <c r="NJ23" t="s">
        <v>35</v>
      </c>
      <c r="NK23" t="s">
        <v>77</v>
      </c>
      <c r="NN23" t="s">
        <v>40</v>
      </c>
      <c r="NO23" t="s">
        <v>39</v>
      </c>
      <c r="NP23" t="s">
        <v>37</v>
      </c>
      <c r="NQ23" t="s">
        <v>36</v>
      </c>
      <c r="NR23" t="s">
        <v>35</v>
      </c>
      <c r="NS23" t="s">
        <v>77</v>
      </c>
      <c r="NV23" t="s">
        <v>40</v>
      </c>
      <c r="NW23" t="s">
        <v>39</v>
      </c>
      <c r="NX23" t="s">
        <v>37</v>
      </c>
      <c r="NY23" t="s">
        <v>36</v>
      </c>
      <c r="NZ23" t="s">
        <v>35</v>
      </c>
      <c r="OA23" t="s">
        <v>77</v>
      </c>
      <c r="OD23" t="s">
        <v>40</v>
      </c>
      <c r="OE23" t="s">
        <v>39</v>
      </c>
      <c r="OF23" t="s">
        <v>37</v>
      </c>
      <c r="OG23" t="s">
        <v>36</v>
      </c>
      <c r="OH23" t="s">
        <v>35</v>
      </c>
      <c r="OI23" t="s">
        <v>77</v>
      </c>
      <c r="OL23" t="s">
        <v>40</v>
      </c>
      <c r="OM23" t="s">
        <v>39</v>
      </c>
      <c r="ON23" t="s">
        <v>37</v>
      </c>
      <c r="OO23" t="s">
        <v>36</v>
      </c>
      <c r="OP23" t="s">
        <v>35</v>
      </c>
      <c r="OQ23" t="s">
        <v>77</v>
      </c>
      <c r="OT23" t="s">
        <v>40</v>
      </c>
      <c r="OU23" t="s">
        <v>39</v>
      </c>
      <c r="OV23" t="s">
        <v>37</v>
      </c>
      <c r="OW23" t="s">
        <v>36</v>
      </c>
      <c r="OX23" t="s">
        <v>35</v>
      </c>
      <c r="OY23" t="s">
        <v>77</v>
      </c>
      <c r="PB23" t="s">
        <v>40</v>
      </c>
      <c r="PC23" t="s">
        <v>39</v>
      </c>
      <c r="PD23" t="s">
        <v>37</v>
      </c>
      <c r="PE23" t="s">
        <v>36</v>
      </c>
      <c r="PF23" t="s">
        <v>35</v>
      </c>
      <c r="PG23" t="s">
        <v>77</v>
      </c>
      <c r="PJ23" t="s">
        <v>40</v>
      </c>
      <c r="PK23" t="s">
        <v>39</v>
      </c>
      <c r="PL23" t="s">
        <v>37</v>
      </c>
      <c r="PM23" t="s">
        <v>36</v>
      </c>
      <c r="PN23" t="s">
        <v>35</v>
      </c>
      <c r="PO23" t="s">
        <v>77</v>
      </c>
      <c r="PR23" t="s">
        <v>40</v>
      </c>
      <c r="PS23" t="s">
        <v>39</v>
      </c>
      <c r="PT23" t="s">
        <v>37</v>
      </c>
      <c r="PU23" t="s">
        <v>36</v>
      </c>
      <c r="PV23" t="s">
        <v>35</v>
      </c>
      <c r="PW23" t="s">
        <v>77</v>
      </c>
      <c r="PZ23" t="s">
        <v>40</v>
      </c>
      <c r="QA23" t="s">
        <v>39</v>
      </c>
      <c r="QB23" t="s">
        <v>37</v>
      </c>
      <c r="QC23" t="s">
        <v>36</v>
      </c>
      <c r="QD23" t="s">
        <v>35</v>
      </c>
      <c r="QE23" t="s">
        <v>77</v>
      </c>
    </row>
    <row r="24" spans="1:487" x14ac:dyDescent="0.45">
      <c r="A24" t="s">
        <v>82</v>
      </c>
      <c r="B24">
        <f t="array" ref="B24:G24">LINEST(G2:G8,B2:F8,TRUE,FALSE)</f>
        <v>2.1818175222990796E-4</v>
      </c>
      <c r="C24">
        <v>2.7401426529870571E-2</v>
      </c>
      <c r="D24">
        <v>5.9662449420494139E-2</v>
      </c>
      <c r="E24">
        <v>-3.854086473476788E-2</v>
      </c>
      <c r="F24">
        <v>4.0554443653585993E-2</v>
      </c>
      <c r="G24">
        <v>-1.3722867111532147</v>
      </c>
      <c r="I24" t="s">
        <v>82</v>
      </c>
      <c r="J24">
        <f t="array" ref="J24:O24">LINEST(O2:O8,J2:N8,TRUE,FALSE)</f>
        <v>5.9000326622853669E-4</v>
      </c>
      <c r="K24">
        <v>-0.11389769543089524</v>
      </c>
      <c r="L24">
        <v>-7.3691076082052465E-4</v>
      </c>
      <c r="M24">
        <v>-7.3478456661962177E-2</v>
      </c>
      <c r="N24">
        <v>0.14431303270232182</v>
      </c>
      <c r="O24">
        <v>-0.11200816064264174</v>
      </c>
      <c r="Q24" t="s">
        <v>82</v>
      </c>
      <c r="R24">
        <f t="array" ref="R24:W24">LINEST(W2:W8,R2:V8,TRUE,FALSE)</f>
        <v>2.7481172689892188E-4</v>
      </c>
      <c r="S24">
        <v>0.27841760514572905</v>
      </c>
      <c r="T24">
        <v>0.3089315223149855</v>
      </c>
      <c r="U24">
        <v>-7.1112697322706225E-2</v>
      </c>
      <c r="V24">
        <v>7.542377807624014E-3</v>
      </c>
      <c r="W24">
        <v>-6.683122528512393</v>
      </c>
      <c r="Y24" t="s">
        <v>82</v>
      </c>
      <c r="Z24">
        <f t="array" ref="Z24:AE24">LINEST(AE2:AE8,Z2:AD8,TRUE,FALSE)</f>
        <v>1.2450662113075936E-3</v>
      </c>
      <c r="AA24">
        <v>1.3630207299523991</v>
      </c>
      <c r="AB24">
        <v>1.3406408246132524</v>
      </c>
      <c r="AC24">
        <v>-0.46263763474711395</v>
      </c>
      <c r="AD24">
        <v>1.9359857018331393E-2</v>
      </c>
      <c r="AE24">
        <v>-30.087722745672718</v>
      </c>
      <c r="AG24" t="s">
        <v>82</v>
      </c>
      <c r="AH24">
        <f t="array" ref="AH24:AM24">LINEST(AM2:AM8,AH2:AL8,TRUE,FALSE)</f>
        <v>4.1449166543743032E-4</v>
      </c>
      <c r="AI24">
        <v>-7.76122169091224E-2</v>
      </c>
      <c r="AJ24">
        <v>0.10748984911212706</v>
      </c>
      <c r="AK24">
        <v>8.0077423777801873E-3</v>
      </c>
      <c r="AL24">
        <v>0.10522985360652107</v>
      </c>
      <c r="AM24">
        <v>-1.5400059319875488</v>
      </c>
      <c r="AO24" t="s">
        <v>82</v>
      </c>
      <c r="AP24">
        <f t="array" ref="AP24:AU24">LINEST(AU2:AU8,AP2:AT8,TRUE,FALSE)</f>
        <v>1.1667314368190697E-3</v>
      </c>
      <c r="AQ24">
        <v>6.1410022869050437E-2</v>
      </c>
      <c r="AR24">
        <v>0.32741938063175047</v>
      </c>
      <c r="AS24">
        <v>-3.2516691030037757E-2</v>
      </c>
      <c r="AT24">
        <v>0.21418106806275716</v>
      </c>
      <c r="AU24">
        <v>-7.1677187697396372</v>
      </c>
      <c r="AW24" t="s">
        <v>82</v>
      </c>
      <c r="AX24">
        <f t="array" ref="AX24:BC24">LINEST(BC2:BC8,AX2:BB8,TRUE,FALSE)</f>
        <v>0</v>
      </c>
      <c r="AY24">
        <v>0</v>
      </c>
      <c r="AZ24">
        <v>0</v>
      </c>
      <c r="BA24">
        <v>0</v>
      </c>
      <c r="BB24">
        <v>0</v>
      </c>
      <c r="BC24">
        <v>0</v>
      </c>
      <c r="BE24" t="s">
        <v>82</v>
      </c>
      <c r="BF24">
        <f t="array" ref="BF24:BK24">LINEST(BK2:BK8,BF2:BJ8,TRUE,FALSE)</f>
        <v>0</v>
      </c>
      <c r="BG24">
        <v>0</v>
      </c>
      <c r="BH24">
        <v>0</v>
      </c>
      <c r="BI24">
        <v>0</v>
      </c>
      <c r="BJ24">
        <v>0</v>
      </c>
      <c r="BK24">
        <v>0</v>
      </c>
      <c r="BM24" t="s">
        <v>82</v>
      </c>
      <c r="BN24">
        <f t="array" ref="BN24:BS24">LINEST(BS2:BS8,BN2:BR8,TRUE,FALSE)</f>
        <v>-2.46665698813807E-6</v>
      </c>
      <c r="BO24">
        <v>0.1136544767871651</v>
      </c>
      <c r="BP24">
        <v>0.14272446056528423</v>
      </c>
      <c r="BQ24">
        <v>-1.5686270808433666E-2</v>
      </c>
      <c r="BR24">
        <v>-1.3250538730180868E-2</v>
      </c>
      <c r="BS24">
        <v>-2.7057698190578683</v>
      </c>
      <c r="BU24" t="s">
        <v>82</v>
      </c>
      <c r="BV24">
        <f t="array" ref="BV24:CA24">LINEST(CA2:CA8,BV2:BZ8,TRUE,FALSE)</f>
        <v>7.1541170714462389E-4</v>
      </c>
      <c r="BW24">
        <v>0.76902596954757196</v>
      </c>
      <c r="BX24">
        <v>0.83922654955636977</v>
      </c>
      <c r="BY24">
        <v>-0.24949051587556204</v>
      </c>
      <c r="BZ24">
        <v>6.9390024504855348E-3</v>
      </c>
      <c r="CA24">
        <v>-17.974740487474293</v>
      </c>
      <c r="CC24" t="s">
        <v>82</v>
      </c>
      <c r="CD24">
        <f t="array" ref="CD24:CI24">LINEST(CI2:CI8,CD2:CH8,TRUE,FALSE)</f>
        <v>-2.9402619782683143E-5</v>
      </c>
      <c r="CE24">
        <v>8.3613453338429816E-2</v>
      </c>
      <c r="CF24">
        <v>6.0615362370754503E-2</v>
      </c>
      <c r="CG24">
        <v>-2.8183318664211084E-2</v>
      </c>
      <c r="CH24">
        <v>-1.5881720818031991E-2</v>
      </c>
      <c r="CI24">
        <v>-1.3213655873660126</v>
      </c>
      <c r="CK24" t="s">
        <v>82</v>
      </c>
      <c r="CL24">
        <f t="array" ref="CL24:CQ24">LINEST(CQ2:CQ8,CL2:CP8,TRUE,FALSE)</f>
        <v>0</v>
      </c>
      <c r="CM24">
        <v>0</v>
      </c>
      <c r="CN24">
        <v>0</v>
      </c>
      <c r="CO24">
        <v>0</v>
      </c>
      <c r="CP24">
        <v>0</v>
      </c>
      <c r="CQ24">
        <v>0</v>
      </c>
      <c r="CS24" t="s">
        <v>82</v>
      </c>
      <c r="CT24">
        <f t="array" ref="CT24:CY24">LINEST(CY2:CY8,CT2:CX8,TRUE,FALSE)</f>
        <v>-8.7480066091774139E-5</v>
      </c>
      <c r="CU24">
        <v>-4.7907531208313717E-2</v>
      </c>
      <c r="CV24">
        <v>2.9777671390389299E-2</v>
      </c>
      <c r="CW24">
        <v>1.3784893499661109E-2</v>
      </c>
      <c r="CX24">
        <v>-1.3592377349936585E-3</v>
      </c>
      <c r="CY24">
        <v>0.36889286352834438</v>
      </c>
      <c r="DA24" t="s">
        <v>82</v>
      </c>
      <c r="DB24">
        <f t="array" ref="DB24:DG24">LINEST(DG2:DG8,DB2:DF8,TRUE,FALSE)</f>
        <v>-1.4200431235758301E-4</v>
      </c>
      <c r="DC24">
        <v>1.0676767914613874</v>
      </c>
      <c r="DD24">
        <v>0.98013373498386525</v>
      </c>
      <c r="DE24">
        <v>-0.20765541665900059</v>
      </c>
      <c r="DF24">
        <v>-0.21592376203643021</v>
      </c>
      <c r="DG24">
        <v>-20.445330956047403</v>
      </c>
      <c r="DI24" t="s">
        <v>82</v>
      </c>
      <c r="DJ24">
        <f t="array" ref="DJ24:DO24">LINEST(DO2:DO8,DJ2:DN8,TRUE,FALSE)</f>
        <v>0</v>
      </c>
      <c r="DK24">
        <v>0</v>
      </c>
      <c r="DL24">
        <v>0</v>
      </c>
      <c r="DM24">
        <v>0</v>
      </c>
      <c r="DN24">
        <v>0</v>
      </c>
      <c r="DO24">
        <v>0</v>
      </c>
      <c r="DQ24" t="s">
        <v>82</v>
      </c>
      <c r="DR24">
        <f t="array" ref="DR24:DW24">LINEST(DW2:DW8,DR2:DV8,TRUE,FALSE)</f>
        <v>0</v>
      </c>
      <c r="DS24">
        <v>0</v>
      </c>
      <c r="DT24">
        <v>0</v>
      </c>
      <c r="DU24">
        <v>0</v>
      </c>
      <c r="DV24">
        <v>0</v>
      </c>
      <c r="DW24">
        <v>0</v>
      </c>
      <c r="DY24" t="s">
        <v>82</v>
      </c>
      <c r="DZ24">
        <f t="array" ref="DZ24:EE24">LINEST(EE2:EE8,DZ2:ED8,TRUE,FALSE)</f>
        <v>-4.0058637006103881E-4</v>
      </c>
      <c r="EA24">
        <v>0.35195251464582739</v>
      </c>
      <c r="EB24">
        <v>0.33217987126856607</v>
      </c>
      <c r="EC24">
        <v>1.2210164338868599E-2</v>
      </c>
      <c r="ED24">
        <v>-0.1391985731204525</v>
      </c>
      <c r="EE24">
        <v>-6.1095182525949427</v>
      </c>
      <c r="EG24" t="s">
        <v>82</v>
      </c>
      <c r="EH24">
        <f t="array" ref="EH24:EM24">LINEST(EM2:EM8,EH2:EL8,TRUE,FALSE)</f>
        <v>1.4763567711212461E-4</v>
      </c>
      <c r="EI24">
        <v>0.13145038504682047</v>
      </c>
      <c r="EJ24">
        <v>0.16961529102161241</v>
      </c>
      <c r="EK24">
        <v>2.5967633426077594E-2</v>
      </c>
      <c r="EL24">
        <v>-1.1911392484945153E-2</v>
      </c>
      <c r="EM24">
        <v>-3.3008365991661059</v>
      </c>
      <c r="EO24" t="s">
        <v>82</v>
      </c>
      <c r="EP24">
        <f t="array" ref="EP24:EU24">LINEST(EU2:EU8,EP2:ET8,TRUE,FALSE)</f>
        <v>1.9580412602440429E-4</v>
      </c>
      <c r="EQ24">
        <v>0.17807212674107739</v>
      </c>
      <c r="ER24">
        <v>0.21958058832317792</v>
      </c>
      <c r="ES24">
        <v>-4.4244967384748271E-2</v>
      </c>
      <c r="ET24">
        <v>9.8531834538453066E-3</v>
      </c>
      <c r="EU24">
        <v>-4.5446763082149237</v>
      </c>
      <c r="EW24" t="s">
        <v>82</v>
      </c>
      <c r="EX24">
        <f t="array" ref="EX24:FC24">LINEST(FC2:FC8,EX2:FB8,TRUE,FALSE)</f>
        <v>9.9513809811751217E-4</v>
      </c>
      <c r="EY24">
        <v>1.0425430109227296</v>
      </c>
      <c r="EZ24">
        <v>1.1036737357176987</v>
      </c>
      <c r="FA24">
        <v>-0.32989327182337669</v>
      </c>
      <c r="FB24">
        <v>2.4218096709185344E-2</v>
      </c>
      <c r="FC24">
        <v>-24.079167439312045</v>
      </c>
      <c r="FE24" t="s">
        <v>82</v>
      </c>
      <c r="FF24">
        <f t="array" ref="FF24:FK24">LINEST(FK2:FK8,FF2:FJ8,TRUE,FALSE)</f>
        <v>0</v>
      </c>
      <c r="FG24">
        <v>0</v>
      </c>
      <c r="FH24">
        <v>0</v>
      </c>
      <c r="FI24">
        <v>0</v>
      </c>
      <c r="FJ24">
        <v>0</v>
      </c>
      <c r="FK24">
        <v>0</v>
      </c>
      <c r="FM24" t="s">
        <v>82</v>
      </c>
      <c r="FN24">
        <f t="array" ref="FN24:FS24">LINEST(FS2:FS8,FN2:FR8,TRUE,FALSE)</f>
        <v>0</v>
      </c>
      <c r="FO24">
        <v>0</v>
      </c>
      <c r="FP24">
        <v>0</v>
      </c>
      <c r="FQ24">
        <v>0</v>
      </c>
      <c r="FR24">
        <v>0</v>
      </c>
      <c r="FS24">
        <v>0</v>
      </c>
      <c r="FU24" t="s">
        <v>82</v>
      </c>
      <c r="FV24">
        <f t="array" ref="FV24:GA24">LINEST(GA2:GA8,FV2:FZ8,TRUE,FALSE)</f>
        <v>0</v>
      </c>
      <c r="FW24">
        <v>0</v>
      </c>
      <c r="FX24">
        <v>0</v>
      </c>
      <c r="FY24">
        <v>0</v>
      </c>
      <c r="FZ24">
        <v>0</v>
      </c>
      <c r="GA24">
        <v>0</v>
      </c>
      <c r="GC24" t="s">
        <v>82</v>
      </c>
      <c r="GD24">
        <f t="array" ref="GD24:GI24">LINEST(GI2:GI8,GD2:GH8,TRUE,FALSE)</f>
        <v>0</v>
      </c>
      <c r="GE24">
        <v>0</v>
      </c>
      <c r="GF24">
        <v>0</v>
      </c>
      <c r="GG24">
        <v>0</v>
      </c>
      <c r="GH24">
        <v>0</v>
      </c>
      <c r="GI24">
        <v>0</v>
      </c>
      <c r="GK24" t="s">
        <v>82</v>
      </c>
      <c r="GL24">
        <f t="array" ref="GL24:GQ24">LINEST(GQ2:GQ8,GL2:GP8,TRUE,FALSE)</f>
        <v>-1.5882431675717851E-5</v>
      </c>
      <c r="GM24">
        <v>-2.7304126706918067E-2</v>
      </c>
      <c r="GN24">
        <v>2.7967065071676438E-3</v>
      </c>
      <c r="GO24">
        <v>1.1914303356051282E-2</v>
      </c>
      <c r="GP24">
        <v>6.9093966126886211E-3</v>
      </c>
      <c r="GQ24">
        <v>0.21360175922010308</v>
      </c>
      <c r="GS24" t="s">
        <v>82</v>
      </c>
      <c r="GT24">
        <f t="array" ref="GT24:GY24">LINEST(GY2:GY8,GT2:GX8,TRUE,FALSE)</f>
        <v>-5.1598420720567152E-5</v>
      </c>
      <c r="GU24">
        <v>-8.8704919120488057E-2</v>
      </c>
      <c r="GV24">
        <v>9.0858655610905718E-3</v>
      </c>
      <c r="GW24">
        <v>3.8706871196422882E-2</v>
      </c>
      <c r="GX24">
        <v>2.2447063562176704E-2</v>
      </c>
      <c r="GY24">
        <v>0.69394370232000757</v>
      </c>
      <c r="HA24" t="s">
        <v>82</v>
      </c>
      <c r="HB24">
        <f t="array" ref="HB24:HG24">LINEST(HG2:HG8,HB2:HF8,TRUE,FALSE)</f>
        <v>3.4591267976460314E-4</v>
      </c>
      <c r="HC24">
        <v>0.24240713412744483</v>
      </c>
      <c r="HD24">
        <v>0.25418429338658632</v>
      </c>
      <c r="HE24">
        <v>-7.7055012995097413E-2</v>
      </c>
      <c r="HF24">
        <v>2.3599999186216393E-2</v>
      </c>
      <c r="HG24">
        <v>-5.9037753100383785</v>
      </c>
      <c r="HI24" t="s">
        <v>82</v>
      </c>
      <c r="HJ24">
        <f t="array" ref="HJ24:HO24">LINEST(HO2:HO8,HJ2:HN8,TRUE,FALSE)</f>
        <v>6.9200249234096958E-4</v>
      </c>
      <c r="HK24">
        <v>9.3713781452045689E-2</v>
      </c>
      <c r="HL24">
        <v>0.14991600981963282</v>
      </c>
      <c r="HM24">
        <v>-7.3499329450245426E-2</v>
      </c>
      <c r="HN24">
        <v>0.11400198921449069</v>
      </c>
      <c r="HO24">
        <v>-4.1314121839789291</v>
      </c>
      <c r="HQ24" t="s">
        <v>82</v>
      </c>
      <c r="HR24">
        <f t="array" ref="HR24:HW24">LINEST(HW2:HW8,HR2:HV8,TRUE,FALSE)</f>
        <v>7.5861153491512832E-4</v>
      </c>
      <c r="HS24">
        <v>0.27830538132919891</v>
      </c>
      <c r="HT24">
        <v>0.32170347182597814</v>
      </c>
      <c r="HU24">
        <v>-0.14622541733957448</v>
      </c>
      <c r="HV24">
        <v>9.8801110509635054E-2</v>
      </c>
      <c r="HW24">
        <v>-7.8296286186294672</v>
      </c>
      <c r="HY24" t="s">
        <v>82</v>
      </c>
      <c r="HZ24">
        <f t="array" ref="HZ24:IE24">LINEST(IE2:IE8,HZ2:ID8,TRUE,FALSE)</f>
        <v>1.184103547031097E-3</v>
      </c>
      <c r="IA24">
        <v>0.55614857439698473</v>
      </c>
      <c r="IB24">
        <v>0.67427377411171086</v>
      </c>
      <c r="IC24">
        <v>-0.27337642681026758</v>
      </c>
      <c r="ID24">
        <v>0.14454925961632856</v>
      </c>
      <c r="IE24">
        <v>-15.246783563619283</v>
      </c>
      <c r="IG24" t="s">
        <v>82</v>
      </c>
      <c r="IH24">
        <f t="array" ref="IH24:IM24">LINEST(IM2:IM8,IH2:IL8,TRUE,FALSE)</f>
        <v>6.4675925728673814E-4</v>
      </c>
      <c r="II24">
        <v>0.29647635075527945</v>
      </c>
      <c r="IJ24">
        <v>0.34165508938814632</v>
      </c>
      <c r="IK24">
        <v>-0.13991831793369075</v>
      </c>
      <c r="IL24">
        <v>7.5829242287304671E-2</v>
      </c>
      <c r="IM24">
        <v>-7.9757425241359918</v>
      </c>
      <c r="IO24" t="s">
        <v>82</v>
      </c>
      <c r="IP24">
        <f t="array" ref="IP24:IU24">LINEST(IU2:IU8,IP2:IT8,TRUE,FALSE)</f>
        <v>1.6476680563081063E-3</v>
      </c>
      <c r="IQ24">
        <v>0.7146218444770206</v>
      </c>
      <c r="IR24">
        <v>0.8430100210142295</v>
      </c>
      <c r="IS24">
        <v>-0.35279224659164865</v>
      </c>
      <c r="IT24">
        <v>0.20347117492818942</v>
      </c>
      <c r="IU24">
        <v>-19.629339164489824</v>
      </c>
      <c r="IW24" t="s">
        <v>82</v>
      </c>
      <c r="IX24">
        <f t="array" ref="IX24:JC24">LINEST(JC2:JC8,IX2:JB8,TRUE,FALSE)</f>
        <v>0</v>
      </c>
      <c r="IY24">
        <v>0</v>
      </c>
      <c r="IZ24">
        <v>0</v>
      </c>
      <c r="JA24">
        <v>0</v>
      </c>
      <c r="JB24">
        <v>0</v>
      </c>
      <c r="JC24">
        <v>0</v>
      </c>
      <c r="JE24" t="s">
        <v>82</v>
      </c>
      <c r="JF24">
        <f t="array" ref="JF24:JK24">LINEST(JK2:JK8,JF2:JJ8,TRUE,FALSE)</f>
        <v>0</v>
      </c>
      <c r="JG24">
        <v>0</v>
      </c>
      <c r="JH24">
        <v>0</v>
      </c>
      <c r="JI24">
        <v>0</v>
      </c>
      <c r="JJ24">
        <v>0</v>
      </c>
      <c r="JK24">
        <v>0</v>
      </c>
      <c r="JM24" t="s">
        <v>82</v>
      </c>
      <c r="JN24">
        <f t="array" ref="JN24:JS24">LINEST(JS2:JS8,JN2:JR8,TRUE,FALSE)</f>
        <v>0</v>
      </c>
      <c r="JO24">
        <v>0</v>
      </c>
      <c r="JP24">
        <v>0</v>
      </c>
      <c r="JQ24">
        <v>0</v>
      </c>
      <c r="JR24">
        <v>0</v>
      </c>
      <c r="JS24">
        <v>0</v>
      </c>
      <c r="JU24" t="s">
        <v>82</v>
      </c>
      <c r="JV24">
        <f t="array" ref="JV24:KA24">LINEST(KA2:KA8,JV2:JZ8,TRUE,FALSE)</f>
        <v>0</v>
      </c>
      <c r="JW24">
        <v>0</v>
      </c>
      <c r="JX24">
        <v>0</v>
      </c>
      <c r="JY24">
        <v>0</v>
      </c>
      <c r="JZ24">
        <v>0</v>
      </c>
      <c r="KA24">
        <v>0</v>
      </c>
      <c r="KC24" t="s">
        <v>82</v>
      </c>
      <c r="KD24">
        <f t="array" ref="KD24:KI24">LINEST(KI2:KI8,KD2:KH8,TRUE,FALSE)</f>
        <v>2.2189424592007989E-4</v>
      </c>
      <c r="KE24">
        <v>0.10369298561027877</v>
      </c>
      <c r="KF24">
        <v>0.15108036061403676</v>
      </c>
      <c r="KG24">
        <v>-3.8737975080890399E-2</v>
      </c>
      <c r="KH24">
        <v>2.9868502933045417E-2</v>
      </c>
      <c r="KI24">
        <v>-3.1391693785241608</v>
      </c>
      <c r="KK24" t="s">
        <v>82</v>
      </c>
      <c r="KL24">
        <f t="array" ref="KL24:KQ24">LINEST(KQ2:KQ8,KL2:KP8,TRUE,FALSE)</f>
        <v>7.6560067802286394E-4</v>
      </c>
      <c r="KM24">
        <v>0.46685826755549314</v>
      </c>
      <c r="KN24">
        <v>0.55345376675492797</v>
      </c>
      <c r="KO24">
        <v>-0.17537411365542144</v>
      </c>
      <c r="KP24">
        <v>6.864621156059153E-2</v>
      </c>
      <c r="KQ24">
        <v>-12.16005383500011</v>
      </c>
      <c r="KS24" t="s">
        <v>82</v>
      </c>
      <c r="KT24">
        <f t="array" ref="KT24:KY24">LINEST(KY2:KY8,KT2:KX8,TRUE,FALSE)</f>
        <v>-7.3292774664372013E-5</v>
      </c>
      <c r="KU24">
        <v>0.1868636330188887</v>
      </c>
      <c r="KV24">
        <v>0.16154409734356065</v>
      </c>
      <c r="KW24">
        <v>-4.9802226155746601E-2</v>
      </c>
      <c r="KX24">
        <v>-6.6216107284809519E-2</v>
      </c>
      <c r="KY24">
        <v>-3.1581663684466061</v>
      </c>
      <c r="LA24" t="s">
        <v>82</v>
      </c>
      <c r="LB24">
        <f t="array" ref="LB24:LG24">LINEST(LG2:LG8,LB2:LF8,TRUE,FALSE)</f>
        <v>-1.7141578202908649E-4</v>
      </c>
      <c r="LC24">
        <v>0.23281522582702352</v>
      </c>
      <c r="LD24">
        <v>0.18507421596791784</v>
      </c>
      <c r="LE24">
        <v>-4.5505663375183032E-2</v>
      </c>
      <c r="LF24">
        <v>-9.7686719735922231E-2</v>
      </c>
      <c r="LG24">
        <v>-3.6226240955925006</v>
      </c>
      <c r="LI24" t="s">
        <v>82</v>
      </c>
      <c r="LJ24">
        <f t="array" ref="LJ24:LO24">LINEST(LO2:LO8,LJ2:LN8,TRUE,FALSE)</f>
        <v>2.0829052724808417E-4</v>
      </c>
      <c r="LK24">
        <v>-0.16958666906297903</v>
      </c>
      <c r="LL24">
        <v>-3.7331449914265097E-2</v>
      </c>
      <c r="LM24">
        <v>5.1483649728383964E-2</v>
      </c>
      <c r="LN24">
        <v>7.8182447162159163E-2</v>
      </c>
      <c r="LO24">
        <v>1.3604635834171461</v>
      </c>
      <c r="LQ24" t="s">
        <v>82</v>
      </c>
      <c r="LR24">
        <f t="array" ref="LR24:LW24">LINEST(LW2:LW8,LR2:LV8,TRUE,FALSE)</f>
        <v>2.7838999983400295E-4</v>
      </c>
      <c r="LS24">
        <v>-0.45847728408171456</v>
      </c>
      <c r="LT24">
        <v>-0.20564399638067452</v>
      </c>
      <c r="LU24">
        <v>0.16434951541487716</v>
      </c>
      <c r="LV24">
        <v>0.13459945466733209</v>
      </c>
      <c r="LW24">
        <v>5.6144018644501443</v>
      </c>
      <c r="LY24" t="s">
        <v>82</v>
      </c>
      <c r="LZ24">
        <f t="array" ref="LZ24:ME24">LINEST(ME2:ME8,LZ2:MD8,TRUE,FALSE)</f>
        <v>-1.167703473492491E-4</v>
      </c>
      <c r="MA24">
        <v>-0.30817016142790371</v>
      </c>
      <c r="MB24">
        <v>-0.23881663515316498</v>
      </c>
      <c r="MC24">
        <v>8.2662285767620747E-2</v>
      </c>
      <c r="MD24">
        <v>3.4503318058651936E-2</v>
      </c>
      <c r="ME24">
        <v>5.8173173518730472</v>
      </c>
      <c r="MG24" t="s">
        <v>82</v>
      </c>
      <c r="MH24">
        <f t="array" ref="MH24:MM24">LINEST(MM2:MM8,MH2:ML8,TRUE,FALSE)</f>
        <v>2.213096398732628E-5</v>
      </c>
      <c r="MI24">
        <v>-9.9702462996299784E-2</v>
      </c>
      <c r="MJ24">
        <v>6.0502655961894622E-2</v>
      </c>
      <c r="MK24">
        <v>-3.7599630873563106E-2</v>
      </c>
      <c r="ML24">
        <v>8.2081517683449651E-2</v>
      </c>
      <c r="MM24">
        <v>0.40819323558433862</v>
      </c>
      <c r="MO24" t="s">
        <v>82</v>
      </c>
      <c r="MP24">
        <f t="array" ref="MP24:MU24">LINEST(MU2:MU8,MP2:MT8,TRUE,FALSE)</f>
        <v>1.9695833997150099E-4</v>
      </c>
      <c r="MQ24">
        <v>0.63089415674959981</v>
      </c>
      <c r="MR24">
        <v>0.64392050686307334</v>
      </c>
      <c r="MS24">
        <v>-0.11433758223394719</v>
      </c>
      <c r="MT24">
        <v>-6.3152514874407942E-2</v>
      </c>
      <c r="MU24">
        <v>-13.742718262129786</v>
      </c>
      <c r="MW24" t="s">
        <v>82</v>
      </c>
      <c r="MX24">
        <f t="array" ref="MX24:NC24">LINEST(NC2:NC8,MX2:NB8,TRUE,FALSE)</f>
        <v>0</v>
      </c>
      <c r="MY24">
        <v>0</v>
      </c>
      <c r="MZ24">
        <v>0</v>
      </c>
      <c r="NA24">
        <v>0</v>
      </c>
      <c r="NB24">
        <v>0</v>
      </c>
      <c r="NC24">
        <v>0</v>
      </c>
      <c r="NE24" t="s">
        <v>82</v>
      </c>
      <c r="NF24">
        <f t="array" ref="NF24:NK24">LINEST(NK2:NK8,NF2:NJ8,TRUE,FALSE)</f>
        <v>-1.5217171446198313E-5</v>
      </c>
      <c r="NG24">
        <v>-3.614127563794989E-3</v>
      </c>
      <c r="NH24">
        <v>9.2998067189408711E-3</v>
      </c>
      <c r="NI24">
        <v>3.9741864079994062E-3</v>
      </c>
      <c r="NJ24">
        <v>-7.4261441707618235E-4</v>
      </c>
      <c r="NK24">
        <v>-4.8716799949158229E-2</v>
      </c>
      <c r="NM24" t="s">
        <v>82</v>
      </c>
      <c r="NN24">
        <f t="array" ref="NN24:NS24">LINEST(NS2:NS8,NN2:NR8,TRUE,FALSE)</f>
        <v>-2.5505147528855239E-4</v>
      </c>
      <c r="NO24">
        <v>0.46845578573116897</v>
      </c>
      <c r="NP24">
        <v>0.41967132554484982</v>
      </c>
      <c r="NQ24">
        <v>-0.14829268744448876</v>
      </c>
      <c r="NR24">
        <v>-8.2872227037922089E-2</v>
      </c>
      <c r="NS24">
        <v>-8.1753792389359159</v>
      </c>
      <c r="NU24" t="s">
        <v>82</v>
      </c>
      <c r="NV24">
        <f t="array" ref="NV24:OA24">LINEST(OA2:OA8,NV2:NZ8,TRUE,FALSE)</f>
        <v>1.9168889530785151E-4</v>
      </c>
      <c r="NW24">
        <v>-2.5005502702581664E-3</v>
      </c>
      <c r="NX24">
        <v>0.10205883314936912</v>
      </c>
      <c r="NY24">
        <v>-8.1119129249788129E-3</v>
      </c>
      <c r="NZ24">
        <v>5.160841806403782E-2</v>
      </c>
      <c r="OA24">
        <v>-1.612714495143019</v>
      </c>
      <c r="OC24" t="s">
        <v>82</v>
      </c>
      <c r="OD24">
        <f t="array" ref="OD24:OI24">LINEST(OI2:OI8,OD2:OH8,TRUE,FALSE)</f>
        <v>9.7613211707458115E-4</v>
      </c>
      <c r="OE24">
        <v>0.30127970467781229</v>
      </c>
      <c r="OF24">
        <v>0.49080072522562096</v>
      </c>
      <c r="OG24">
        <v>-0.14639130324263808</v>
      </c>
      <c r="OH24">
        <v>0.14914991229849123</v>
      </c>
      <c r="OI24">
        <v>-10.483266571075255</v>
      </c>
      <c r="OK24" t="s">
        <v>82</v>
      </c>
      <c r="OL24">
        <f t="array" ref="OL24:OQ24">LINEST(OQ2:OQ8,OL2:OP8,TRUE,FALSE)</f>
        <v>4.7648800195498284E-4</v>
      </c>
      <c r="OM24">
        <v>0.38914618853877797</v>
      </c>
      <c r="ON24">
        <v>0.39371972360405361</v>
      </c>
      <c r="OO24">
        <v>-0.13026222281765024</v>
      </c>
      <c r="OP24">
        <v>2.3975939185279904E-2</v>
      </c>
      <c r="OQ24">
        <v>-9.0893586211500121</v>
      </c>
      <c r="OS24" t="s">
        <v>82</v>
      </c>
      <c r="OT24">
        <f t="array" ref="OT24:OY24">LINEST(OY2:OY8,OT2:OX8,TRUE,FALSE)</f>
        <v>1.7031042434502229E-3</v>
      </c>
      <c r="OU24">
        <v>1.0820093782847946</v>
      </c>
      <c r="OV24">
        <v>1.1433955818430162</v>
      </c>
      <c r="OW24">
        <v>-0.41600506706193552</v>
      </c>
      <c r="OX24">
        <v>0.14309314390248382</v>
      </c>
      <c r="OY24">
        <v>-26.599619644055576</v>
      </c>
      <c r="PA24" t="s">
        <v>82</v>
      </c>
      <c r="PB24">
        <f t="array" ref="PB24:PG24">LINEST(PG2:PG8,PB2:PF8,TRUE,FALSE)</f>
        <v>-3.4390830911862244E-6</v>
      </c>
      <c r="PC24">
        <v>4.6709287618368648E-3</v>
      </c>
      <c r="PD24">
        <v>3.7131097219613805E-3</v>
      </c>
      <c r="PE24">
        <v>-9.1297169732159841E-4</v>
      </c>
      <c r="PF24">
        <v>-1.9598705679285235E-3</v>
      </c>
      <c r="PG24">
        <v>-7.2680036373558368E-2</v>
      </c>
      <c r="PI24" t="s">
        <v>82</v>
      </c>
      <c r="PJ24">
        <f t="array" ref="PJ24:PO24">LINEST(PO2:PO8,PJ2:PN8,TRUE,FALSE)</f>
        <v>-1.7141578202908649E-4</v>
      </c>
      <c r="PK24">
        <v>0.23281522582702352</v>
      </c>
      <c r="PL24">
        <v>0.18507421596791784</v>
      </c>
      <c r="PM24">
        <v>-4.5505663375183032E-2</v>
      </c>
      <c r="PN24">
        <v>-9.7686719735922231E-2</v>
      </c>
      <c r="PO24">
        <v>-3.6226240955925006</v>
      </c>
      <c r="PQ24" t="s">
        <v>82</v>
      </c>
      <c r="PR24">
        <f t="array" ref="PR24:PW24">LINEST(PW2:PW8,PR2:PV8,TRUE,FALSE)</f>
        <v>3.3595414599404857E-4</v>
      </c>
      <c r="PS24">
        <v>-9.1669722365807602E-2</v>
      </c>
      <c r="PT24">
        <v>1.2244053529679879E-2</v>
      </c>
      <c r="PU24">
        <v>2.3208025934041733E-2</v>
      </c>
      <c r="PV24">
        <v>8.972279142146368E-2</v>
      </c>
      <c r="PW24">
        <v>-0.16265511519064735</v>
      </c>
      <c r="PY24" t="s">
        <v>82</v>
      </c>
      <c r="PZ24">
        <f t="array" ref="PZ24:QE24">LINEST(QE2:QE8,PZ2:QD8,TRUE,FALSE)</f>
        <v>1.0480159782343945E-3</v>
      </c>
      <c r="QA24">
        <v>0.39527972751081297</v>
      </c>
      <c r="QB24">
        <v>0.56928832522791817</v>
      </c>
      <c r="QC24">
        <v>-0.18459242066548723</v>
      </c>
      <c r="QD24">
        <v>0.15147736383557969</v>
      </c>
      <c r="QE24">
        <v>-12.351677137298093</v>
      </c>
    </row>
    <row r="26" spans="1:487" x14ac:dyDescent="0.45">
      <c r="A26" t="s">
        <v>34</v>
      </c>
      <c r="B26" s="1">
        <f>B24/SUM(B24:F24)</f>
        <v>2.4433640935327501E-3</v>
      </c>
      <c r="C26" s="1">
        <f>C24/SUM(B24:F24)</f>
        <v>0.30686187552527977</v>
      </c>
      <c r="D26" s="1">
        <f>D24/SUM(B24:F24)</f>
        <v>0.66814518242862631</v>
      </c>
      <c r="E26" s="1">
        <f>E24/SUM(B24:F24)</f>
        <v>-0.43160972017221649</v>
      </c>
      <c r="F26" s="1">
        <f>F24/SUM(B24:F24)</f>
        <v>0.45415929812477757</v>
      </c>
      <c r="G26" s="5">
        <f>G18</f>
        <v>2.102595296085643E-2</v>
      </c>
      <c r="I26" t="s">
        <v>34</v>
      </c>
      <c r="J26" s="1">
        <f>J24/SUM(J24:N24)</f>
        <v>-1.3654313796125158E-2</v>
      </c>
      <c r="K26" s="1">
        <f>K24/SUM(J24:N24)</f>
        <v>2.6359089230304913</v>
      </c>
      <c r="L26" s="1">
        <f>L24/SUM(J24:N24)</f>
        <v>1.7054161127452599E-2</v>
      </c>
      <c r="M26" s="1">
        <f>M24/SUM(J24:N24)</f>
        <v>1.7004955090007741</v>
      </c>
      <c r="N26" s="1">
        <f>N24/SUM(J24:N24)</f>
        <v>-3.3398042793625926</v>
      </c>
      <c r="O26" s="5">
        <f>O18</f>
        <v>5.3568860976711867E-2</v>
      </c>
      <c r="Q26" t="s">
        <v>34</v>
      </c>
      <c r="R26" s="1">
        <f>R24/SUM(R24:V24)</f>
        <v>5.2439620027936308E-4</v>
      </c>
      <c r="S26" s="1">
        <f>S24/SUM(R24:V24)</f>
        <v>0.53127694322520969</v>
      </c>
      <c r="T26" s="1">
        <f>T24/SUM(R24:V24)</f>
        <v>0.58950365137832561</v>
      </c>
      <c r="U26" s="1">
        <f>U24/SUM(R24:V24)</f>
        <v>-0.13569736884394171</v>
      </c>
      <c r="V26" s="1">
        <f>V24/SUM(R24:V24)</f>
        <v>1.4392378040127015E-2</v>
      </c>
      <c r="W26" s="5">
        <f>W18</f>
        <v>0.11755732789704919</v>
      </c>
      <c r="Y26" t="s">
        <v>34</v>
      </c>
      <c r="Z26" s="1">
        <f>Z24/SUM(Z24:AD24)</f>
        <v>5.5051747997231898E-4</v>
      </c>
      <c r="AA26" s="1">
        <f>AA24/SUM(Z24:AD24)</f>
        <v>0.60267215557586717</v>
      </c>
      <c r="AB26" s="1">
        <f>AB24/SUM(Z24:AD24)</f>
        <v>0.59277667453443172</v>
      </c>
      <c r="AC26" s="1">
        <f>AC24/SUM(Z24:AD24)</f>
        <v>-0.20455948648213229</v>
      </c>
      <c r="AD26" s="1">
        <f>AD24/SUM(Z24:AD24)</f>
        <v>8.5601388918610435E-3</v>
      </c>
      <c r="AE26" s="5">
        <f>AE18</f>
        <v>0.31629947825067245</v>
      </c>
      <c r="AG26" t="s">
        <v>34</v>
      </c>
      <c r="AH26" s="1">
        <f>AH24/SUM(AH24:AL24)</f>
        <v>2.8878455685880581E-3</v>
      </c>
      <c r="AI26" s="1">
        <f>AI24/SUM(AH24:AL24)</f>
        <v>-0.54073969480850315</v>
      </c>
      <c r="AJ26" s="1">
        <f>AJ24/SUM(AH24:AL24)</f>
        <v>0.7489030789052471</v>
      </c>
      <c r="AK26" s="1">
        <f>AK24/SUM(AH24:AL24)</f>
        <v>5.5791527956689811E-2</v>
      </c>
      <c r="AL26" s="1">
        <f>AL24/SUM(AH24:AL24)</f>
        <v>0.73315724237797819</v>
      </c>
      <c r="AM26" s="5">
        <f>AM18</f>
        <v>0.19279163313551262</v>
      </c>
      <c r="AO26" t="s">
        <v>34</v>
      </c>
      <c r="AP26" s="1">
        <f>AP24/SUM(AP24:AT24)</f>
        <v>2.0409516004484939E-3</v>
      </c>
      <c r="AQ26" s="1">
        <f>AQ24/SUM(AP24:AT24)</f>
        <v>0.10742393708004917</v>
      </c>
      <c r="AR26" s="1">
        <f>AR24/SUM(AP24:AT24)</f>
        <v>0.57275143861736355</v>
      </c>
      <c r="AS26" s="1">
        <f>AS24/SUM(AP24:AT24)</f>
        <v>-5.6881121485831937E-2</v>
      </c>
      <c r="AT26" s="1">
        <f>AT24/SUM(AP24:AT24)</f>
        <v>0.37466479418797066</v>
      </c>
      <c r="AU26" s="5">
        <f>AU18</f>
        <v>0.39108612819311173</v>
      </c>
      <c r="AW26" t="s">
        <v>34</v>
      </c>
      <c r="AX26" s="1" t="e">
        <f>AX24/SUM(AX24:BB24)</f>
        <v>#DIV/0!</v>
      </c>
      <c r="AY26" s="1" t="e">
        <f>AY24/SUM(AX24:BB24)</f>
        <v>#DIV/0!</v>
      </c>
      <c r="AZ26" s="1" t="e">
        <f>AZ24/SUM(AX24:BB24)</f>
        <v>#DIV/0!</v>
      </c>
      <c r="BA26" s="1" t="e">
        <f>BA24/SUM(AX24:BB24)</f>
        <v>#DIV/0!</v>
      </c>
      <c r="BB26" s="1" t="e">
        <f>BB24/SUM(AX24:BB24)</f>
        <v>#DIV/0!</v>
      </c>
      <c r="BC26" s="5">
        <f>BC18</f>
        <v>0</v>
      </c>
      <c r="BE26" t="s">
        <v>34</v>
      </c>
      <c r="BF26" s="1" t="e">
        <f>BF24/SUM(BF24:BJ24)</f>
        <v>#DIV/0!</v>
      </c>
      <c r="BG26" s="1" t="e">
        <f>BG24/SUM(BF24:BJ24)</f>
        <v>#DIV/0!</v>
      </c>
      <c r="BH26" s="1" t="e">
        <f>BH24/SUM(BF24:BJ24)</f>
        <v>#DIV/0!</v>
      </c>
      <c r="BI26" s="1" t="e">
        <f>BI24/SUM(BF24:BJ24)</f>
        <v>#DIV/0!</v>
      </c>
      <c r="BJ26" s="1" t="e">
        <f>BJ24/SUM(BF24:BJ24)</f>
        <v>#DIV/0!</v>
      </c>
      <c r="BK26" s="5">
        <f>BK18</f>
        <v>0</v>
      </c>
      <c r="BM26" t="s">
        <v>34</v>
      </c>
      <c r="BN26" s="1">
        <f>BN24/SUM(BN24:BR24)</f>
        <v>-1.0845324758187257E-5</v>
      </c>
      <c r="BO26" s="1">
        <f>BO24/SUM(BN24:BR24)</f>
        <v>0.49971265437643625</v>
      </c>
      <c r="BP26" s="1">
        <f>BP24/SUM(BN24:BR24)</f>
        <v>0.62752670242002673</v>
      </c>
      <c r="BQ26" s="1">
        <f>BQ24/SUM(BN24:BR24)</f>
        <v>-6.8968933248700709E-2</v>
      </c>
      <c r="BR26" s="1">
        <f>BR24/SUM(BN24:BR24)</f>
        <v>-5.8259578223004149E-2</v>
      </c>
      <c r="BS26" s="5">
        <f>BS18</f>
        <v>3.2529083170257385E-2</v>
      </c>
      <c r="BU26" t="s">
        <v>34</v>
      </c>
      <c r="BV26" s="1">
        <f>BV24/SUM(BV24:BZ24)</f>
        <v>5.235678509434372E-4</v>
      </c>
      <c r="BW26" s="1">
        <f>BW24/SUM(BV24:BZ24)</f>
        <v>0.56280498372431642</v>
      </c>
      <c r="BX26" s="1">
        <f>BX24/SUM(BV24:BZ24)</f>
        <v>0.61418066914171887</v>
      </c>
      <c r="BY26" s="1">
        <f>BY24/SUM(BV24:BZ24)</f>
        <v>-0.18258746945740295</v>
      </c>
      <c r="BZ26" s="1">
        <f>BZ24/SUM(BV24:BZ24)</f>
        <v>5.0782487404242606E-3</v>
      </c>
      <c r="CA26" s="5">
        <f>CA18</f>
        <v>0.20929046424567341</v>
      </c>
      <c r="CC26" t="s">
        <v>34</v>
      </c>
      <c r="CD26" s="1">
        <f>CD24/SUM(CD24:CH24)</f>
        <v>-2.9363163440791887E-4</v>
      </c>
      <c r="CE26" s="1">
        <f>CE24/SUM(CD24:CH24)</f>
        <v>0.83501249697189217</v>
      </c>
      <c r="CF26" s="1">
        <f>CF24/SUM(CD24:CH24)</f>
        <v>0.60534020623684348</v>
      </c>
      <c r="CG26" s="1">
        <f>CG24/SUM(CD24:CH24)</f>
        <v>-0.28145498542566671</v>
      </c>
      <c r="CH26" s="1">
        <f>CH24/SUM(CD24:CH24)</f>
        <v>-0.15860408614866106</v>
      </c>
      <c r="CI26" s="5">
        <f>CI18</f>
        <v>7.0442468251884086E-3</v>
      </c>
      <c r="CK26" t="s">
        <v>34</v>
      </c>
      <c r="CL26" s="1" t="e">
        <f>CL24/SUM(CL24:CP24)</f>
        <v>#DIV/0!</v>
      </c>
      <c r="CM26" s="1" t="e">
        <f>CM24/SUM(CL24:CP24)</f>
        <v>#DIV/0!</v>
      </c>
      <c r="CN26" s="1" t="e">
        <f>CN24/SUM(CL24:CP24)</f>
        <v>#DIV/0!</v>
      </c>
      <c r="CO26" s="1" t="e">
        <f>CO24/SUM(CL24:CP24)</f>
        <v>#DIV/0!</v>
      </c>
      <c r="CP26" s="1" t="e">
        <f>CP24/SUM(CL24:CP24)</f>
        <v>#DIV/0!</v>
      </c>
      <c r="CQ26" s="5">
        <f>CQ18</f>
        <v>0</v>
      </c>
      <c r="CS26" t="s">
        <v>34</v>
      </c>
      <c r="CT26" s="1">
        <f>CT24/SUM(CT24:CX24)</f>
        <v>1.510442632731342E-2</v>
      </c>
      <c r="CU26" s="1">
        <f>CU24/SUM(CT24:CX24)</f>
        <v>8.2717790233526749</v>
      </c>
      <c r="CV26" s="1">
        <f>CV24/SUM(CT24:CX24)</f>
        <v>-5.1414529481862914</v>
      </c>
      <c r="CW26" s="1">
        <f>CW24/SUM(CT24:CX24)</f>
        <v>-2.3801183240655028</v>
      </c>
      <c r="CX26" s="1">
        <f>CX24/SUM(CT24:CX24)</f>
        <v>0.23468782257180515</v>
      </c>
      <c r="CY26" s="5">
        <f>CY18</f>
        <v>8.366675121628743E-2</v>
      </c>
      <c r="DA26" t="s">
        <v>34</v>
      </c>
      <c r="DB26" s="1">
        <f>DB24/SUM(DB24:DF24)</f>
        <v>-8.7436268781262961E-5</v>
      </c>
      <c r="DC26" s="1">
        <f>DC24/SUM(DB24:DF24)</f>
        <v>0.65740028144116602</v>
      </c>
      <c r="DD26" s="1">
        <f>DD24/SUM(DB24:DF24)</f>
        <v>0.60349742392211292</v>
      </c>
      <c r="DE26" s="1">
        <f>DE24/SUM(DB24:DF24)</f>
        <v>-0.12785960175041097</v>
      </c>
      <c r="DF26" s="1">
        <f>DF24/SUM(DB24:DF24)</f>
        <v>-0.13295066734408653</v>
      </c>
      <c r="DG26" s="5">
        <f>DG18</f>
        <v>0.15118832590892087</v>
      </c>
      <c r="DI26" t="s">
        <v>34</v>
      </c>
      <c r="DJ26" s="1" t="e">
        <f>DJ24/SUM(DJ24:DN24)</f>
        <v>#DIV/0!</v>
      </c>
      <c r="DK26" s="1" t="e">
        <f>DK24/SUM(DJ24:DN24)</f>
        <v>#DIV/0!</v>
      </c>
      <c r="DL26" s="1" t="e">
        <f>DL24/SUM(DJ24:DN24)</f>
        <v>#DIV/0!</v>
      </c>
      <c r="DM26" s="1" t="e">
        <f>DM24/SUM(DJ24:DN24)</f>
        <v>#DIV/0!</v>
      </c>
      <c r="DN26" s="1" t="e">
        <f>DN24/SUM(DJ24:DN24)</f>
        <v>#DIV/0!</v>
      </c>
      <c r="DO26" s="5">
        <f>DO18</f>
        <v>0</v>
      </c>
      <c r="DQ26" t="s">
        <v>34</v>
      </c>
      <c r="DR26" s="1" t="e">
        <f>DR24/SUM(DR24:DV24)</f>
        <v>#DIV/0!</v>
      </c>
      <c r="DS26" s="1" t="e">
        <f>DS24/SUM(DR24:DV24)</f>
        <v>#DIV/0!</v>
      </c>
      <c r="DT26" s="1" t="e">
        <f>DT24/SUM(DR24:DV24)</f>
        <v>#DIV/0!</v>
      </c>
      <c r="DU26" s="1" t="e">
        <f>DU24/SUM(DR24:DV24)</f>
        <v>#DIV/0!</v>
      </c>
      <c r="DV26" s="1" t="e">
        <f>DV24/SUM(DR24:DV24)</f>
        <v>#DIV/0!</v>
      </c>
      <c r="DW26" s="5">
        <f>DW18</f>
        <v>0</v>
      </c>
      <c r="DY26" t="s">
        <v>34</v>
      </c>
      <c r="DZ26" s="1">
        <f>DZ24/SUM(DZ24:ED24)</f>
        <v>-7.1951706424790824E-4</v>
      </c>
      <c r="EA26" s="1">
        <f>EA24/SUM(DZ24:ED24)</f>
        <v>0.63216289674071591</v>
      </c>
      <c r="EB26" s="1">
        <f>EB24/SUM(DZ24:ED24)</f>
        <v>0.59664807302601952</v>
      </c>
      <c r="EC26" s="1">
        <f>EC24/SUM(DZ24:ED24)</f>
        <v>2.193140420066856E-2</v>
      </c>
      <c r="ED26" s="1">
        <f>ED24/SUM(DZ24:ED24)</f>
        <v>-0.25002285690315595</v>
      </c>
      <c r="EE26" s="5">
        <f>EE18</f>
        <v>0.21657820866820754</v>
      </c>
      <c r="EG26" t="s">
        <v>34</v>
      </c>
      <c r="EH26" s="1">
        <f>EH24/SUM(EH24:EL24)</f>
        <v>4.6828396796962037E-4</v>
      </c>
      <c r="EI26" s="1">
        <f>EI24/SUM(EH24:EL24)</f>
        <v>0.41694601945104121</v>
      </c>
      <c r="EJ26" s="1">
        <f>EJ24/SUM(EH24:EL24)</f>
        <v>0.53800086172666417</v>
      </c>
      <c r="EK26" s="1">
        <f>EK24/SUM(EH24:EL24)</f>
        <v>8.2366448662059222E-2</v>
      </c>
      <c r="EL26" s="1">
        <f>EL24/SUM(EH24:EL24)</f>
        <v>-3.7781613807734184E-2</v>
      </c>
      <c r="EM26" s="5">
        <f>EM18</f>
        <v>0.48064463439864308</v>
      </c>
      <c r="EO26" t="s">
        <v>34</v>
      </c>
      <c r="EP26" s="1">
        <f>EP24/SUM(EP24:ET24)</f>
        <v>5.3872746610314124E-4</v>
      </c>
      <c r="EQ26" s="1">
        <f>EQ24/SUM(EP24:ET24)</f>
        <v>0.48994036831921201</v>
      </c>
      <c r="ER26" s="1">
        <f>ER24/SUM(EP24:ET24)</f>
        <v>0.60414505227555282</v>
      </c>
      <c r="ES26" s="1">
        <f>ES24/SUM(EP24:ET24)</f>
        <v>-0.12173379412868317</v>
      </c>
      <c r="ET26" s="1">
        <f>ET24/SUM(EP24:ET24)</f>
        <v>2.7109646067815182E-2</v>
      </c>
      <c r="EU26" s="5">
        <f>EU18</f>
        <v>0.12804091365500264</v>
      </c>
      <c r="EW26" t="s">
        <v>34</v>
      </c>
      <c r="EX26" s="1">
        <f>EX24/SUM(EX24:FB24)</f>
        <v>5.4038461080719105E-4</v>
      </c>
      <c r="EY26" s="1">
        <f>EY24/SUM(EX24:FB24)</f>
        <v>0.56612665143959706</v>
      </c>
      <c r="EZ26" s="1">
        <f>EZ24/SUM(EX24:FB24)</f>
        <v>0.59932214761161684</v>
      </c>
      <c r="FA26" s="1">
        <f>FA24/SUM(EX24:FB24)</f>
        <v>-0.17914020942361222</v>
      </c>
      <c r="FB26" s="1">
        <f>FB24/SUM(EX24:FB24)</f>
        <v>1.3151025761590962E-2</v>
      </c>
      <c r="FC26" s="5">
        <f>FC18</f>
        <v>0.33860667461482757</v>
      </c>
      <c r="FE26" t="s">
        <v>34</v>
      </c>
      <c r="FF26" s="1" t="e">
        <f>FF24/SUM(FF24:FJ24)</f>
        <v>#DIV/0!</v>
      </c>
      <c r="FG26" s="1" t="e">
        <f>FG24/SUM(FF24:FJ24)</f>
        <v>#DIV/0!</v>
      </c>
      <c r="FH26" s="1" t="e">
        <f>FH24/SUM(FF24:FJ24)</f>
        <v>#DIV/0!</v>
      </c>
      <c r="FI26" s="1" t="e">
        <f>FI24/SUM(FF24:FJ24)</f>
        <v>#DIV/0!</v>
      </c>
      <c r="FJ26" s="1" t="e">
        <f>FJ24/SUM(FF24:FJ24)</f>
        <v>#DIV/0!</v>
      </c>
      <c r="FK26" s="5">
        <f>FK18</f>
        <v>0</v>
      </c>
      <c r="FM26" t="s">
        <v>34</v>
      </c>
      <c r="FN26" s="1" t="e">
        <f>FN24/SUM(FN24:FR24)</f>
        <v>#DIV/0!</v>
      </c>
      <c r="FO26" s="1" t="e">
        <f>FO24/SUM(FN24:FR24)</f>
        <v>#DIV/0!</v>
      </c>
      <c r="FP26" s="1" t="e">
        <f>FP24/SUM(FN24:FR24)</f>
        <v>#DIV/0!</v>
      </c>
      <c r="FQ26" s="1" t="e">
        <f>FQ24/SUM(FN24:FR24)</f>
        <v>#DIV/0!</v>
      </c>
      <c r="FR26" s="1" t="e">
        <f>FR24/SUM(FN24:FR24)</f>
        <v>#DIV/0!</v>
      </c>
      <c r="FS26" s="5">
        <f>FS18</f>
        <v>0</v>
      </c>
      <c r="FU26" t="s">
        <v>34</v>
      </c>
      <c r="FV26" s="1" t="e">
        <f>FV24/SUM(FV24:FZ24)</f>
        <v>#DIV/0!</v>
      </c>
      <c r="FW26" s="1" t="e">
        <f>FW24/SUM(FV24:FZ24)</f>
        <v>#DIV/0!</v>
      </c>
      <c r="FX26" s="1" t="e">
        <f>FX24/SUM(FV24:FZ24)</f>
        <v>#DIV/0!</v>
      </c>
      <c r="FY26" s="1" t="e">
        <f>FY24/SUM(FV24:FZ24)</f>
        <v>#DIV/0!</v>
      </c>
      <c r="FZ26" s="1" t="e">
        <f>FZ24/SUM(FV24:FZ24)</f>
        <v>#DIV/0!</v>
      </c>
      <c r="GA26" s="5">
        <f>GA18</f>
        <v>0</v>
      </c>
      <c r="GC26" t="s">
        <v>34</v>
      </c>
      <c r="GD26" s="1" t="e">
        <f>GD24/SUM(GD24:GH24)</f>
        <v>#DIV/0!</v>
      </c>
      <c r="GE26" s="1" t="e">
        <f>GE24/SUM(GD24:GH24)</f>
        <v>#DIV/0!</v>
      </c>
      <c r="GF26" s="1" t="e">
        <f>GF24/SUM(GD24:GH24)</f>
        <v>#DIV/0!</v>
      </c>
      <c r="GG26" s="1" t="e">
        <f>GG24/SUM(GD24:GH24)</f>
        <v>#DIV/0!</v>
      </c>
      <c r="GH26" s="1" t="e">
        <f>GH24/SUM(GD24:GH24)</f>
        <v>#DIV/0!</v>
      </c>
      <c r="GI26" s="5">
        <f>GI18</f>
        <v>0</v>
      </c>
      <c r="GK26" t="s">
        <v>34</v>
      </c>
      <c r="GL26" s="1">
        <f>GL24/SUM(GL24:GP24)</f>
        <v>2.7865857702144481E-3</v>
      </c>
      <c r="GM26" s="1">
        <f>GM24/SUM(GL24:GP24)</f>
        <v>4.7905316076979929</v>
      </c>
      <c r="GN26" s="1">
        <f>GN24/SUM(GL24:GP24)</f>
        <v>-0.49068446919588399</v>
      </c>
      <c r="GO26" s="1">
        <f>GO24/SUM(GL24:GP24)</f>
        <v>-2.0903743754018178</v>
      </c>
      <c r="GP26" s="1">
        <f>GP24/SUM(GL24:GP24)</f>
        <v>-1.212259348870506</v>
      </c>
      <c r="GQ26" s="5">
        <f>GQ18</f>
        <v>1.1118803402551978E-2</v>
      </c>
      <c r="GS26" t="s">
        <v>34</v>
      </c>
      <c r="GT26" s="1">
        <f>GT24/SUM(GT24:GX24)</f>
        <v>2.7865857702143934E-3</v>
      </c>
      <c r="GU26" s="1">
        <f>GU24/SUM(GT24:GX24)</f>
        <v>4.7905316076978899</v>
      </c>
      <c r="GV26" s="1">
        <f>GV24/SUM(GT24:GX24)</f>
        <v>-0.49068446919585695</v>
      </c>
      <c r="GW26" s="1">
        <f>GW24/SUM(GT24:GX24)</f>
        <v>-2.0903743754017712</v>
      </c>
      <c r="GX26" s="1">
        <f>GX24/SUM(GT24:GX24)</f>
        <v>-1.212259348870476</v>
      </c>
      <c r="GY26" s="5">
        <f>GY18</f>
        <v>3.6122472149606587E-2</v>
      </c>
      <c r="HA26" t="s">
        <v>34</v>
      </c>
      <c r="HB26" s="1">
        <f>HB24/SUM(HB24:HF24)</f>
        <v>7.7999202941037319E-4</v>
      </c>
      <c r="HC26" s="1">
        <f>HC24/SUM(HB24:HF24)</f>
        <v>0.54659931119115379</v>
      </c>
      <c r="HD26" s="1">
        <f>HD24/SUM(HB24:HF24)</f>
        <v>0.57315540724833836</v>
      </c>
      <c r="HE26" s="1">
        <f>HE24/SUM(HB24:HF24)</f>
        <v>-0.17374990706668772</v>
      </c>
      <c r="HF26" s="1">
        <f>HF24/SUM(HB24:HF24)</f>
        <v>5.321519659778523E-2</v>
      </c>
      <c r="HG26" s="5">
        <f>HG18</f>
        <v>5.3093682066865891E-2</v>
      </c>
      <c r="HI26" t="s">
        <v>34</v>
      </c>
      <c r="HJ26" s="1">
        <f>HJ24/SUM(HJ24:HN24)</f>
        <v>2.4295754236294824E-3</v>
      </c>
      <c r="HK26" s="1">
        <f>HK24/SUM(HJ24:HN24)</f>
        <v>0.32902294831488527</v>
      </c>
      <c r="HL26" s="1">
        <f>HL24/SUM(HJ24:HN24)</f>
        <v>0.52634529080121906</v>
      </c>
      <c r="HM26" s="1">
        <f>HM24/SUM(HJ24:HN24)</f>
        <v>-0.25805133140701936</v>
      </c>
      <c r="HN26" s="1">
        <f>HN24/SUM(HJ24:HN24)</f>
        <v>0.4002535168672855</v>
      </c>
      <c r="HO26" s="5">
        <f>HO18</f>
        <v>0.11145297874833736</v>
      </c>
      <c r="HQ26" t="s">
        <v>34</v>
      </c>
      <c r="HR26" s="1">
        <f>HR24/SUM(HR24:HV24)</f>
        <v>1.3709603600210293E-3</v>
      </c>
      <c r="HS26" s="1">
        <f>HS24/SUM(HR24:HV24)</f>
        <v>0.50295260251421681</v>
      </c>
      <c r="HT26" s="1">
        <f>HT24/SUM(HR24:HV24)</f>
        <v>0.58138149402632122</v>
      </c>
      <c r="HU26" s="1">
        <f>HU24/SUM(HR24:HV24)</f>
        <v>-0.26425811047351966</v>
      </c>
      <c r="HV26" s="1">
        <f>HV24/SUM(HR24:HV24)</f>
        <v>0.17855305357296061</v>
      </c>
      <c r="HW26" s="5">
        <f>HW18</f>
        <v>7.95223067917947E-2</v>
      </c>
      <c r="HY26" t="s">
        <v>34</v>
      </c>
      <c r="HZ26" s="1">
        <f>HZ24/SUM(HZ24:ID24)</f>
        <v>1.0737448220923935E-3</v>
      </c>
      <c r="IA26" s="1">
        <f>IA24/SUM(HZ24:ID24)</f>
        <v>0.50431539840421225</v>
      </c>
      <c r="IB26" s="1">
        <f>IB24/SUM(HZ24:ID24)</f>
        <v>0.61143130213605545</v>
      </c>
      <c r="IC26" s="1">
        <f>IC24/SUM(HZ24:ID24)</f>
        <v>-0.24789768049055264</v>
      </c>
      <c r="ID26" s="1">
        <f>ID24/SUM(HZ24:ID24)</f>
        <v>0.13107723512819253</v>
      </c>
      <c r="IE26" s="5">
        <f>IE18</f>
        <v>0.12405420280156999</v>
      </c>
      <c r="IG26" t="s">
        <v>34</v>
      </c>
      <c r="IH26" s="1">
        <f>IH24/SUM(IH24:IL24)</f>
        <v>1.1254071645929061E-3</v>
      </c>
      <c r="II26" s="1">
        <f>II24/SUM(IH24:IL24)</f>
        <v>0.51588996293937173</v>
      </c>
      <c r="IJ26" s="1">
        <f>IJ24/SUM(IH24:IL24)</f>
        <v>0.59450418542147376</v>
      </c>
      <c r="IK26" s="1">
        <f>IK24/SUM(IH24:IL24)</f>
        <v>-0.24346783704489314</v>
      </c>
      <c r="IL26" s="1">
        <f>IL24/SUM(IH24:IL24)</f>
        <v>0.13194828151945484</v>
      </c>
      <c r="IM26" s="5">
        <f>IM18</f>
        <v>7.0793972007425654E-2</v>
      </c>
      <c r="IO26" t="s">
        <v>34</v>
      </c>
      <c r="IP26" s="1">
        <f>IP24/SUM(IP24:IT24)</f>
        <v>1.1685933315413852E-3</v>
      </c>
      <c r="IQ26" s="1">
        <f>IQ24/SUM(IP24:IT24)</f>
        <v>0.50683893447618722</v>
      </c>
      <c r="IR26" s="1">
        <f>IR24/SUM(IP24:IT24)</f>
        <v>0.59789706136997278</v>
      </c>
      <c r="IS26" s="1">
        <f>IS24/SUM(IP24:IT24)</f>
        <v>-0.25021463832361379</v>
      </c>
      <c r="IT26" s="1">
        <f>IT24/SUM(IP24:IT24)</f>
        <v>0.14431004914591242</v>
      </c>
      <c r="IU26" s="5">
        <f>IU18</f>
        <v>0.17478567855993407</v>
      </c>
      <c r="IW26" t="s">
        <v>34</v>
      </c>
      <c r="IX26" s="1" t="e">
        <f>IX24/SUM(IX24:JB24)</f>
        <v>#DIV/0!</v>
      </c>
      <c r="IY26" s="1" t="e">
        <f>IY24/SUM(IX24:JB24)</f>
        <v>#DIV/0!</v>
      </c>
      <c r="IZ26" s="1" t="e">
        <f>IZ24/SUM(IX24:JB24)</f>
        <v>#DIV/0!</v>
      </c>
      <c r="JA26" s="1" t="e">
        <f>JA24/SUM(IX24:JB24)</f>
        <v>#DIV/0!</v>
      </c>
      <c r="JB26" s="1" t="e">
        <f>JB24/SUM(IX24:JB24)</f>
        <v>#DIV/0!</v>
      </c>
      <c r="JC26" s="5">
        <f>JC18</f>
        <v>0</v>
      </c>
      <c r="JE26" t="s">
        <v>34</v>
      </c>
      <c r="JF26" s="1" t="e">
        <f>JF24/SUM(JF24:JJ24)</f>
        <v>#DIV/0!</v>
      </c>
      <c r="JG26" s="1" t="e">
        <f>JG24/SUM(JF24:JJ24)</f>
        <v>#DIV/0!</v>
      </c>
      <c r="JH26" s="1" t="e">
        <f>JH24/SUM(JF24:JJ24)</f>
        <v>#DIV/0!</v>
      </c>
      <c r="JI26" s="1" t="e">
        <f>JI24/SUM(JF24:JJ24)</f>
        <v>#DIV/0!</v>
      </c>
      <c r="JJ26" s="1" t="e">
        <f>JJ24/SUM(JF24:JJ24)</f>
        <v>#DIV/0!</v>
      </c>
      <c r="JK26" s="5">
        <f>JK18</f>
        <v>0</v>
      </c>
      <c r="JM26" t="s">
        <v>34</v>
      </c>
      <c r="JN26" s="1" t="e">
        <f>JN24/SUM(JN24:JR24)</f>
        <v>#DIV/0!</v>
      </c>
      <c r="JO26" s="1" t="e">
        <f>JO24/SUM(JN24:JR24)</f>
        <v>#DIV/0!</v>
      </c>
      <c r="JP26" s="1" t="e">
        <f>JP24/SUM(JN24:JR24)</f>
        <v>#DIV/0!</v>
      </c>
      <c r="JQ26" s="1" t="e">
        <f>JQ24/SUM(JN24:JR24)</f>
        <v>#DIV/0!</v>
      </c>
      <c r="JR26" s="1" t="e">
        <f>JR24/SUM(JN24:JR24)</f>
        <v>#DIV/0!</v>
      </c>
      <c r="JS26" s="5">
        <f>JS18</f>
        <v>0</v>
      </c>
      <c r="JU26" t="s">
        <v>34</v>
      </c>
      <c r="JV26" s="1" t="e">
        <f>JV24/SUM(JV24:JZ24)</f>
        <v>#DIV/0!</v>
      </c>
      <c r="JW26" s="1" t="e">
        <f>JW24/SUM(JV24:JZ24)</f>
        <v>#DIV/0!</v>
      </c>
      <c r="JX26" s="1" t="e">
        <f>JX24/SUM(JV24:JZ24)</f>
        <v>#DIV/0!</v>
      </c>
      <c r="JY26" s="1" t="e">
        <f>JY24/SUM(JV24:JZ24)</f>
        <v>#DIV/0!</v>
      </c>
      <c r="JZ26" s="1" t="e">
        <f>JZ24/SUM(JV24:JZ24)</f>
        <v>#DIV/0!</v>
      </c>
      <c r="KA26" s="5">
        <f>KA18</f>
        <v>0</v>
      </c>
      <c r="KC26" t="s">
        <v>34</v>
      </c>
      <c r="KD26" s="1">
        <f>KD24/SUM(KD24:KH24)</f>
        <v>9.0154821022002548E-4</v>
      </c>
      <c r="KE26" s="1">
        <f>KE24/SUM(KD24:KH24)</f>
        <v>0.42130081022014465</v>
      </c>
      <c r="KF26" s="1">
        <f>KF24/SUM(KD24:KH24)</f>
        <v>0.61383398269840017</v>
      </c>
      <c r="KG26" s="1">
        <f>KG24/SUM(KD24:KH24)</f>
        <v>-0.15739097675522146</v>
      </c>
      <c r="KH26" s="1">
        <f>KH24/SUM(KD24:KH24)</f>
        <v>0.12135463562645672</v>
      </c>
      <c r="KI26" s="5">
        <f>KI18</f>
        <v>0.10130621614211455</v>
      </c>
      <c r="KK26" t="s">
        <v>34</v>
      </c>
      <c r="KL26" s="1">
        <f>KL24/SUM(KL24:KP24)</f>
        <v>8.3731711234823832E-4</v>
      </c>
      <c r="KM26" s="1">
        <f>KM24/SUM(KL24:KP24)</f>
        <v>0.51059047841359495</v>
      </c>
      <c r="KN26" s="1">
        <f>KN24/SUM(KL24:KP24)</f>
        <v>0.60529767423175163</v>
      </c>
      <c r="KO26" s="1">
        <f>KO24/SUM(KL24:KP24)</f>
        <v>-0.19180200676651421</v>
      </c>
      <c r="KP26" s="1">
        <f>KP24/SUM(KL24:KP24)</f>
        <v>7.5076537008819375E-2</v>
      </c>
      <c r="KQ26" s="5">
        <f>KQ18</f>
        <v>0.2046957609122397</v>
      </c>
      <c r="KS26" t="s">
        <v>34</v>
      </c>
      <c r="KT26" s="1">
        <f>KT24/SUM(KT24:KX24)</f>
        <v>-3.1548727512201727E-4</v>
      </c>
      <c r="KU26" s="1">
        <f>KU24/SUM(KT24:KX24)</f>
        <v>0.80435075176908555</v>
      </c>
      <c r="KV26" s="1">
        <f>KV24/SUM(KT24:KX24)</f>
        <v>0.69536331945883134</v>
      </c>
      <c r="KW26" s="1">
        <f>KW24/SUM(KT24:KX24)</f>
        <v>-0.21437268130230333</v>
      </c>
      <c r="KX26" s="1">
        <f>KX24/SUM(KT24:KX24)</f>
        <v>-0.2850259026504916</v>
      </c>
      <c r="KY26" s="5">
        <f>KY18</f>
        <v>3.8473850030831591E-2</v>
      </c>
      <c r="LA26" t="s">
        <v>34</v>
      </c>
      <c r="LB26" s="1">
        <f>LB24/SUM(LB24:LF24)</f>
        <v>-6.2440717820447429E-4</v>
      </c>
      <c r="LC26" s="1">
        <f>LC24/SUM(LB24:LF24)</f>
        <v>0.84806367582316311</v>
      </c>
      <c r="LD26" s="1">
        <f>LD24/SUM(LB24:LF24)</f>
        <v>0.67416003114184719</v>
      </c>
      <c r="LE26" s="1">
        <f>LE24/SUM(LB24:LF24)</f>
        <v>-0.16576106659536941</v>
      </c>
      <c r="LF26" s="1">
        <f>LF24/SUM(LB24:LF24)</f>
        <v>-0.35583823319143648</v>
      </c>
      <c r="LG26" s="5">
        <f>LG18</f>
        <v>3.5714285714285712E-2</v>
      </c>
      <c r="LI26" t="s">
        <v>34</v>
      </c>
      <c r="LJ26" s="1">
        <f>LJ24/SUM(LJ24:LN24)</f>
        <v>-2.7035363297188038E-3</v>
      </c>
      <c r="LK26" s="1">
        <f>LK24/SUM(LJ24:LN24)</f>
        <v>2.201174133577795</v>
      </c>
      <c r="LL26" s="1">
        <f>LL24/SUM(LJ24:LN24)</f>
        <v>0.48454882906933511</v>
      </c>
      <c r="LM26" s="1">
        <f>LM24/SUM(LJ24:LN24)</f>
        <v>-0.66823930625238703</v>
      </c>
      <c r="LN26" s="1">
        <f>LN24/SUM(LJ24:LN24)</f>
        <v>-1.0147801200650244</v>
      </c>
      <c r="LO26" s="5">
        <f>LO18</f>
        <v>0.12229733027345002</v>
      </c>
      <c r="LQ26" t="s">
        <v>34</v>
      </c>
      <c r="LR26" s="1">
        <f>LR24/SUM(LR24:LV24)</f>
        <v>-7.6293405914744806E-4</v>
      </c>
      <c r="LS26" s="1">
        <f>LS24/SUM(LR24:LV24)</f>
        <v>1.2564673141274114</v>
      </c>
      <c r="LT26" s="1">
        <f>LT24/SUM(LR24:LV24)</f>
        <v>0.56357199968232485</v>
      </c>
      <c r="LU26" s="1">
        <f>LU24/SUM(LR24:LV24)</f>
        <v>-0.45040354534700955</v>
      </c>
      <c r="LV26" s="1">
        <f>LV24/SUM(LR24:LV24)</f>
        <v>-0.36887283440357915</v>
      </c>
      <c r="LW26" s="5">
        <f>LW18</f>
        <v>0.28874067671905956</v>
      </c>
      <c r="LY26" t="s">
        <v>34</v>
      </c>
      <c r="LZ26" s="1">
        <f>LZ24/SUM(LZ24:MD24)</f>
        <v>2.7159813129018024E-4</v>
      </c>
      <c r="MA26" s="1">
        <f>MA24/SUM(LZ24:MD24)</f>
        <v>0.71677820493997235</v>
      </c>
      <c r="MB26" s="1">
        <f>MB24/SUM(LZ24:MD24)</f>
        <v>0.55546766196225994</v>
      </c>
      <c r="MC26" s="1">
        <f>MC24/SUM(LZ24:MD24)</f>
        <v>-0.19226561239483225</v>
      </c>
      <c r="MD26" s="1">
        <f>MD24/SUM(LZ24:MD24)</f>
        <v>-8.0251852638690085E-2</v>
      </c>
      <c r="ME26" s="5">
        <f>ME18</f>
        <v>6.6852237044921617E-2</v>
      </c>
      <c r="MG26" t="s">
        <v>34</v>
      </c>
      <c r="MH26" s="1">
        <f>MH24/SUM(MH24:ML24)</f>
        <v>4.1723387463943398E-3</v>
      </c>
      <c r="MI26" s="1">
        <f>MI24/SUM(MH24:ML24)</f>
        <v>-18.796851764280831</v>
      </c>
      <c r="MJ26" s="1">
        <f>MJ24/SUM(MH24:ML24)</f>
        <v>11.406533211754473</v>
      </c>
      <c r="MK26" s="1">
        <f>MK24/SUM(MH24:ML24)</f>
        <v>-7.0886382009266118</v>
      </c>
      <c r="ML26" s="1">
        <f>ML24/SUM(MH24:ML24)</f>
        <v>15.474784414706573</v>
      </c>
      <c r="MM26" s="5">
        <f>MM18</f>
        <v>0.21131520123183531</v>
      </c>
      <c r="MO26" t="s">
        <v>34</v>
      </c>
      <c r="MP26" s="1">
        <f>MP24/SUM(MP24:MT24)</f>
        <v>1.794573823957069E-4</v>
      </c>
      <c r="MQ26" s="1">
        <f>MQ24/SUM(MP24:MT24)</f>
        <v>0.57483533804870723</v>
      </c>
      <c r="MR26" s="1">
        <f>MR24/SUM(MP24:MT24)</f>
        <v>0.58670421698966613</v>
      </c>
      <c r="MS26" s="1">
        <f>MS24/SUM(MP24:MT24)</f>
        <v>-0.10417798616766882</v>
      </c>
      <c r="MT26" s="1">
        <f>MT24/SUM(MP24:MT24)</f>
        <v>-5.75410262531003E-2</v>
      </c>
      <c r="MU26" s="5">
        <f>MU18</f>
        <v>6.720174014664447E-2</v>
      </c>
      <c r="MW26" t="s">
        <v>34</v>
      </c>
      <c r="MX26" s="1" t="e">
        <f>MX24/SUM(MX24:NB24)</f>
        <v>#DIV/0!</v>
      </c>
      <c r="MY26" s="1" t="e">
        <f>MY24/SUM(MX24:NB24)</f>
        <v>#DIV/0!</v>
      </c>
      <c r="MZ26" s="1" t="e">
        <f>MZ24/SUM(MX24:NB24)</f>
        <v>#DIV/0!</v>
      </c>
      <c r="NA26" s="1" t="e">
        <f>NA24/SUM(MX24:NB24)</f>
        <v>#DIV/0!</v>
      </c>
      <c r="NB26" s="1" t="e">
        <f>NB24/SUM(MX24:NB24)</f>
        <v>#DIV/0!</v>
      </c>
      <c r="NC26" s="5">
        <f>NC18</f>
        <v>0</v>
      </c>
      <c r="NE26" t="s">
        <v>34</v>
      </c>
      <c r="NF26" s="1">
        <f>NF24/SUM(NF24:NJ24)</f>
        <v>-1.7094038833796873E-3</v>
      </c>
      <c r="NG26" s="1">
        <f>NG24/SUM(NF24:NJ24)</f>
        <v>-0.40598896545416563</v>
      </c>
      <c r="NH26" s="1">
        <f>NH24/SUM(NF24:NJ24)</f>
        <v>1.0446833550008792</v>
      </c>
      <c r="NI26" s="1">
        <f>NI24/SUM(NF24:NJ24)</f>
        <v>0.4464357717942492</v>
      </c>
      <c r="NJ26" s="1">
        <f>NJ24/SUM(NF24:NJ24)</f>
        <v>-8.3420757457583122E-2</v>
      </c>
      <c r="NK26" s="5">
        <f>NK18</f>
        <v>7.0504431791595422E-3</v>
      </c>
      <c r="NM26" t="s">
        <v>34</v>
      </c>
      <c r="NN26" s="1">
        <f>NN24/SUM(NN24:NR24)</f>
        <v>-3.8837932114310056E-4</v>
      </c>
      <c r="NO26" s="1">
        <f>NO24/SUM(NN24:NR24)</f>
        <v>0.71334047310251036</v>
      </c>
      <c r="NP26" s="1">
        <f>NP24/SUM(NN24:NR24)</f>
        <v>0.63905399619403647</v>
      </c>
      <c r="NQ26" s="1">
        <f>NQ24/SUM(NN24:NR24)</f>
        <v>-0.22581250790656199</v>
      </c>
      <c r="NR26" s="1">
        <f>NR24/SUM(NN24:NR24)</f>
        <v>-0.12619358206884168</v>
      </c>
      <c r="NS26" s="5">
        <f>NS18</f>
        <v>8.7025964446251311E-2</v>
      </c>
      <c r="NU26" t="s">
        <v>34</v>
      </c>
      <c r="NV26" s="1">
        <f>NV24/SUM(NV24:NZ24)</f>
        <v>1.3381752866678416E-3</v>
      </c>
      <c r="NW26" s="1">
        <f>NW24/SUM(NV24:NZ24)</f>
        <v>-1.7456277628164787E-2</v>
      </c>
      <c r="NX26" s="1">
        <f>NX24/SUM(NV24:NZ24)</f>
        <v>0.71247010990024973</v>
      </c>
      <c r="NY26" s="1">
        <f>NY24/SUM(NV24:NZ24)</f>
        <v>-5.6629057131216451E-2</v>
      </c>
      <c r="NZ26" s="1">
        <f>NZ24/SUM(NV24:NZ24)</f>
        <v>0.3602770495724637</v>
      </c>
      <c r="OA26" s="5">
        <f>OA18</f>
        <v>0.10464890138511426</v>
      </c>
      <c r="OC26" t="s">
        <v>34</v>
      </c>
      <c r="OD26" s="1">
        <f>OD24/SUM(OD24:OH24)</f>
        <v>1.2265814381929119E-3</v>
      </c>
      <c r="OE26" s="1">
        <f>OE24/SUM(OD24:OH24)</f>
        <v>0.37857999649632657</v>
      </c>
      <c r="OF26" s="1">
        <f>OF24/SUM(OD24:OH24)</f>
        <v>0.61672702791252398</v>
      </c>
      <c r="OG26" s="1">
        <f>OG24/SUM(OD24:OH24)</f>
        <v>-0.18395138540100961</v>
      </c>
      <c r="OH26" s="1">
        <f>OH24/SUM(OD24:OH24)</f>
        <v>0.18741777955396607</v>
      </c>
      <c r="OI26" s="5">
        <f>OI18</f>
        <v>0.28572318008578751</v>
      </c>
      <c r="OK26" t="s">
        <v>34</v>
      </c>
      <c r="OL26" s="1">
        <f>OL24/SUM(OL24:OP24)</f>
        <v>7.0376441528867677E-4</v>
      </c>
      <c r="OM26" s="1">
        <f>OM24/SUM(OL24:OP24)</f>
        <v>0.5747620899480369</v>
      </c>
      <c r="ON26" s="1">
        <f>ON24/SUM(OL24:OP24)</f>
        <v>0.58151712096206032</v>
      </c>
      <c r="OO26" s="1">
        <f>OO24/SUM(OL24:OP24)</f>
        <v>-0.19239501666219924</v>
      </c>
      <c r="OP26" s="1">
        <f>OP24/SUM(OL24:OP24)</f>
        <v>3.5412041336813208E-2</v>
      </c>
      <c r="OQ26" s="5">
        <f>OQ18</f>
        <v>5.2441014189105899E-2</v>
      </c>
      <c r="OS26" t="s">
        <v>34</v>
      </c>
      <c r="OT26" s="1">
        <f>OT24/SUM(OT24:OX24)</f>
        <v>8.7151141460862635E-4</v>
      </c>
      <c r="OU26" s="1">
        <f>OU24/SUM(OT24:OX24)</f>
        <v>0.5536851472922435</v>
      </c>
      <c r="OV26" s="1">
        <f>OV24/SUM(OT24:OX24)</f>
        <v>0.58509765613086784</v>
      </c>
      <c r="OW26" s="1">
        <f>OW24/SUM(OT24:OX24)</f>
        <v>-0.21287784695141612</v>
      </c>
      <c r="OX26" s="1">
        <f>OX24/SUM(OT24:OX24)</f>
        <v>7.3223532113696047E-2</v>
      </c>
      <c r="OY26" s="5">
        <f>OY18</f>
        <v>0.18194361895879727</v>
      </c>
      <c r="PA26" t="s">
        <v>34</v>
      </c>
      <c r="PB26" s="1">
        <f>PB24/SUM(PB24:PF24)</f>
        <v>-6.2440717820447407E-4</v>
      </c>
      <c r="PC26" s="1">
        <f>PC24/SUM(PB24:PF24)</f>
        <v>0.84806367582316278</v>
      </c>
      <c r="PD26" s="1">
        <f>PD24/SUM(PB24:PF24)</f>
        <v>0.67416003114184719</v>
      </c>
      <c r="PE26" s="1">
        <f>PE24/SUM(PB24:PF24)</f>
        <v>-0.16576106659536938</v>
      </c>
      <c r="PF26" s="1">
        <f>PF24/SUM(PB24:PF24)</f>
        <v>-0.35583823319143632</v>
      </c>
      <c r="PG26" s="5">
        <f>PG18</f>
        <v>7.1652910052910049E-4</v>
      </c>
      <c r="PI26" t="s">
        <v>34</v>
      </c>
      <c r="PJ26" s="1">
        <f>PJ24/SUM(PJ24:PN24)</f>
        <v>-6.2440717820447429E-4</v>
      </c>
      <c r="PK26" s="1">
        <f>PK24/SUM(PJ24:PN24)</f>
        <v>0.84806367582316311</v>
      </c>
      <c r="PL26" s="1">
        <f>PL24/SUM(PJ24:PN24)</f>
        <v>0.67416003114184719</v>
      </c>
      <c r="PM26" s="1">
        <f>PM24/SUM(PJ24:PN24)</f>
        <v>-0.16576106659536941</v>
      </c>
      <c r="PN26" s="1">
        <f>PN24/SUM(PJ24:PN24)</f>
        <v>-0.35583823319143648</v>
      </c>
      <c r="PO26" s="5">
        <f>PO18</f>
        <v>3.5714285714285712E-2</v>
      </c>
      <c r="PQ26" t="s">
        <v>34</v>
      </c>
      <c r="PR26" s="1">
        <f>PR24/SUM(PR24:PV24)</f>
        <v>9.9273995092901395E-3</v>
      </c>
      <c r="PS26" s="1">
        <f>PS24/SUM(PR24:PV24)</f>
        <v>-2.7088278792880356</v>
      </c>
      <c r="PT26" s="1">
        <f>PT24/SUM(PR24:PV24)</f>
        <v>0.36181012335064178</v>
      </c>
      <c r="PU26" s="1">
        <f>PU24/SUM(PR24:PV24)</f>
        <v>0.68579402283453339</v>
      </c>
      <c r="PV26" s="1">
        <f>PV24/SUM(PR24:PV24)</f>
        <v>2.6512963335935704</v>
      </c>
      <c r="PW26" s="5">
        <f>PW18</f>
        <v>0.17370167585673549</v>
      </c>
      <c r="PY26" t="s">
        <v>34</v>
      </c>
      <c r="PZ26" s="1">
        <f>PZ24/SUM(PZ24:QD24)</f>
        <v>1.1238765050920153E-3</v>
      </c>
      <c r="QA26" s="1">
        <f>QA24/SUM(PZ24:QD24)</f>
        <v>0.42389200920104542</v>
      </c>
      <c r="QB26" s="1">
        <f>QB24/SUM(PZ24:QD24)</f>
        <v>0.61049620104526903</v>
      </c>
      <c r="QC26" s="1">
        <f>QC24/SUM(PZ24:QD24)</f>
        <v>-0.19795412370860199</v>
      </c>
      <c r="QD26" s="1">
        <f>QD24/SUM(PZ24:QD24)</f>
        <v>0.1624420369571955</v>
      </c>
      <c r="QE26" s="5">
        <f>QE18</f>
        <v>0.29398392774564236</v>
      </c>
      <c r="QH26" s="1"/>
      <c r="QI26" s="1"/>
      <c r="QJ26" s="1"/>
      <c r="QK26" s="1"/>
      <c r="QL26" s="1"/>
      <c r="QM26" s="5"/>
      <c r="QP26" s="1"/>
      <c r="QQ26" s="1"/>
      <c r="QR26" s="1"/>
      <c r="QS26" s="1"/>
      <c r="QT26" s="1"/>
      <c r="QU26" s="5"/>
      <c r="QX26" s="1"/>
      <c r="QY26" s="1"/>
      <c r="QZ26" s="1"/>
      <c r="RA26" s="1"/>
      <c r="RB26" s="1"/>
      <c r="RC26" s="5"/>
      <c r="RF26" s="1"/>
      <c r="RG26" s="1"/>
      <c r="RH26" s="1"/>
      <c r="RI26" s="1"/>
      <c r="RJ26" s="1"/>
      <c r="RK26" s="5"/>
      <c r="RN26" s="1"/>
      <c r="RO26" s="1"/>
      <c r="RP26" s="1"/>
      <c r="RQ26" s="1"/>
      <c r="RR26" s="1"/>
      <c r="RS26" s="5"/>
    </row>
    <row r="27" spans="1:487" x14ac:dyDescent="0.45">
      <c r="A27" t="str">
        <f>A11</f>
        <v>ProductType: AGRICULTURAL LOAN</v>
      </c>
      <c r="B27" t="str">
        <f>A11</f>
        <v>ProductType: AGRICULTURAL LOAN</v>
      </c>
      <c r="C27" t="str">
        <f>A11</f>
        <v>ProductType: AGRICULTURAL LOAN</v>
      </c>
      <c r="D27" t="str">
        <f>A11</f>
        <v>ProductType: AGRICULTURAL LOAN</v>
      </c>
      <c r="E27" t="str">
        <f>A11</f>
        <v>ProductType: AGRICULTURAL LOAN</v>
      </c>
      <c r="F27" t="str">
        <f>A11</f>
        <v>ProductType: AGRICULTURAL LOAN</v>
      </c>
      <c r="G27" t="str">
        <f>A11</f>
        <v>ProductType: AGRICULTURAL LOAN</v>
      </c>
      <c r="I27" t="str">
        <f>I11</f>
        <v>ProductType: AGRICULTURAL LOAN</v>
      </c>
      <c r="J27" t="str">
        <f>I11</f>
        <v>ProductType: AGRICULTURAL LOAN</v>
      </c>
      <c r="K27" t="str">
        <f>I11</f>
        <v>ProductType: AGRICULTURAL LOAN</v>
      </c>
      <c r="L27" t="str">
        <f>I11</f>
        <v>ProductType: AGRICULTURAL LOAN</v>
      </c>
      <c r="M27" t="str">
        <f>I11</f>
        <v>ProductType: AGRICULTURAL LOAN</v>
      </c>
      <c r="N27" t="str">
        <f>I11</f>
        <v>ProductType: AGRICULTURAL LOAN</v>
      </c>
      <c r="O27" t="str">
        <f>I11</f>
        <v>ProductType: AGRICULTURAL LOAN</v>
      </c>
      <c r="Q27" t="str">
        <f>Q11</f>
        <v>ProductType: AGRICULTURE LOAN</v>
      </c>
      <c r="R27" t="str">
        <f>Q11</f>
        <v>ProductType: AGRICULTURE LOAN</v>
      </c>
      <c r="S27" t="str">
        <f>Q11</f>
        <v>ProductType: AGRICULTURE LOAN</v>
      </c>
      <c r="T27" t="str">
        <f>Q11</f>
        <v>ProductType: AGRICULTURE LOAN</v>
      </c>
      <c r="U27" t="str">
        <f>Q11</f>
        <v>ProductType: AGRICULTURE LOAN</v>
      </c>
      <c r="V27" t="str">
        <f>Q11</f>
        <v>ProductType: AGRICULTURE LOAN</v>
      </c>
      <c r="W27" t="str">
        <f>Q11</f>
        <v>ProductType: AGRICULTURE LOAN</v>
      </c>
      <c r="Y27" t="str">
        <f>Y11</f>
        <v>ProductType: AGRICULTURE LOAN</v>
      </c>
      <c r="Z27" t="str">
        <f>Y11</f>
        <v>ProductType: AGRICULTURE LOAN</v>
      </c>
      <c r="AA27" t="str">
        <f>Y11</f>
        <v>ProductType: AGRICULTURE LOAN</v>
      </c>
      <c r="AB27" t="str">
        <f>Y11</f>
        <v>ProductType: AGRICULTURE LOAN</v>
      </c>
      <c r="AC27" t="str">
        <f>Y11</f>
        <v>ProductType: AGRICULTURE LOAN</v>
      </c>
      <c r="AD27" t="str">
        <f>Y11</f>
        <v>ProductType: AGRICULTURE LOAN</v>
      </c>
      <c r="AE27" t="str">
        <f>Y11</f>
        <v>ProductType: AGRICULTURE LOAN</v>
      </c>
      <c r="AG27" t="str">
        <f>AG11</f>
        <v>ProductType: BIS/PERHIRE PURCHASE</v>
      </c>
      <c r="AH27" t="str">
        <f>AG11</f>
        <v>ProductType: BIS/PERHIRE PURCHASE</v>
      </c>
      <c r="AI27" t="str">
        <f>AG11</f>
        <v>ProductType: BIS/PERHIRE PURCHASE</v>
      </c>
      <c r="AJ27" t="str">
        <f>AG11</f>
        <v>ProductType: BIS/PERHIRE PURCHASE</v>
      </c>
      <c r="AK27" t="str">
        <f>AG11</f>
        <v>ProductType: BIS/PERHIRE PURCHASE</v>
      </c>
      <c r="AL27" t="str">
        <f>AG11</f>
        <v>ProductType: BIS/PERHIRE PURCHASE</v>
      </c>
      <c r="AM27" t="str">
        <f>AG11</f>
        <v>ProductType: BIS/PERHIRE PURCHASE</v>
      </c>
      <c r="AO27" t="str">
        <f>AO11</f>
        <v>ProductType: BIS/PERHIRE PURCHASE</v>
      </c>
      <c r="AP27" t="str">
        <f>AO11</f>
        <v>ProductType: BIS/PERHIRE PURCHASE</v>
      </c>
      <c r="AQ27" t="str">
        <f>AO11</f>
        <v>ProductType: BIS/PERHIRE PURCHASE</v>
      </c>
      <c r="AR27" t="str">
        <f>AO11</f>
        <v>ProductType: BIS/PERHIRE PURCHASE</v>
      </c>
      <c r="AS27" t="str">
        <f>AO11</f>
        <v>ProductType: BIS/PERHIRE PURCHASE</v>
      </c>
      <c r="AT27" t="str">
        <f>AO11</f>
        <v>ProductType: BIS/PERHIRE PURCHASE</v>
      </c>
      <c r="AU27" t="str">
        <f>AO11</f>
        <v>ProductType: BIS/PERHIRE PURCHASE</v>
      </c>
      <c r="AW27" t="str">
        <f>AW11</f>
        <v>ProductType: CONS FIN BUSN TRM LO</v>
      </c>
      <c r="AX27" t="str">
        <f>AW11</f>
        <v>ProductType: CONS FIN BUSN TRM LO</v>
      </c>
      <c r="AY27" t="str">
        <f>AW11</f>
        <v>ProductType: CONS FIN BUSN TRM LO</v>
      </c>
      <c r="AZ27" t="str">
        <f>AW11</f>
        <v>ProductType: CONS FIN BUSN TRM LO</v>
      </c>
      <c r="BA27" t="str">
        <f>AW11</f>
        <v>ProductType: CONS FIN BUSN TRM LO</v>
      </c>
      <c r="BB27" t="str">
        <f>AW11</f>
        <v>ProductType: CONS FIN BUSN TRM LO</v>
      </c>
      <c r="BC27" t="str">
        <f>AW11</f>
        <v>ProductType: CONS FIN BUSN TRM LO</v>
      </c>
      <c r="BE27" t="str">
        <f>BE11</f>
        <v>ProductType: CONS FIN BUSN TRM LO</v>
      </c>
      <c r="BF27" t="str">
        <f>BE11</f>
        <v>ProductType: CONS FIN BUSN TRM LO</v>
      </c>
      <c r="BG27" t="str">
        <f>BE11</f>
        <v>ProductType: CONS FIN BUSN TRM LO</v>
      </c>
      <c r="BH27" t="str">
        <f>BE11</f>
        <v>ProductType: CONS FIN BUSN TRM LO</v>
      </c>
      <c r="BI27" t="str">
        <f>BE11</f>
        <v>ProductType: CONS FIN BUSN TRM LO</v>
      </c>
      <c r="BJ27" t="str">
        <f>BE11</f>
        <v>ProductType: CONS FIN BUSN TRM LO</v>
      </c>
      <c r="BK27" t="str">
        <f>BE11</f>
        <v>ProductType: CONS FIN BUSN TRM LO</v>
      </c>
      <c r="BM27" t="str">
        <f>BM11</f>
        <v>ProductType: DEPRIVED SECTOR LOAN</v>
      </c>
      <c r="BN27" t="str">
        <f>BM11</f>
        <v>ProductType: DEPRIVED SECTOR LOAN</v>
      </c>
      <c r="BO27" t="str">
        <f>BM11</f>
        <v>ProductType: DEPRIVED SECTOR LOAN</v>
      </c>
      <c r="BP27" t="str">
        <f>BM11</f>
        <v>ProductType: DEPRIVED SECTOR LOAN</v>
      </c>
      <c r="BQ27" t="str">
        <f>BM11</f>
        <v>ProductType: DEPRIVED SECTOR LOAN</v>
      </c>
      <c r="BR27" t="str">
        <f>BM11</f>
        <v>ProductType: DEPRIVED SECTOR LOAN</v>
      </c>
      <c r="BS27" t="str">
        <f>BM11</f>
        <v>ProductType: DEPRIVED SECTOR LOAN</v>
      </c>
      <c r="BU27" t="str">
        <f>BU11</f>
        <v>ProductType: DEPRIVED SECTOR LOAN</v>
      </c>
      <c r="BV27" t="str">
        <f>BU11</f>
        <v>ProductType: DEPRIVED SECTOR LOAN</v>
      </c>
      <c r="BW27" t="str">
        <f>BU11</f>
        <v>ProductType: DEPRIVED SECTOR LOAN</v>
      </c>
      <c r="BX27" t="str">
        <f>BU11</f>
        <v>ProductType: DEPRIVED SECTOR LOAN</v>
      </c>
      <c r="BY27" t="str">
        <f>BU11</f>
        <v>ProductType: DEPRIVED SECTOR LOAN</v>
      </c>
      <c r="BZ27" t="str">
        <f>BU11</f>
        <v>ProductType: DEPRIVED SECTOR LOAN</v>
      </c>
      <c r="CA27" t="str">
        <f>BU11</f>
        <v>ProductType: DEPRIVED SECTOR LOAN</v>
      </c>
      <c r="CC27" t="str">
        <f>CC11</f>
        <v>ProductType: EARTHQUAKE RELIEF LO</v>
      </c>
      <c r="CD27" t="str">
        <f>CC11</f>
        <v>ProductType: EARTHQUAKE RELIEF LO</v>
      </c>
      <c r="CE27" t="str">
        <f>CC11</f>
        <v>ProductType: EARTHQUAKE RELIEF LO</v>
      </c>
      <c r="CF27" t="str">
        <f>CC11</f>
        <v>ProductType: EARTHQUAKE RELIEF LO</v>
      </c>
      <c r="CG27" t="str">
        <f>CC11</f>
        <v>ProductType: EARTHQUAKE RELIEF LO</v>
      </c>
      <c r="CH27" t="str">
        <f>CC11</f>
        <v>ProductType: EARTHQUAKE RELIEF LO</v>
      </c>
      <c r="CI27" t="str">
        <f>CC11</f>
        <v>ProductType: EARTHQUAKE RELIEF LO</v>
      </c>
      <c r="CK27" t="str">
        <f>CK11</f>
        <v>ProductType: EARTHQUAKE RELIEF LO</v>
      </c>
      <c r="CL27" t="str">
        <f>CK11</f>
        <v>ProductType: EARTHQUAKE RELIEF LO</v>
      </c>
      <c r="CM27" t="str">
        <f>CK11</f>
        <v>ProductType: EARTHQUAKE RELIEF LO</v>
      </c>
      <c r="CN27" t="str">
        <f>CK11</f>
        <v>ProductType: EARTHQUAKE RELIEF LO</v>
      </c>
      <c r="CO27" t="str">
        <f>CK11</f>
        <v>ProductType: EARTHQUAKE RELIEF LO</v>
      </c>
      <c r="CP27" t="str">
        <f>CK11</f>
        <v>ProductType: EARTHQUAKE RELIEF LO</v>
      </c>
      <c r="CQ27" t="str">
        <f>CK11</f>
        <v>ProductType: EARTHQUAKE RELIEF LO</v>
      </c>
      <c r="CS27" t="str">
        <f>CS11</f>
        <v>ProductType: EDUCATIONAL LOAN</v>
      </c>
      <c r="CT27" t="str">
        <f>CS11</f>
        <v>ProductType: EDUCATIONAL LOAN</v>
      </c>
      <c r="CU27" t="str">
        <f>CS11</f>
        <v>ProductType: EDUCATIONAL LOAN</v>
      </c>
      <c r="CV27" t="str">
        <f>CS11</f>
        <v>ProductType: EDUCATIONAL LOAN</v>
      </c>
      <c r="CW27" t="str">
        <f>CS11</f>
        <v>ProductType: EDUCATIONAL LOAN</v>
      </c>
      <c r="CX27" t="str">
        <f>CS11</f>
        <v>ProductType: EDUCATIONAL LOAN</v>
      </c>
      <c r="CY27" t="str">
        <f>CS11</f>
        <v>ProductType: EDUCATIONAL LOAN</v>
      </c>
      <c r="DA27" t="str">
        <f>DA11</f>
        <v>ProductType: EDUCATIONAL LOAN</v>
      </c>
      <c r="DB27" t="str">
        <f>DA11</f>
        <v>ProductType: EDUCATIONAL LOAN</v>
      </c>
      <c r="DC27" t="str">
        <f>DA11</f>
        <v>ProductType: EDUCATIONAL LOAN</v>
      </c>
      <c r="DD27" t="str">
        <f>DA11</f>
        <v>ProductType: EDUCATIONAL LOAN</v>
      </c>
      <c r="DE27" t="str">
        <f>DA11</f>
        <v>ProductType: EDUCATIONAL LOAN</v>
      </c>
      <c r="DF27" t="str">
        <f>DA11</f>
        <v>ProductType: EDUCATIONAL LOAN</v>
      </c>
      <c r="DG27" t="str">
        <f>DA11</f>
        <v>ProductType: EDUCATIONAL LOAN</v>
      </c>
      <c r="DI27" t="str">
        <f>DI11</f>
        <v>ProductType: EDUCATIONAL LOAN EMI</v>
      </c>
      <c r="DJ27" t="str">
        <f>DI11</f>
        <v>ProductType: EDUCATIONAL LOAN EMI</v>
      </c>
      <c r="DK27" t="str">
        <f>DI11</f>
        <v>ProductType: EDUCATIONAL LOAN EMI</v>
      </c>
      <c r="DL27" t="str">
        <f>DI11</f>
        <v>ProductType: EDUCATIONAL LOAN EMI</v>
      </c>
      <c r="DM27" t="str">
        <f>DI11</f>
        <v>ProductType: EDUCATIONAL LOAN EMI</v>
      </c>
      <c r="DN27" t="str">
        <f>DI11</f>
        <v>ProductType: EDUCATIONAL LOAN EMI</v>
      </c>
      <c r="DO27" t="str">
        <f>DI11</f>
        <v>ProductType: EDUCATIONAL LOAN EMI</v>
      </c>
      <c r="DQ27" t="str">
        <f>DQ11</f>
        <v>ProductType: EDUCATIONAL LOAN EMI</v>
      </c>
      <c r="DR27" t="str">
        <f>DQ11</f>
        <v>ProductType: EDUCATIONAL LOAN EMI</v>
      </c>
      <c r="DS27" t="str">
        <f>DQ11</f>
        <v>ProductType: EDUCATIONAL LOAN EMI</v>
      </c>
      <c r="DT27" t="str">
        <f>DQ11</f>
        <v>ProductType: EDUCATIONAL LOAN EMI</v>
      </c>
      <c r="DU27" t="str">
        <f>DQ11</f>
        <v>ProductType: EDUCATIONAL LOAN EMI</v>
      </c>
      <c r="DV27" t="str">
        <f>DQ11</f>
        <v>ProductType: EDUCATIONAL LOAN EMI</v>
      </c>
      <c r="DW27" t="str">
        <f>DQ11</f>
        <v>ProductType: EDUCATIONAL LOAN EMI</v>
      </c>
      <c r="DY27" t="str">
        <f>DY11</f>
        <v>ProductType: HIRE PURCHASE LOAN</v>
      </c>
      <c r="DZ27" t="str">
        <f>DY11</f>
        <v>ProductType: HIRE PURCHASE LOAN</v>
      </c>
      <c r="EA27" t="str">
        <f>DY11</f>
        <v>ProductType: HIRE PURCHASE LOAN</v>
      </c>
      <c r="EB27" t="str">
        <f>DY11</f>
        <v>ProductType: HIRE PURCHASE LOAN</v>
      </c>
      <c r="EC27" t="str">
        <f>DY11</f>
        <v>ProductType: HIRE PURCHASE LOAN</v>
      </c>
      <c r="ED27" t="str">
        <f>DY11</f>
        <v>ProductType: HIRE PURCHASE LOAN</v>
      </c>
      <c r="EE27" t="str">
        <f>DY11</f>
        <v>ProductType: HIRE PURCHASE LOAN</v>
      </c>
      <c r="EG27" t="str">
        <f>EG11</f>
        <v>ProductType: HIRE PURCHASE LOAN</v>
      </c>
      <c r="EH27" t="str">
        <f>EG11</f>
        <v>ProductType: HIRE PURCHASE LOAN</v>
      </c>
      <c r="EI27" t="str">
        <f>EG11</f>
        <v>ProductType: HIRE PURCHASE LOAN</v>
      </c>
      <c r="EJ27" t="str">
        <f>EG11</f>
        <v>ProductType: HIRE PURCHASE LOAN</v>
      </c>
      <c r="EK27" t="str">
        <f>EG11</f>
        <v>ProductType: HIRE PURCHASE LOAN</v>
      </c>
      <c r="EL27" t="str">
        <f>EG11</f>
        <v>ProductType: HIRE PURCHASE LOAN</v>
      </c>
      <c r="EM27" t="str">
        <f>EG11</f>
        <v>ProductType: HIRE PURCHASE LOAN</v>
      </c>
      <c r="EO27" t="str">
        <f>EO11</f>
        <v>ProductType: HOUSING LOAN</v>
      </c>
      <c r="EP27" t="str">
        <f>EO11</f>
        <v>ProductType: HOUSING LOAN</v>
      </c>
      <c r="EQ27" t="str">
        <f>EO11</f>
        <v>ProductType: HOUSING LOAN</v>
      </c>
      <c r="ER27" t="str">
        <f>EO11</f>
        <v>ProductType: HOUSING LOAN</v>
      </c>
      <c r="ES27" t="str">
        <f>EO11</f>
        <v>ProductType: HOUSING LOAN</v>
      </c>
      <c r="ET27" t="str">
        <f>EO11</f>
        <v>ProductType: HOUSING LOAN</v>
      </c>
      <c r="EU27" t="str">
        <f>EO11</f>
        <v>ProductType: HOUSING LOAN</v>
      </c>
      <c r="EW27" t="str">
        <f>EW11</f>
        <v>ProductType: HOUSING LOAN</v>
      </c>
      <c r="EX27" t="str">
        <f>EW11</f>
        <v>ProductType: HOUSING LOAN</v>
      </c>
      <c r="EY27" t="str">
        <f>EW11</f>
        <v>ProductType: HOUSING LOAN</v>
      </c>
      <c r="EZ27" t="str">
        <f>EW11</f>
        <v>ProductType: HOUSING LOAN</v>
      </c>
      <c r="FA27" t="str">
        <f>EW11</f>
        <v>ProductType: HOUSING LOAN</v>
      </c>
      <c r="FB27" t="str">
        <f>EW11</f>
        <v>ProductType: HOUSING LOAN</v>
      </c>
      <c r="FC27" t="str">
        <f>EW11</f>
        <v>ProductType: HOUSING LOAN</v>
      </c>
      <c r="FE27" t="str">
        <f>FE11</f>
        <v xml:space="preserve">ProductType: INT CAP TERM LOAN </v>
      </c>
      <c r="FF27" t="str">
        <f>FE11</f>
        <v xml:space="preserve">ProductType: INT CAP TERM LOAN </v>
      </c>
      <c r="FG27" t="str">
        <f>FE11</f>
        <v xml:space="preserve">ProductType: INT CAP TERM LOAN </v>
      </c>
      <c r="FH27" t="str">
        <f>FE11</f>
        <v xml:space="preserve">ProductType: INT CAP TERM LOAN </v>
      </c>
      <c r="FI27" t="str">
        <f>FE11</f>
        <v xml:space="preserve">ProductType: INT CAP TERM LOAN </v>
      </c>
      <c r="FJ27" t="str">
        <f>FE11</f>
        <v xml:space="preserve">ProductType: INT CAP TERM LOAN </v>
      </c>
      <c r="FK27" t="str">
        <f>FE11</f>
        <v xml:space="preserve">ProductType: INT CAP TERM LOAN </v>
      </c>
      <c r="FM27" t="str">
        <f>FM11</f>
        <v xml:space="preserve">ProductType: INT CAP TERM LOAN </v>
      </c>
      <c r="FN27" t="str">
        <f>FM11</f>
        <v xml:space="preserve">ProductType: INT CAP TERM LOAN </v>
      </c>
      <c r="FO27" t="str">
        <f>FM11</f>
        <v xml:space="preserve">ProductType: INT CAP TERM LOAN </v>
      </c>
      <c r="FP27" t="str">
        <f>FM11</f>
        <v xml:space="preserve">ProductType: INT CAP TERM LOAN </v>
      </c>
      <c r="FQ27" t="str">
        <f>FM11</f>
        <v xml:space="preserve">ProductType: INT CAP TERM LOAN </v>
      </c>
      <c r="FR27" t="str">
        <f>FM11</f>
        <v xml:space="preserve">ProductType: INT CAP TERM LOAN </v>
      </c>
      <c r="FS27" t="str">
        <f>FM11</f>
        <v xml:space="preserve">ProductType: INT CAP TERM LOAN </v>
      </c>
      <c r="FU27" t="str">
        <f>FU11</f>
        <v>ProductType: LOAN AGAINST FDR</v>
      </c>
      <c r="FV27" t="str">
        <f>FU11</f>
        <v>ProductType: LOAN AGAINST FDR</v>
      </c>
      <c r="FW27" t="str">
        <f>FU11</f>
        <v>ProductType: LOAN AGAINST FDR</v>
      </c>
      <c r="FX27" t="str">
        <f>FU11</f>
        <v>ProductType: LOAN AGAINST FDR</v>
      </c>
      <c r="FY27" t="str">
        <f>FU11</f>
        <v>ProductType: LOAN AGAINST FDR</v>
      </c>
      <c r="FZ27" t="str">
        <f>FU11</f>
        <v>ProductType: LOAN AGAINST FDR</v>
      </c>
      <c r="GA27" t="str">
        <f>FU11</f>
        <v>ProductType: LOAN AGAINST FDR</v>
      </c>
      <c r="GC27" t="str">
        <f>GC11</f>
        <v>ProductType: LOAN AGAINST FDR</v>
      </c>
      <c r="GD27" t="str">
        <f>GC11</f>
        <v>ProductType: LOAN AGAINST FDR</v>
      </c>
      <c r="GE27" t="str">
        <f>GC11</f>
        <v>ProductType: LOAN AGAINST FDR</v>
      </c>
      <c r="GF27" t="str">
        <f>GC11</f>
        <v>ProductType: LOAN AGAINST FDR</v>
      </c>
      <c r="GG27" t="str">
        <f>GC11</f>
        <v>ProductType: LOAN AGAINST FDR</v>
      </c>
      <c r="GH27" t="str">
        <f>GC11</f>
        <v>ProductType: LOAN AGAINST FDR</v>
      </c>
      <c r="GI27" t="str">
        <f>GC11</f>
        <v>ProductType: LOAN AGAINST FDR</v>
      </c>
      <c r="GK27" t="str">
        <f>GK11</f>
        <v>ProductType: MARGIN NATURE LOAN</v>
      </c>
      <c r="GL27" t="str">
        <f>GK11</f>
        <v>ProductType: MARGIN NATURE LOAN</v>
      </c>
      <c r="GM27" t="str">
        <f>GK11</f>
        <v>ProductType: MARGIN NATURE LOAN</v>
      </c>
      <c r="GN27" t="str">
        <f>GK11</f>
        <v>ProductType: MARGIN NATURE LOAN</v>
      </c>
      <c r="GO27" t="str">
        <f>GK11</f>
        <v>ProductType: MARGIN NATURE LOAN</v>
      </c>
      <c r="GP27" t="str">
        <f>GK11</f>
        <v>ProductType: MARGIN NATURE LOAN</v>
      </c>
      <c r="GQ27" t="str">
        <f>GK11</f>
        <v>ProductType: MARGIN NATURE LOAN</v>
      </c>
      <c r="GS27" t="str">
        <f>GS11</f>
        <v>ProductType: MARGIN NATURE LOAN</v>
      </c>
      <c r="GT27" t="str">
        <f>GS11</f>
        <v>ProductType: MARGIN NATURE LOAN</v>
      </c>
      <c r="GU27" t="str">
        <f>GS11</f>
        <v>ProductType: MARGIN NATURE LOAN</v>
      </c>
      <c r="GV27" t="str">
        <f>GS11</f>
        <v>ProductType: MARGIN NATURE LOAN</v>
      </c>
      <c r="GW27" t="str">
        <f>GS11</f>
        <v>ProductType: MARGIN NATURE LOAN</v>
      </c>
      <c r="GX27" t="str">
        <f>GS11</f>
        <v>ProductType: MARGIN NATURE LOAN</v>
      </c>
      <c r="GY27" t="str">
        <f>GS11</f>
        <v>ProductType: MARGIN NATURE LOAN</v>
      </c>
      <c r="HA27" t="str">
        <f>HA11</f>
        <v>ProductType: MORTGAGE LOAN</v>
      </c>
      <c r="HB27" t="str">
        <f>HA11</f>
        <v>ProductType: MORTGAGE LOAN</v>
      </c>
      <c r="HC27" t="str">
        <f>HA11</f>
        <v>ProductType: MORTGAGE LOAN</v>
      </c>
      <c r="HD27" t="str">
        <f>HA11</f>
        <v>ProductType: MORTGAGE LOAN</v>
      </c>
      <c r="HE27" t="str">
        <f>HA11</f>
        <v>ProductType: MORTGAGE LOAN</v>
      </c>
      <c r="HF27" t="str">
        <f>HA11</f>
        <v>ProductType: MORTGAGE LOAN</v>
      </c>
      <c r="HG27" t="str">
        <f>HA11</f>
        <v>ProductType: MORTGAGE LOAN</v>
      </c>
      <c r="HI27" t="str">
        <f>HI11</f>
        <v>ProductType: MORTGAGE LOAN</v>
      </c>
      <c r="HJ27" t="str">
        <f>HI11</f>
        <v>ProductType: MORTGAGE LOAN</v>
      </c>
      <c r="HK27" t="str">
        <f>HI11</f>
        <v>ProductType: MORTGAGE LOAN</v>
      </c>
      <c r="HL27" t="str">
        <f>HI11</f>
        <v>ProductType: MORTGAGE LOAN</v>
      </c>
      <c r="HM27" t="str">
        <f>HI11</f>
        <v>ProductType: MORTGAGE LOAN</v>
      </c>
      <c r="HN27" t="str">
        <f>HI11</f>
        <v>ProductType: MORTGAGE LOAN</v>
      </c>
      <c r="HO27" t="str">
        <f>HI11</f>
        <v>ProductType: MORTGAGE LOAN</v>
      </c>
      <c r="HQ27" t="str">
        <f>HQ11</f>
        <v>ProductType: OD BUSINESS LOAN</v>
      </c>
      <c r="HR27" t="str">
        <f>HQ11</f>
        <v>ProductType: OD BUSINESS LOAN</v>
      </c>
      <c r="HS27" t="str">
        <f>HQ11</f>
        <v>ProductType: OD BUSINESS LOAN</v>
      </c>
      <c r="HT27" t="str">
        <f>HQ11</f>
        <v>ProductType: OD BUSINESS LOAN</v>
      </c>
      <c r="HU27" t="str">
        <f>HQ11</f>
        <v>ProductType: OD BUSINESS LOAN</v>
      </c>
      <c r="HV27" t="str">
        <f>HQ11</f>
        <v>ProductType: OD BUSINESS LOAN</v>
      </c>
      <c r="HW27" t="str">
        <f>HQ11</f>
        <v>ProductType: OD BUSINESS LOAN</v>
      </c>
      <c r="HY27" t="str">
        <f>HY11</f>
        <v>ProductType: OD BUSINESS LOAN</v>
      </c>
      <c r="HZ27" t="str">
        <f>HY11</f>
        <v>ProductType: OD BUSINESS LOAN</v>
      </c>
      <c r="IA27" t="str">
        <f>HY11</f>
        <v>ProductType: OD BUSINESS LOAN</v>
      </c>
      <c r="IB27" t="str">
        <f>HY11</f>
        <v>ProductType: OD BUSINESS LOAN</v>
      </c>
      <c r="IC27" t="str">
        <f>HY11</f>
        <v>ProductType: OD BUSINESS LOAN</v>
      </c>
      <c r="ID27" t="str">
        <f>HY11</f>
        <v>ProductType: OD BUSINESS LOAN</v>
      </c>
      <c r="IE27" t="str">
        <f>HY11</f>
        <v>ProductType: OD BUSINESS LOAN</v>
      </c>
      <c r="IG27" t="str">
        <f>IG11</f>
        <v>ProductType: OD PERSONAL LOAN</v>
      </c>
      <c r="IH27" t="str">
        <f>IG11</f>
        <v>ProductType: OD PERSONAL LOAN</v>
      </c>
      <c r="II27" t="str">
        <f>IG11</f>
        <v>ProductType: OD PERSONAL LOAN</v>
      </c>
      <c r="IJ27" t="str">
        <f>IG11</f>
        <v>ProductType: OD PERSONAL LOAN</v>
      </c>
      <c r="IK27" t="str">
        <f>IG11</f>
        <v>ProductType: OD PERSONAL LOAN</v>
      </c>
      <c r="IL27" t="str">
        <f>IG11</f>
        <v>ProductType: OD PERSONAL LOAN</v>
      </c>
      <c r="IM27" t="str">
        <f>IG11</f>
        <v>ProductType: OD PERSONAL LOAN</v>
      </c>
      <c r="IO27" t="str">
        <f>IO11</f>
        <v>ProductType: OD PERSONAL LOAN</v>
      </c>
      <c r="IP27" t="str">
        <f>IO11</f>
        <v>ProductType: OD PERSONAL LOAN</v>
      </c>
      <c r="IQ27" t="str">
        <f>IO11</f>
        <v>ProductType: OD PERSONAL LOAN</v>
      </c>
      <c r="IR27" t="str">
        <f>IO11</f>
        <v>ProductType: OD PERSONAL LOAN</v>
      </c>
      <c r="IS27" t="str">
        <f>IO11</f>
        <v>ProductType: OD PERSONAL LOAN</v>
      </c>
      <c r="IT27" t="str">
        <f>IO11</f>
        <v>ProductType: OD PERSONAL LOAN</v>
      </c>
      <c r="IU27" t="str">
        <f>IO11</f>
        <v>ProductType: OD PERSONAL LOAN</v>
      </c>
      <c r="IW27" t="str">
        <f>IW11</f>
        <v>ProductType: OD STAFF LOAN</v>
      </c>
      <c r="IX27" t="str">
        <f>IW11</f>
        <v>ProductType: OD STAFF LOAN</v>
      </c>
      <c r="IY27" t="str">
        <f>IW11</f>
        <v>ProductType: OD STAFF LOAN</v>
      </c>
      <c r="IZ27" t="str">
        <f>IW11</f>
        <v>ProductType: OD STAFF LOAN</v>
      </c>
      <c r="JA27" t="str">
        <f>IW11</f>
        <v>ProductType: OD STAFF LOAN</v>
      </c>
      <c r="JB27" t="str">
        <f>IW11</f>
        <v>ProductType: OD STAFF LOAN</v>
      </c>
      <c r="JC27" t="str">
        <f>IW11</f>
        <v>ProductType: OD STAFF LOAN</v>
      </c>
      <c r="JE27" t="str">
        <f>JE11</f>
        <v>ProductType: OD STAFF LOAN</v>
      </c>
      <c r="JF27" t="str">
        <f>JE11</f>
        <v>ProductType: OD STAFF LOAN</v>
      </c>
      <c r="JG27" t="str">
        <f>JE11</f>
        <v>ProductType: OD STAFF LOAN</v>
      </c>
      <c r="JH27" t="str">
        <f>JE11</f>
        <v>ProductType: OD STAFF LOAN</v>
      </c>
      <c r="JI27" t="str">
        <f>JE11</f>
        <v>ProductType: OD STAFF LOAN</v>
      </c>
      <c r="JJ27" t="str">
        <f>JE11</f>
        <v>ProductType: OD STAFF LOAN</v>
      </c>
      <c r="JK27" t="str">
        <f>JE11</f>
        <v>ProductType: OD STAFF LOAN</v>
      </c>
      <c r="JM27" t="str">
        <f>JM11</f>
        <v>ProductType: OVERDRAFT PROFESSION</v>
      </c>
      <c r="JN27" t="str">
        <f>JM11</f>
        <v>ProductType: OVERDRAFT PROFESSION</v>
      </c>
      <c r="JO27" t="str">
        <f>JM11</f>
        <v>ProductType: OVERDRAFT PROFESSION</v>
      </c>
      <c r="JP27" t="str">
        <f>JM11</f>
        <v>ProductType: OVERDRAFT PROFESSION</v>
      </c>
      <c r="JQ27" t="str">
        <f>JM11</f>
        <v>ProductType: OVERDRAFT PROFESSION</v>
      </c>
      <c r="JR27" t="str">
        <f>JM11</f>
        <v>ProductType: OVERDRAFT PROFESSION</v>
      </c>
      <c r="JS27" t="str">
        <f>JM11</f>
        <v>ProductType: OVERDRAFT PROFESSION</v>
      </c>
      <c r="JU27" t="str">
        <f>JU11</f>
        <v>ProductType: OVERDRAFT PROFESSION</v>
      </c>
      <c r="JV27" t="str">
        <f>JU11</f>
        <v>ProductType: OVERDRAFT PROFESSION</v>
      </c>
      <c r="JW27" t="str">
        <f>JU11</f>
        <v>ProductType: OVERDRAFT PROFESSION</v>
      </c>
      <c r="JX27" t="str">
        <f>JU11</f>
        <v>ProductType: OVERDRAFT PROFESSION</v>
      </c>
      <c r="JY27" t="str">
        <f>JU11</f>
        <v>ProductType: OVERDRAFT PROFESSION</v>
      </c>
      <c r="JZ27" t="str">
        <f>JU11</f>
        <v>ProductType: OVERDRAFT PROFESSION</v>
      </c>
      <c r="KA27" t="str">
        <f>JU11</f>
        <v>ProductType: OVERDRAFT PROFESSION</v>
      </c>
      <c r="KC27" t="str">
        <f>KC11</f>
        <v>ProductType: PERSONAL LOAN</v>
      </c>
      <c r="KD27" t="str">
        <f>KC11</f>
        <v>ProductType: PERSONAL LOAN</v>
      </c>
      <c r="KE27" t="str">
        <f>KC11</f>
        <v>ProductType: PERSONAL LOAN</v>
      </c>
      <c r="KF27" t="str">
        <f>KC11</f>
        <v>ProductType: PERSONAL LOAN</v>
      </c>
      <c r="KG27" t="str">
        <f>KC11</f>
        <v>ProductType: PERSONAL LOAN</v>
      </c>
      <c r="KH27" t="str">
        <f>KC11</f>
        <v>ProductType: PERSONAL LOAN</v>
      </c>
      <c r="KI27" t="str">
        <f>KC11</f>
        <v>ProductType: PERSONAL LOAN</v>
      </c>
      <c r="KK27" t="str">
        <f>KK11</f>
        <v>ProductType: PERSONAL LOAN</v>
      </c>
      <c r="KL27" t="str">
        <f>KK11</f>
        <v>ProductType: PERSONAL LOAN</v>
      </c>
      <c r="KM27" t="str">
        <f>KK11</f>
        <v>ProductType: PERSONAL LOAN</v>
      </c>
      <c r="KN27" t="str">
        <f>KK11</f>
        <v>ProductType: PERSONAL LOAN</v>
      </c>
      <c r="KO27" t="str">
        <f>KK11</f>
        <v>ProductType: PERSONAL LOAN</v>
      </c>
      <c r="KP27" t="str">
        <f>KK11</f>
        <v>ProductType: PERSONAL LOAN</v>
      </c>
      <c r="KQ27" t="str">
        <f>KK11</f>
        <v>ProductType: PERSONAL LOAN</v>
      </c>
      <c r="KS27" t="str">
        <f>KS11</f>
        <v>ProductType: RECEIVABLE LOAN</v>
      </c>
      <c r="KT27" t="str">
        <f>KS11</f>
        <v>ProductType: RECEIVABLE LOAN</v>
      </c>
      <c r="KU27" t="str">
        <f>KS11</f>
        <v>ProductType: RECEIVABLE LOAN</v>
      </c>
      <c r="KV27" t="str">
        <f>KS11</f>
        <v>ProductType: RECEIVABLE LOAN</v>
      </c>
      <c r="KW27" t="str">
        <f>KS11</f>
        <v>ProductType: RECEIVABLE LOAN</v>
      </c>
      <c r="KX27" t="str">
        <f>KS11</f>
        <v>ProductType: RECEIVABLE LOAN</v>
      </c>
      <c r="KY27" t="str">
        <f>KS11</f>
        <v>ProductType: RECEIVABLE LOAN</v>
      </c>
      <c r="LA27" t="str">
        <f>LA11</f>
        <v>ProductType: RECEIVABLE LOAN</v>
      </c>
      <c r="LB27" t="str">
        <f>LA11</f>
        <v>ProductType: RECEIVABLE LOAN</v>
      </c>
      <c r="LC27" t="str">
        <f>LA11</f>
        <v>ProductType: RECEIVABLE LOAN</v>
      </c>
      <c r="LD27" t="str">
        <f>LA11</f>
        <v>ProductType: RECEIVABLE LOAN</v>
      </c>
      <c r="LE27" t="str">
        <f>LA11</f>
        <v>ProductType: RECEIVABLE LOAN</v>
      </c>
      <c r="LF27" t="str">
        <f>LA11</f>
        <v>ProductType: RECEIVABLE LOAN</v>
      </c>
      <c r="LG27" t="str">
        <f>LA11</f>
        <v>ProductType: RECEIVABLE LOAN</v>
      </c>
      <c r="LI27" t="str">
        <f>LI11</f>
        <v>ProductType: RESI PER.HOME-EMI</v>
      </c>
      <c r="LJ27" t="str">
        <f>LI11</f>
        <v>ProductType: RESI PER.HOME-EMI</v>
      </c>
      <c r="LK27" t="str">
        <f>LI11</f>
        <v>ProductType: RESI PER.HOME-EMI</v>
      </c>
      <c r="LL27" t="str">
        <f>LI11</f>
        <v>ProductType: RESI PER.HOME-EMI</v>
      </c>
      <c r="LM27" t="str">
        <f>LI11</f>
        <v>ProductType: RESI PER.HOME-EMI</v>
      </c>
      <c r="LN27" t="str">
        <f>LI11</f>
        <v>ProductType: RESI PER.HOME-EMI</v>
      </c>
      <c r="LO27" t="str">
        <f>LI11</f>
        <v>ProductType: RESI PER.HOME-EMI</v>
      </c>
      <c r="LQ27" t="str">
        <f>LQ11</f>
        <v>ProductType: RESI PER.HOME-EMI</v>
      </c>
      <c r="LR27" t="str">
        <f>LQ11</f>
        <v>ProductType: RESI PER.HOME-EMI</v>
      </c>
      <c r="LS27" t="str">
        <f>LQ11</f>
        <v>ProductType: RESI PER.HOME-EMI</v>
      </c>
      <c r="LT27" t="str">
        <f>LQ11</f>
        <v>ProductType: RESI PER.HOME-EMI</v>
      </c>
      <c r="LU27" t="str">
        <f>LQ11</f>
        <v>ProductType: RESI PER.HOME-EMI</v>
      </c>
      <c r="LV27" t="str">
        <f>LQ11</f>
        <v>ProductType: RESI PER.HOME-EMI</v>
      </c>
      <c r="LW27" t="str">
        <f>LQ11</f>
        <v>ProductType: RESI PER.HOME-EMI</v>
      </c>
      <c r="LY27" t="str">
        <f>LY11</f>
        <v>ProductType: RESI REAL EST LOAN</v>
      </c>
      <c r="LZ27" t="str">
        <f>LY11</f>
        <v>ProductType: RESI REAL EST LOAN</v>
      </c>
      <c r="MA27" t="str">
        <f>LY11</f>
        <v>ProductType: RESI REAL EST LOAN</v>
      </c>
      <c r="MB27" t="str">
        <f>LY11</f>
        <v>ProductType: RESI REAL EST LOAN</v>
      </c>
      <c r="MC27" t="str">
        <f>LY11</f>
        <v>ProductType: RESI REAL EST LOAN</v>
      </c>
      <c r="MD27" t="str">
        <f>LY11</f>
        <v>ProductType: RESI REAL EST LOAN</v>
      </c>
      <c r="ME27" t="str">
        <f>LY11</f>
        <v>ProductType: RESI REAL EST LOAN</v>
      </c>
      <c r="MG27" t="str">
        <f>MG11</f>
        <v>ProductType: RESI REAL EST LOAN</v>
      </c>
      <c r="MH27" t="str">
        <f>MG11</f>
        <v>ProductType: RESI REAL EST LOAN</v>
      </c>
      <c r="MI27" t="str">
        <f>MG11</f>
        <v>ProductType: RESI REAL EST LOAN</v>
      </c>
      <c r="MJ27" t="str">
        <f>MG11</f>
        <v>ProductType: RESI REAL EST LOAN</v>
      </c>
      <c r="MK27" t="str">
        <f>MG11</f>
        <v>ProductType: RESI REAL EST LOAN</v>
      </c>
      <c r="ML27" t="str">
        <f>MG11</f>
        <v>ProductType: RESI REAL EST LOAN</v>
      </c>
      <c r="MM27" t="str">
        <f>MG11</f>
        <v>ProductType: RESI REAL EST LOAN</v>
      </c>
      <c r="MO27" t="str">
        <f>MO11</f>
        <v>ProductType: SME LOAN</v>
      </c>
      <c r="MP27" t="str">
        <f>MO11</f>
        <v>ProductType: SME LOAN</v>
      </c>
      <c r="MQ27" t="str">
        <f>MO11</f>
        <v>ProductType: SME LOAN</v>
      </c>
      <c r="MR27" t="str">
        <f>MO11</f>
        <v>ProductType: SME LOAN</v>
      </c>
      <c r="MS27" t="str">
        <f>MO11</f>
        <v>ProductType: SME LOAN</v>
      </c>
      <c r="MT27" t="str">
        <f>MO11</f>
        <v>ProductType: SME LOAN</v>
      </c>
      <c r="MU27" t="str">
        <f>MO11</f>
        <v>ProductType: SME LOAN</v>
      </c>
      <c r="MW27" t="str">
        <f>MW11</f>
        <v>ProductType: SME LOAN</v>
      </c>
      <c r="MX27" t="str">
        <f>MW11</f>
        <v>ProductType: SME LOAN</v>
      </c>
      <c r="MY27" t="str">
        <f>MW11</f>
        <v>ProductType: SME LOAN</v>
      </c>
      <c r="MZ27" t="str">
        <f>MW11</f>
        <v>ProductType: SME LOAN</v>
      </c>
      <c r="NA27" t="str">
        <f>MW11</f>
        <v>ProductType: SME LOAN</v>
      </c>
      <c r="NB27" t="str">
        <f>MW11</f>
        <v>ProductType: SME LOAN</v>
      </c>
      <c r="NC27" t="str">
        <f>MW11</f>
        <v>ProductType: SME LOAN</v>
      </c>
      <c r="NE27" t="str">
        <f>NE11</f>
        <v>ProductType: STAFF LOAN</v>
      </c>
      <c r="NF27" t="str">
        <f>NE11</f>
        <v>ProductType: STAFF LOAN</v>
      </c>
      <c r="NG27" t="str">
        <f>NE11</f>
        <v>ProductType: STAFF LOAN</v>
      </c>
      <c r="NH27" t="str">
        <f>NE11</f>
        <v>ProductType: STAFF LOAN</v>
      </c>
      <c r="NI27" t="str">
        <f>NE11</f>
        <v>ProductType: STAFF LOAN</v>
      </c>
      <c r="NJ27" t="str">
        <f>NE11</f>
        <v>ProductType: STAFF LOAN</v>
      </c>
      <c r="NK27" t="str">
        <f>NE11</f>
        <v>ProductType: STAFF LOAN</v>
      </c>
      <c r="NM27" t="str">
        <f>NM11</f>
        <v>ProductType: STAFF LOAN</v>
      </c>
      <c r="NN27" t="str">
        <f>NM11</f>
        <v>ProductType: STAFF LOAN</v>
      </c>
      <c r="NO27" t="str">
        <f>NM11</f>
        <v>ProductType: STAFF LOAN</v>
      </c>
      <c r="NP27" t="str">
        <f>NM11</f>
        <v>ProductType: STAFF LOAN</v>
      </c>
      <c r="NQ27" t="str">
        <f>NM11</f>
        <v>ProductType: STAFF LOAN</v>
      </c>
      <c r="NR27" t="str">
        <f>NM11</f>
        <v>ProductType: STAFF LOAN</v>
      </c>
      <c r="NS27" t="str">
        <f>NM11</f>
        <v>ProductType: STAFF LOAN</v>
      </c>
      <c r="NU27" t="str">
        <f>NU11</f>
        <v>ProductType: TERM LOAN</v>
      </c>
      <c r="NV27" t="str">
        <f>NU11</f>
        <v>ProductType: TERM LOAN</v>
      </c>
      <c r="NW27" t="str">
        <f>NU11</f>
        <v>ProductType: TERM LOAN</v>
      </c>
      <c r="NX27" t="str">
        <f>NU11</f>
        <v>ProductType: TERM LOAN</v>
      </c>
      <c r="NY27" t="str">
        <f>NU11</f>
        <v>ProductType: TERM LOAN</v>
      </c>
      <c r="NZ27" t="str">
        <f>NU11</f>
        <v>ProductType: TERM LOAN</v>
      </c>
      <c r="OA27" t="str">
        <f>NU11</f>
        <v>ProductType: TERM LOAN</v>
      </c>
      <c r="OC27" t="str">
        <f>OC11</f>
        <v>ProductType: TERM LOAN</v>
      </c>
      <c r="OD27" t="str">
        <f>OC11</f>
        <v>ProductType: TERM LOAN</v>
      </c>
      <c r="OE27" t="str">
        <f>OC11</f>
        <v>ProductType: TERM LOAN</v>
      </c>
      <c r="OF27" t="str">
        <f>OC11</f>
        <v>ProductType: TERM LOAN</v>
      </c>
      <c r="OG27" t="str">
        <f>OC11</f>
        <v>ProductType: TERM LOAN</v>
      </c>
      <c r="OH27" t="str">
        <f>OC11</f>
        <v>ProductType: TERM LOAN</v>
      </c>
      <c r="OI27" t="str">
        <f>OC11</f>
        <v>ProductType: TERM LOAN</v>
      </c>
      <c r="OK27" t="str">
        <f>OK11</f>
        <v>ProductType: TERM LOAN - BUSINESS</v>
      </c>
      <c r="OL27" t="str">
        <f>OK11</f>
        <v>ProductType: TERM LOAN - BUSINESS</v>
      </c>
      <c r="OM27" t="str">
        <f>OK11</f>
        <v>ProductType: TERM LOAN - BUSINESS</v>
      </c>
      <c r="ON27" t="str">
        <f>OK11</f>
        <v>ProductType: TERM LOAN - BUSINESS</v>
      </c>
      <c r="OO27" t="str">
        <f>OK11</f>
        <v>ProductType: TERM LOAN - BUSINESS</v>
      </c>
      <c r="OP27" t="str">
        <f>OK11</f>
        <v>ProductType: TERM LOAN - BUSINESS</v>
      </c>
      <c r="OQ27" t="str">
        <f>OK11</f>
        <v>ProductType: TERM LOAN - BUSINESS</v>
      </c>
      <c r="OS27" t="str">
        <f>OS11</f>
        <v>ProductType: TERM LOAN - BUSINESS</v>
      </c>
      <c r="OT27" t="str">
        <f>OS11</f>
        <v>ProductType: TERM LOAN - BUSINESS</v>
      </c>
      <c r="OU27" t="str">
        <f>OS11</f>
        <v>ProductType: TERM LOAN - BUSINESS</v>
      </c>
      <c r="OV27" t="str">
        <f>OS11</f>
        <v>ProductType: TERM LOAN - BUSINESS</v>
      </c>
      <c r="OW27" t="str">
        <f>OS11</f>
        <v>ProductType: TERM LOAN - BUSINESS</v>
      </c>
      <c r="OX27" t="str">
        <f>OS11</f>
        <v>ProductType: TERM LOAN - BUSINESS</v>
      </c>
      <c r="OY27" t="str">
        <f>OS11</f>
        <v>ProductType: TERM LOAN - BUSINESS</v>
      </c>
      <c r="PA27" t="str">
        <f>PA11</f>
        <v>ProductType: TOURISM SECTOR LOAN</v>
      </c>
      <c r="PB27" t="str">
        <f>PA11</f>
        <v>ProductType: TOURISM SECTOR LOAN</v>
      </c>
      <c r="PC27" t="str">
        <f>PA11</f>
        <v>ProductType: TOURISM SECTOR LOAN</v>
      </c>
      <c r="PD27" t="str">
        <f>PA11</f>
        <v>ProductType: TOURISM SECTOR LOAN</v>
      </c>
      <c r="PE27" t="str">
        <f>PA11</f>
        <v>ProductType: TOURISM SECTOR LOAN</v>
      </c>
      <c r="PF27" t="str">
        <f>PA11</f>
        <v>ProductType: TOURISM SECTOR LOAN</v>
      </c>
      <c r="PG27" t="str">
        <f>PA11</f>
        <v>ProductType: TOURISM SECTOR LOAN</v>
      </c>
      <c r="PI27" t="str">
        <f>PI11</f>
        <v>ProductType: TOURISM SECTOR LOAN</v>
      </c>
      <c r="PJ27" t="str">
        <f>PI11</f>
        <v>ProductType: TOURISM SECTOR LOAN</v>
      </c>
      <c r="PK27" t="str">
        <f>PI11</f>
        <v>ProductType: TOURISM SECTOR LOAN</v>
      </c>
      <c r="PL27" t="str">
        <f>PI11</f>
        <v>ProductType: TOURISM SECTOR LOAN</v>
      </c>
      <c r="PM27" t="str">
        <f>PI11</f>
        <v>ProductType: TOURISM SECTOR LOAN</v>
      </c>
      <c r="PN27" t="str">
        <f>PI11</f>
        <v>ProductType: TOURISM SECTOR LOAN</v>
      </c>
      <c r="PO27" t="str">
        <f>PI11</f>
        <v>ProductType: TOURISM SECTOR LOAN</v>
      </c>
      <c r="PQ27" t="str">
        <f>PQ11</f>
        <v>ProductType: WC TRADING/IND LOAN</v>
      </c>
      <c r="PR27" t="str">
        <f>PQ11</f>
        <v>ProductType: WC TRADING/IND LOAN</v>
      </c>
      <c r="PS27" t="str">
        <f>PQ11</f>
        <v>ProductType: WC TRADING/IND LOAN</v>
      </c>
      <c r="PT27" t="str">
        <f>PQ11</f>
        <v>ProductType: WC TRADING/IND LOAN</v>
      </c>
      <c r="PU27" t="str">
        <f>PQ11</f>
        <v>ProductType: WC TRADING/IND LOAN</v>
      </c>
      <c r="PV27" t="str">
        <f>PQ11</f>
        <v>ProductType: WC TRADING/IND LOAN</v>
      </c>
      <c r="PW27" t="str">
        <f>PQ11</f>
        <v>ProductType: WC TRADING/IND LOAN</v>
      </c>
      <c r="PY27" t="str">
        <f>PY11</f>
        <v>ProductType: WC TRADING/IND LOAN</v>
      </c>
      <c r="PZ27" t="str">
        <f>PY11</f>
        <v>ProductType: WC TRADING/IND LOAN</v>
      </c>
      <c r="QA27" t="str">
        <f>PY11</f>
        <v>ProductType: WC TRADING/IND LOAN</v>
      </c>
      <c r="QB27" t="str">
        <f>PY11</f>
        <v>ProductType: WC TRADING/IND LOAN</v>
      </c>
      <c r="QC27" t="str">
        <f>PY11</f>
        <v>ProductType: WC TRADING/IND LOAN</v>
      </c>
      <c r="QD27" t="str">
        <f>PY11</f>
        <v>ProductType: WC TRADING/IND LOAN</v>
      </c>
      <c r="QE27" t="str">
        <f>PY11</f>
        <v>ProductType: WC TRADING/IND LOAN</v>
      </c>
    </row>
    <row r="28" spans="1:487" x14ac:dyDescent="0.45">
      <c r="A28" t="str">
        <f>A12</f>
        <v>Stage: 1</v>
      </c>
      <c r="B28" t="str">
        <f>A12</f>
        <v>Stage: 1</v>
      </c>
      <c r="C28" t="str">
        <f>A12</f>
        <v>Stage: 1</v>
      </c>
      <c r="D28" t="str">
        <f>A12</f>
        <v>Stage: 1</v>
      </c>
      <c r="E28" t="str">
        <f>A12</f>
        <v>Stage: 1</v>
      </c>
      <c r="F28" t="str">
        <f>A12</f>
        <v>Stage: 1</v>
      </c>
      <c r="G28" s="5" t="str">
        <f>A12</f>
        <v>Stage: 1</v>
      </c>
      <c r="I28" t="str">
        <f>I12</f>
        <v>Stage: 2</v>
      </c>
      <c r="J28" t="str">
        <f>I12</f>
        <v>Stage: 2</v>
      </c>
      <c r="K28" t="str">
        <f>I12</f>
        <v>Stage: 2</v>
      </c>
      <c r="L28" t="str">
        <f>I12</f>
        <v>Stage: 2</v>
      </c>
      <c r="M28" t="str">
        <f>I12</f>
        <v>Stage: 2</v>
      </c>
      <c r="N28" t="str">
        <f>I12</f>
        <v>Stage: 2</v>
      </c>
      <c r="O28" s="5" t="str">
        <f>I12</f>
        <v>Stage: 2</v>
      </c>
      <c r="Q28" t="str">
        <f>Q12</f>
        <v>Stage: 1</v>
      </c>
      <c r="R28" t="str">
        <f>Q12</f>
        <v>Stage: 1</v>
      </c>
      <c r="S28" t="str">
        <f>Q12</f>
        <v>Stage: 1</v>
      </c>
      <c r="T28" t="str">
        <f>Q12</f>
        <v>Stage: 1</v>
      </c>
      <c r="U28" t="str">
        <f>Q12</f>
        <v>Stage: 1</v>
      </c>
      <c r="V28" t="str">
        <f>Q12</f>
        <v>Stage: 1</v>
      </c>
      <c r="W28" s="5" t="str">
        <f>Q12</f>
        <v>Stage: 1</v>
      </c>
      <c r="Y28" t="str">
        <f>Y12</f>
        <v>Stage: 2</v>
      </c>
      <c r="Z28" t="str">
        <f>Y12</f>
        <v>Stage: 2</v>
      </c>
      <c r="AA28" t="str">
        <f>Y12</f>
        <v>Stage: 2</v>
      </c>
      <c r="AB28" t="str">
        <f>Y12</f>
        <v>Stage: 2</v>
      </c>
      <c r="AC28" t="str">
        <f>Y12</f>
        <v>Stage: 2</v>
      </c>
      <c r="AD28" t="str">
        <f>Y12</f>
        <v>Stage: 2</v>
      </c>
      <c r="AE28" s="5" t="str">
        <f>Y12</f>
        <v>Stage: 2</v>
      </c>
      <c r="AG28" t="str">
        <f>AG12</f>
        <v>Stage: 1</v>
      </c>
      <c r="AH28" t="str">
        <f>AG12</f>
        <v>Stage: 1</v>
      </c>
      <c r="AI28" t="str">
        <f>AG12</f>
        <v>Stage: 1</v>
      </c>
      <c r="AJ28" t="str">
        <f>AG12</f>
        <v>Stage: 1</v>
      </c>
      <c r="AK28" t="str">
        <f>AG12</f>
        <v>Stage: 1</v>
      </c>
      <c r="AL28" t="str">
        <f>AG12</f>
        <v>Stage: 1</v>
      </c>
      <c r="AM28" s="5" t="str">
        <f>AG12</f>
        <v>Stage: 1</v>
      </c>
      <c r="AO28" t="str">
        <f>AO12</f>
        <v>Stage: 2</v>
      </c>
      <c r="AP28" t="str">
        <f>AO12</f>
        <v>Stage: 2</v>
      </c>
      <c r="AQ28" t="str">
        <f>AO12</f>
        <v>Stage: 2</v>
      </c>
      <c r="AR28" t="str">
        <f>AO12</f>
        <v>Stage: 2</v>
      </c>
      <c r="AS28" t="str">
        <f>AO12</f>
        <v>Stage: 2</v>
      </c>
      <c r="AT28" t="str">
        <f>AO12</f>
        <v>Stage: 2</v>
      </c>
      <c r="AU28" s="5" t="str">
        <f>AO12</f>
        <v>Stage: 2</v>
      </c>
      <c r="AW28" t="str">
        <f>AW12</f>
        <v>Stage: 1</v>
      </c>
      <c r="AX28" t="str">
        <f>AW12</f>
        <v>Stage: 1</v>
      </c>
      <c r="AY28" t="str">
        <f>AW12</f>
        <v>Stage: 1</v>
      </c>
      <c r="AZ28" t="str">
        <f>AW12</f>
        <v>Stage: 1</v>
      </c>
      <c r="BA28" t="str">
        <f>AW12</f>
        <v>Stage: 1</v>
      </c>
      <c r="BB28" t="str">
        <f>AW12</f>
        <v>Stage: 1</v>
      </c>
      <c r="BC28" s="5" t="str">
        <f>AW12</f>
        <v>Stage: 1</v>
      </c>
      <c r="BE28" t="str">
        <f>BE12</f>
        <v>Stage: 2</v>
      </c>
      <c r="BF28" t="str">
        <f>BE12</f>
        <v>Stage: 2</v>
      </c>
      <c r="BG28" t="str">
        <f>BE12</f>
        <v>Stage: 2</v>
      </c>
      <c r="BH28" t="str">
        <f>BE12</f>
        <v>Stage: 2</v>
      </c>
      <c r="BI28" t="str">
        <f>BE12</f>
        <v>Stage: 2</v>
      </c>
      <c r="BJ28" t="str">
        <f>BE12</f>
        <v>Stage: 2</v>
      </c>
      <c r="BK28" s="5" t="str">
        <f>BE12</f>
        <v>Stage: 2</v>
      </c>
      <c r="BM28" t="str">
        <f>BM12</f>
        <v>Stage: 1</v>
      </c>
      <c r="BN28" t="str">
        <f>BM12</f>
        <v>Stage: 1</v>
      </c>
      <c r="BO28" t="str">
        <f>BM12</f>
        <v>Stage: 1</v>
      </c>
      <c r="BP28" t="str">
        <f>BM12</f>
        <v>Stage: 1</v>
      </c>
      <c r="BQ28" t="str">
        <f>BM12</f>
        <v>Stage: 1</v>
      </c>
      <c r="BR28" t="str">
        <f>BM12</f>
        <v>Stage: 1</v>
      </c>
      <c r="BS28" s="5" t="str">
        <f>BM12</f>
        <v>Stage: 1</v>
      </c>
      <c r="BU28" t="str">
        <f>BU12</f>
        <v>Stage: 2</v>
      </c>
      <c r="BV28" t="str">
        <f>BU12</f>
        <v>Stage: 2</v>
      </c>
      <c r="BW28" t="str">
        <f>BU12</f>
        <v>Stage: 2</v>
      </c>
      <c r="BX28" t="str">
        <f>BU12</f>
        <v>Stage: 2</v>
      </c>
      <c r="BY28" t="str">
        <f>BU12</f>
        <v>Stage: 2</v>
      </c>
      <c r="BZ28" t="str">
        <f>BU12</f>
        <v>Stage: 2</v>
      </c>
      <c r="CA28" s="5" t="str">
        <f>BU12</f>
        <v>Stage: 2</v>
      </c>
      <c r="CC28" t="str">
        <f>CC12</f>
        <v>Stage: 1</v>
      </c>
      <c r="CD28" t="str">
        <f>CC12</f>
        <v>Stage: 1</v>
      </c>
      <c r="CE28" t="str">
        <f>CC12</f>
        <v>Stage: 1</v>
      </c>
      <c r="CF28" t="str">
        <f>CC12</f>
        <v>Stage: 1</v>
      </c>
      <c r="CG28" t="str">
        <f>CC12</f>
        <v>Stage: 1</v>
      </c>
      <c r="CH28" t="str">
        <f>CC12</f>
        <v>Stage: 1</v>
      </c>
      <c r="CI28" s="5" t="str">
        <f>CC12</f>
        <v>Stage: 1</v>
      </c>
      <c r="CK28" t="str">
        <f>CK12</f>
        <v>Stage: 2</v>
      </c>
      <c r="CL28" t="str">
        <f>CK12</f>
        <v>Stage: 2</v>
      </c>
      <c r="CM28" t="str">
        <f>CK12</f>
        <v>Stage: 2</v>
      </c>
      <c r="CN28" t="str">
        <f>CK12</f>
        <v>Stage: 2</v>
      </c>
      <c r="CO28" t="str">
        <f>CK12</f>
        <v>Stage: 2</v>
      </c>
      <c r="CP28" t="str">
        <f>CK12</f>
        <v>Stage: 2</v>
      </c>
      <c r="CQ28" s="5" t="str">
        <f>CK12</f>
        <v>Stage: 2</v>
      </c>
      <c r="CS28" t="str">
        <f>CS12</f>
        <v>Stage: 1</v>
      </c>
      <c r="CT28" t="str">
        <f>CS12</f>
        <v>Stage: 1</v>
      </c>
      <c r="CU28" t="str">
        <f>CS12</f>
        <v>Stage: 1</v>
      </c>
      <c r="CV28" t="str">
        <f>CS12</f>
        <v>Stage: 1</v>
      </c>
      <c r="CW28" t="str">
        <f>CS12</f>
        <v>Stage: 1</v>
      </c>
      <c r="CX28" t="str">
        <f>CS12</f>
        <v>Stage: 1</v>
      </c>
      <c r="CY28" s="5" t="str">
        <f>CS12</f>
        <v>Stage: 1</v>
      </c>
      <c r="DA28" t="str">
        <f>DA12</f>
        <v>Stage: 2</v>
      </c>
      <c r="DB28" t="str">
        <f>DA12</f>
        <v>Stage: 2</v>
      </c>
      <c r="DC28" t="str">
        <f>DA12</f>
        <v>Stage: 2</v>
      </c>
      <c r="DD28" t="str">
        <f>DA12</f>
        <v>Stage: 2</v>
      </c>
      <c r="DE28" t="str">
        <f>DA12</f>
        <v>Stage: 2</v>
      </c>
      <c r="DF28" t="str">
        <f>DA12</f>
        <v>Stage: 2</v>
      </c>
      <c r="DG28" s="5" t="str">
        <f>DA12</f>
        <v>Stage: 2</v>
      </c>
      <c r="DI28" t="str">
        <f>DI12</f>
        <v>Stage: 1</v>
      </c>
      <c r="DJ28" t="str">
        <f>DI12</f>
        <v>Stage: 1</v>
      </c>
      <c r="DK28" t="str">
        <f>DI12</f>
        <v>Stage: 1</v>
      </c>
      <c r="DL28" t="str">
        <f>DI12</f>
        <v>Stage: 1</v>
      </c>
      <c r="DM28" t="str">
        <f>DI12</f>
        <v>Stage: 1</v>
      </c>
      <c r="DN28" t="str">
        <f>DI12</f>
        <v>Stage: 1</v>
      </c>
      <c r="DO28" s="5" t="str">
        <f>DI12</f>
        <v>Stage: 1</v>
      </c>
      <c r="DQ28" t="str">
        <f>DQ12</f>
        <v>Stage: 2</v>
      </c>
      <c r="DR28" t="str">
        <f>DQ12</f>
        <v>Stage: 2</v>
      </c>
      <c r="DS28" t="str">
        <f>DQ12</f>
        <v>Stage: 2</v>
      </c>
      <c r="DT28" t="str">
        <f>DQ12</f>
        <v>Stage: 2</v>
      </c>
      <c r="DU28" t="str">
        <f>DQ12</f>
        <v>Stage: 2</v>
      </c>
      <c r="DV28" t="str">
        <f>DQ12</f>
        <v>Stage: 2</v>
      </c>
      <c r="DW28" s="5" t="str">
        <f>DQ12</f>
        <v>Stage: 2</v>
      </c>
      <c r="DY28" t="str">
        <f>DY12</f>
        <v>Stage: 1</v>
      </c>
      <c r="DZ28" t="str">
        <f>DY12</f>
        <v>Stage: 1</v>
      </c>
      <c r="EA28" t="str">
        <f>DY12</f>
        <v>Stage: 1</v>
      </c>
      <c r="EB28" t="str">
        <f>DY12</f>
        <v>Stage: 1</v>
      </c>
      <c r="EC28" t="str">
        <f>DY12</f>
        <v>Stage: 1</v>
      </c>
      <c r="ED28" t="str">
        <f>DY12</f>
        <v>Stage: 1</v>
      </c>
      <c r="EE28" s="5" t="str">
        <f>DY12</f>
        <v>Stage: 1</v>
      </c>
      <c r="EG28" t="str">
        <f>EG12</f>
        <v>Stage: 2</v>
      </c>
      <c r="EH28" t="str">
        <f>EG12</f>
        <v>Stage: 2</v>
      </c>
      <c r="EI28" t="str">
        <f>EG12</f>
        <v>Stage: 2</v>
      </c>
      <c r="EJ28" t="str">
        <f>EG12</f>
        <v>Stage: 2</v>
      </c>
      <c r="EK28" t="str">
        <f>EG12</f>
        <v>Stage: 2</v>
      </c>
      <c r="EL28" t="str">
        <f>EG12</f>
        <v>Stage: 2</v>
      </c>
      <c r="EM28" s="5" t="str">
        <f>EG12</f>
        <v>Stage: 2</v>
      </c>
      <c r="EO28" t="str">
        <f>EO12</f>
        <v>Stage: 1</v>
      </c>
      <c r="EP28" t="str">
        <f>EO12</f>
        <v>Stage: 1</v>
      </c>
      <c r="EQ28" t="str">
        <f>EO12</f>
        <v>Stage: 1</v>
      </c>
      <c r="ER28" t="str">
        <f>EO12</f>
        <v>Stage: 1</v>
      </c>
      <c r="ES28" t="str">
        <f>EO12</f>
        <v>Stage: 1</v>
      </c>
      <c r="ET28" t="str">
        <f>EO12</f>
        <v>Stage: 1</v>
      </c>
      <c r="EU28" s="5" t="str">
        <f>EO12</f>
        <v>Stage: 1</v>
      </c>
      <c r="EW28" t="str">
        <f>EW12</f>
        <v>Stage: 2</v>
      </c>
      <c r="EX28" t="str">
        <f>EW12</f>
        <v>Stage: 2</v>
      </c>
      <c r="EY28" t="str">
        <f>EW12</f>
        <v>Stage: 2</v>
      </c>
      <c r="EZ28" t="str">
        <f>EW12</f>
        <v>Stage: 2</v>
      </c>
      <c r="FA28" t="str">
        <f>EW12</f>
        <v>Stage: 2</v>
      </c>
      <c r="FB28" t="str">
        <f>EW12</f>
        <v>Stage: 2</v>
      </c>
      <c r="FC28" s="5" t="str">
        <f>EW12</f>
        <v>Stage: 2</v>
      </c>
      <c r="FE28" t="str">
        <f>FE12</f>
        <v>Stage: 1</v>
      </c>
      <c r="FF28" t="str">
        <f>FE12</f>
        <v>Stage: 1</v>
      </c>
      <c r="FG28" t="str">
        <f>FE12</f>
        <v>Stage: 1</v>
      </c>
      <c r="FH28" t="str">
        <f>FE12</f>
        <v>Stage: 1</v>
      </c>
      <c r="FI28" t="str">
        <f>FE12</f>
        <v>Stage: 1</v>
      </c>
      <c r="FJ28" t="str">
        <f>FE12</f>
        <v>Stage: 1</v>
      </c>
      <c r="FK28" s="5" t="str">
        <f>FE12</f>
        <v>Stage: 1</v>
      </c>
      <c r="FM28" t="str">
        <f>FM12</f>
        <v>Stage: 2</v>
      </c>
      <c r="FN28" t="str">
        <f>FM12</f>
        <v>Stage: 2</v>
      </c>
      <c r="FO28" t="str">
        <f>FM12</f>
        <v>Stage: 2</v>
      </c>
      <c r="FP28" t="str">
        <f>FM12</f>
        <v>Stage: 2</v>
      </c>
      <c r="FQ28" t="str">
        <f>FM12</f>
        <v>Stage: 2</v>
      </c>
      <c r="FR28" t="str">
        <f>FM12</f>
        <v>Stage: 2</v>
      </c>
      <c r="FS28" s="5" t="str">
        <f>FM12</f>
        <v>Stage: 2</v>
      </c>
      <c r="FU28" t="str">
        <f>FU12</f>
        <v>Stage: 1</v>
      </c>
      <c r="FV28" t="str">
        <f>FU12</f>
        <v>Stage: 1</v>
      </c>
      <c r="FW28" t="str">
        <f>FU12</f>
        <v>Stage: 1</v>
      </c>
      <c r="FX28" t="str">
        <f>FU12</f>
        <v>Stage: 1</v>
      </c>
      <c r="FY28" t="str">
        <f>FU12</f>
        <v>Stage: 1</v>
      </c>
      <c r="FZ28" t="str">
        <f>FU12</f>
        <v>Stage: 1</v>
      </c>
      <c r="GA28" s="5" t="str">
        <f>FU12</f>
        <v>Stage: 1</v>
      </c>
      <c r="GC28" t="str">
        <f>GC12</f>
        <v>Stage: 2</v>
      </c>
      <c r="GD28" t="str">
        <f>GC12</f>
        <v>Stage: 2</v>
      </c>
      <c r="GE28" t="str">
        <f>GC12</f>
        <v>Stage: 2</v>
      </c>
      <c r="GF28" t="str">
        <f>GC12</f>
        <v>Stage: 2</v>
      </c>
      <c r="GG28" t="str">
        <f>GC12</f>
        <v>Stage: 2</v>
      </c>
      <c r="GH28" t="str">
        <f>GC12</f>
        <v>Stage: 2</v>
      </c>
      <c r="GI28" s="5" t="str">
        <f>GC12</f>
        <v>Stage: 2</v>
      </c>
      <c r="GK28" t="str">
        <f>GK12</f>
        <v>Stage: 1</v>
      </c>
      <c r="GL28" t="str">
        <f>GK12</f>
        <v>Stage: 1</v>
      </c>
      <c r="GM28" t="str">
        <f>GK12</f>
        <v>Stage: 1</v>
      </c>
      <c r="GN28" t="str">
        <f>GK12</f>
        <v>Stage: 1</v>
      </c>
      <c r="GO28" t="str">
        <f>GK12</f>
        <v>Stage: 1</v>
      </c>
      <c r="GP28" t="str">
        <f>GK12</f>
        <v>Stage: 1</v>
      </c>
      <c r="GQ28" s="5" t="str">
        <f>GK12</f>
        <v>Stage: 1</v>
      </c>
      <c r="GS28" t="str">
        <f>GS12</f>
        <v>Stage: 2</v>
      </c>
      <c r="GT28" t="str">
        <f>GS12</f>
        <v>Stage: 2</v>
      </c>
      <c r="GU28" t="str">
        <f>GS12</f>
        <v>Stage: 2</v>
      </c>
      <c r="GV28" t="str">
        <f>GS12</f>
        <v>Stage: 2</v>
      </c>
      <c r="GW28" t="str">
        <f>GS12</f>
        <v>Stage: 2</v>
      </c>
      <c r="GX28" t="str">
        <f>GS12</f>
        <v>Stage: 2</v>
      </c>
      <c r="GY28" s="5" t="str">
        <f>GS12</f>
        <v>Stage: 2</v>
      </c>
      <c r="HA28" t="str">
        <f>HA12</f>
        <v>Stage: 1</v>
      </c>
      <c r="HB28" t="str">
        <f>HA12</f>
        <v>Stage: 1</v>
      </c>
      <c r="HC28" t="str">
        <f>HA12</f>
        <v>Stage: 1</v>
      </c>
      <c r="HD28" t="str">
        <f>HA12</f>
        <v>Stage: 1</v>
      </c>
      <c r="HE28" t="str">
        <f>HA12</f>
        <v>Stage: 1</v>
      </c>
      <c r="HF28" t="str">
        <f>HA12</f>
        <v>Stage: 1</v>
      </c>
      <c r="HG28" s="5" t="str">
        <f>HA12</f>
        <v>Stage: 1</v>
      </c>
      <c r="HI28" t="str">
        <f>HI12</f>
        <v>Stage: 2</v>
      </c>
      <c r="HJ28" t="str">
        <f>HI12</f>
        <v>Stage: 2</v>
      </c>
      <c r="HK28" t="str">
        <f>HI12</f>
        <v>Stage: 2</v>
      </c>
      <c r="HL28" t="str">
        <f>HI12</f>
        <v>Stage: 2</v>
      </c>
      <c r="HM28" t="str">
        <f>HI12</f>
        <v>Stage: 2</v>
      </c>
      <c r="HN28" t="str">
        <f>HI12</f>
        <v>Stage: 2</v>
      </c>
      <c r="HO28" s="5" t="str">
        <f>HI12</f>
        <v>Stage: 2</v>
      </c>
      <c r="HQ28" t="str">
        <f>HQ12</f>
        <v>Stage: 1</v>
      </c>
      <c r="HR28" t="str">
        <f>HQ12</f>
        <v>Stage: 1</v>
      </c>
      <c r="HS28" t="str">
        <f>HQ12</f>
        <v>Stage: 1</v>
      </c>
      <c r="HT28" t="str">
        <f>HQ12</f>
        <v>Stage: 1</v>
      </c>
      <c r="HU28" t="str">
        <f>HQ12</f>
        <v>Stage: 1</v>
      </c>
      <c r="HV28" t="str">
        <f>HQ12</f>
        <v>Stage: 1</v>
      </c>
      <c r="HW28" s="5" t="str">
        <f>HQ12</f>
        <v>Stage: 1</v>
      </c>
      <c r="HY28" t="str">
        <f>HY12</f>
        <v>Stage: 2</v>
      </c>
      <c r="HZ28" t="str">
        <f>HY12</f>
        <v>Stage: 2</v>
      </c>
      <c r="IA28" t="str">
        <f>HY12</f>
        <v>Stage: 2</v>
      </c>
      <c r="IB28" t="str">
        <f>HY12</f>
        <v>Stage: 2</v>
      </c>
      <c r="IC28" t="str">
        <f>HY12</f>
        <v>Stage: 2</v>
      </c>
      <c r="ID28" t="str">
        <f>HY12</f>
        <v>Stage: 2</v>
      </c>
      <c r="IE28" s="5" t="str">
        <f>HY12</f>
        <v>Stage: 2</v>
      </c>
      <c r="IG28" t="str">
        <f>IG12</f>
        <v>Stage: 1</v>
      </c>
      <c r="IH28" t="str">
        <f>IG12</f>
        <v>Stage: 1</v>
      </c>
      <c r="II28" t="str">
        <f>IG12</f>
        <v>Stage: 1</v>
      </c>
      <c r="IJ28" t="str">
        <f>IG12</f>
        <v>Stage: 1</v>
      </c>
      <c r="IK28" t="str">
        <f>IG12</f>
        <v>Stage: 1</v>
      </c>
      <c r="IL28" t="str">
        <f>IG12</f>
        <v>Stage: 1</v>
      </c>
      <c r="IM28" s="5" t="str">
        <f>IG12</f>
        <v>Stage: 1</v>
      </c>
      <c r="IO28" t="str">
        <f>IO12</f>
        <v>Stage: 2</v>
      </c>
      <c r="IP28" t="str">
        <f>IO12</f>
        <v>Stage: 2</v>
      </c>
      <c r="IQ28" t="str">
        <f>IO12</f>
        <v>Stage: 2</v>
      </c>
      <c r="IR28" t="str">
        <f>IO12</f>
        <v>Stage: 2</v>
      </c>
      <c r="IS28" t="str">
        <f>IO12</f>
        <v>Stage: 2</v>
      </c>
      <c r="IT28" t="str">
        <f>IO12</f>
        <v>Stage: 2</v>
      </c>
      <c r="IU28" s="5" t="str">
        <f>IO12</f>
        <v>Stage: 2</v>
      </c>
      <c r="IW28" t="str">
        <f>IW12</f>
        <v>Stage: 1</v>
      </c>
      <c r="IX28" t="str">
        <f>IW12</f>
        <v>Stage: 1</v>
      </c>
      <c r="IY28" t="str">
        <f>IW12</f>
        <v>Stage: 1</v>
      </c>
      <c r="IZ28" t="str">
        <f>IW12</f>
        <v>Stage: 1</v>
      </c>
      <c r="JA28" t="str">
        <f>IW12</f>
        <v>Stage: 1</v>
      </c>
      <c r="JB28" t="str">
        <f>IW12</f>
        <v>Stage: 1</v>
      </c>
      <c r="JC28" s="5" t="str">
        <f>IW12</f>
        <v>Stage: 1</v>
      </c>
      <c r="JE28" t="str">
        <f>JE12</f>
        <v>Stage: 2</v>
      </c>
      <c r="JF28" t="str">
        <f>JE12</f>
        <v>Stage: 2</v>
      </c>
      <c r="JG28" t="str">
        <f>JE12</f>
        <v>Stage: 2</v>
      </c>
      <c r="JH28" t="str">
        <f>JE12</f>
        <v>Stage: 2</v>
      </c>
      <c r="JI28" t="str">
        <f>JE12</f>
        <v>Stage: 2</v>
      </c>
      <c r="JJ28" t="str">
        <f>JE12</f>
        <v>Stage: 2</v>
      </c>
      <c r="JK28" s="5" t="str">
        <f>JE12</f>
        <v>Stage: 2</v>
      </c>
      <c r="JM28" t="str">
        <f>JM12</f>
        <v>Stage: 1</v>
      </c>
      <c r="JN28" t="str">
        <f>JM12</f>
        <v>Stage: 1</v>
      </c>
      <c r="JO28" t="str">
        <f>JM12</f>
        <v>Stage: 1</v>
      </c>
      <c r="JP28" t="str">
        <f>JM12</f>
        <v>Stage: 1</v>
      </c>
      <c r="JQ28" t="str">
        <f>JM12</f>
        <v>Stage: 1</v>
      </c>
      <c r="JR28" t="str">
        <f>JM12</f>
        <v>Stage: 1</v>
      </c>
      <c r="JS28" s="5" t="str">
        <f>JM12</f>
        <v>Stage: 1</v>
      </c>
      <c r="JU28" t="str">
        <f>JU12</f>
        <v>Stage: 2</v>
      </c>
      <c r="JV28" t="str">
        <f>JU12</f>
        <v>Stage: 2</v>
      </c>
      <c r="JW28" t="str">
        <f>JU12</f>
        <v>Stage: 2</v>
      </c>
      <c r="JX28" t="str">
        <f>JU12</f>
        <v>Stage: 2</v>
      </c>
      <c r="JY28" t="str">
        <f>JU12</f>
        <v>Stage: 2</v>
      </c>
      <c r="JZ28" t="str">
        <f>JU12</f>
        <v>Stage: 2</v>
      </c>
      <c r="KA28" s="5" t="str">
        <f>JU12</f>
        <v>Stage: 2</v>
      </c>
      <c r="KC28" t="str">
        <f>KC12</f>
        <v>Stage: 1</v>
      </c>
      <c r="KD28" t="str">
        <f>KC12</f>
        <v>Stage: 1</v>
      </c>
      <c r="KE28" t="str">
        <f>KC12</f>
        <v>Stage: 1</v>
      </c>
      <c r="KF28" t="str">
        <f>KC12</f>
        <v>Stage: 1</v>
      </c>
      <c r="KG28" t="str">
        <f>KC12</f>
        <v>Stage: 1</v>
      </c>
      <c r="KH28" t="str">
        <f>KC12</f>
        <v>Stage: 1</v>
      </c>
      <c r="KI28" s="5" t="str">
        <f>KC12</f>
        <v>Stage: 1</v>
      </c>
      <c r="KK28" t="str">
        <f>KK12</f>
        <v>Stage: 2</v>
      </c>
      <c r="KL28" t="str">
        <f>KK12</f>
        <v>Stage: 2</v>
      </c>
      <c r="KM28" t="str">
        <f>KK12</f>
        <v>Stage: 2</v>
      </c>
      <c r="KN28" t="str">
        <f>KK12</f>
        <v>Stage: 2</v>
      </c>
      <c r="KO28" t="str">
        <f>KK12</f>
        <v>Stage: 2</v>
      </c>
      <c r="KP28" t="str">
        <f>KK12</f>
        <v>Stage: 2</v>
      </c>
      <c r="KQ28" s="5" t="str">
        <f>KK12</f>
        <v>Stage: 2</v>
      </c>
      <c r="KS28" t="str">
        <f>KS12</f>
        <v>Stage: 1</v>
      </c>
      <c r="KT28" t="str">
        <f>KS12</f>
        <v>Stage: 1</v>
      </c>
      <c r="KU28" t="str">
        <f>KS12</f>
        <v>Stage: 1</v>
      </c>
      <c r="KV28" t="str">
        <f>KS12</f>
        <v>Stage: 1</v>
      </c>
      <c r="KW28" t="str">
        <f>KS12</f>
        <v>Stage: 1</v>
      </c>
      <c r="KX28" t="str">
        <f>KS12</f>
        <v>Stage: 1</v>
      </c>
      <c r="KY28" s="5" t="str">
        <f>KS12</f>
        <v>Stage: 1</v>
      </c>
      <c r="LA28" t="str">
        <f>LA12</f>
        <v>Stage: 2</v>
      </c>
      <c r="LB28" t="str">
        <f>LA12</f>
        <v>Stage: 2</v>
      </c>
      <c r="LC28" t="str">
        <f>LA12</f>
        <v>Stage: 2</v>
      </c>
      <c r="LD28" t="str">
        <f>LA12</f>
        <v>Stage: 2</v>
      </c>
      <c r="LE28" t="str">
        <f>LA12</f>
        <v>Stage: 2</v>
      </c>
      <c r="LF28" t="str">
        <f>LA12</f>
        <v>Stage: 2</v>
      </c>
      <c r="LG28" s="5" t="str">
        <f>LA12</f>
        <v>Stage: 2</v>
      </c>
      <c r="LI28" t="str">
        <f>LI12</f>
        <v>Stage: 1</v>
      </c>
      <c r="LJ28" t="str">
        <f>LI12</f>
        <v>Stage: 1</v>
      </c>
      <c r="LK28" t="str">
        <f>LI12</f>
        <v>Stage: 1</v>
      </c>
      <c r="LL28" t="str">
        <f>LI12</f>
        <v>Stage: 1</v>
      </c>
      <c r="LM28" t="str">
        <f>LI12</f>
        <v>Stage: 1</v>
      </c>
      <c r="LN28" t="str">
        <f>LI12</f>
        <v>Stage: 1</v>
      </c>
      <c r="LO28" s="5" t="str">
        <f>LI12</f>
        <v>Stage: 1</v>
      </c>
      <c r="LQ28" t="str">
        <f>LQ12</f>
        <v>Stage: 2</v>
      </c>
      <c r="LR28" t="str">
        <f>LQ12</f>
        <v>Stage: 2</v>
      </c>
      <c r="LS28" t="str">
        <f>LQ12</f>
        <v>Stage: 2</v>
      </c>
      <c r="LT28" t="str">
        <f>LQ12</f>
        <v>Stage: 2</v>
      </c>
      <c r="LU28" t="str">
        <f>LQ12</f>
        <v>Stage: 2</v>
      </c>
      <c r="LV28" t="str">
        <f>LQ12</f>
        <v>Stage: 2</v>
      </c>
      <c r="LW28" s="5" t="str">
        <f>LQ12</f>
        <v>Stage: 2</v>
      </c>
      <c r="LY28" t="str">
        <f>LY12</f>
        <v>Stage: 1</v>
      </c>
      <c r="LZ28" t="str">
        <f>LY12</f>
        <v>Stage: 1</v>
      </c>
      <c r="MA28" t="str">
        <f>LY12</f>
        <v>Stage: 1</v>
      </c>
      <c r="MB28" t="str">
        <f>LY12</f>
        <v>Stage: 1</v>
      </c>
      <c r="MC28" t="str">
        <f>LY12</f>
        <v>Stage: 1</v>
      </c>
      <c r="MD28" t="str">
        <f>LY12</f>
        <v>Stage: 1</v>
      </c>
      <c r="ME28" s="5" t="str">
        <f>LY12</f>
        <v>Stage: 1</v>
      </c>
      <c r="MG28" t="str">
        <f>MG12</f>
        <v>Stage: 2</v>
      </c>
      <c r="MH28" t="str">
        <f>MG12</f>
        <v>Stage: 2</v>
      </c>
      <c r="MI28" t="str">
        <f>MG12</f>
        <v>Stage: 2</v>
      </c>
      <c r="MJ28" t="str">
        <f>MG12</f>
        <v>Stage: 2</v>
      </c>
      <c r="MK28" t="str">
        <f>MG12</f>
        <v>Stage: 2</v>
      </c>
      <c r="ML28" t="str">
        <f>MG12</f>
        <v>Stage: 2</v>
      </c>
      <c r="MM28" s="5" t="str">
        <f>MG12</f>
        <v>Stage: 2</v>
      </c>
      <c r="MO28" t="str">
        <f>MO12</f>
        <v>Stage: 1</v>
      </c>
      <c r="MP28" t="str">
        <f>MO12</f>
        <v>Stage: 1</v>
      </c>
      <c r="MQ28" t="str">
        <f>MO12</f>
        <v>Stage: 1</v>
      </c>
      <c r="MR28" t="str">
        <f>MO12</f>
        <v>Stage: 1</v>
      </c>
      <c r="MS28" t="str">
        <f>MO12</f>
        <v>Stage: 1</v>
      </c>
      <c r="MT28" t="str">
        <f>MO12</f>
        <v>Stage: 1</v>
      </c>
      <c r="MU28" s="5" t="str">
        <f>MO12</f>
        <v>Stage: 1</v>
      </c>
      <c r="MW28" t="str">
        <f>MW12</f>
        <v>Stage: 2</v>
      </c>
      <c r="MX28" t="str">
        <f>MW12</f>
        <v>Stage: 2</v>
      </c>
      <c r="MY28" t="str">
        <f>MW12</f>
        <v>Stage: 2</v>
      </c>
      <c r="MZ28" t="str">
        <f>MW12</f>
        <v>Stage: 2</v>
      </c>
      <c r="NA28" t="str">
        <f>MW12</f>
        <v>Stage: 2</v>
      </c>
      <c r="NB28" t="str">
        <f>MW12</f>
        <v>Stage: 2</v>
      </c>
      <c r="NC28" s="5" t="str">
        <f>MW12</f>
        <v>Stage: 2</v>
      </c>
      <c r="NE28" t="str">
        <f>NE12</f>
        <v>Stage: 1</v>
      </c>
      <c r="NF28" t="str">
        <f>NE12</f>
        <v>Stage: 1</v>
      </c>
      <c r="NG28" t="str">
        <f>NE12</f>
        <v>Stage: 1</v>
      </c>
      <c r="NH28" t="str">
        <f>NE12</f>
        <v>Stage: 1</v>
      </c>
      <c r="NI28" t="str">
        <f>NE12</f>
        <v>Stage: 1</v>
      </c>
      <c r="NJ28" t="str">
        <f>NE12</f>
        <v>Stage: 1</v>
      </c>
      <c r="NK28" s="5" t="str">
        <f>NE12</f>
        <v>Stage: 1</v>
      </c>
      <c r="NM28" t="str">
        <f>NM12</f>
        <v>Stage: 2</v>
      </c>
      <c r="NN28" t="str">
        <f>NM12</f>
        <v>Stage: 2</v>
      </c>
      <c r="NO28" t="str">
        <f>NM12</f>
        <v>Stage: 2</v>
      </c>
      <c r="NP28" t="str">
        <f>NM12</f>
        <v>Stage: 2</v>
      </c>
      <c r="NQ28" t="str">
        <f>NM12</f>
        <v>Stage: 2</v>
      </c>
      <c r="NR28" t="str">
        <f>NM12</f>
        <v>Stage: 2</v>
      </c>
      <c r="NS28" s="5" t="str">
        <f>NM12</f>
        <v>Stage: 2</v>
      </c>
      <c r="NU28" t="str">
        <f>NU12</f>
        <v>Stage: 1</v>
      </c>
      <c r="NV28" t="str">
        <f>NU12</f>
        <v>Stage: 1</v>
      </c>
      <c r="NW28" t="str">
        <f>NU12</f>
        <v>Stage: 1</v>
      </c>
      <c r="NX28" t="str">
        <f>NU12</f>
        <v>Stage: 1</v>
      </c>
      <c r="NY28" t="str">
        <f>NU12</f>
        <v>Stage: 1</v>
      </c>
      <c r="NZ28" t="str">
        <f>NU12</f>
        <v>Stage: 1</v>
      </c>
      <c r="OA28" s="5" t="str">
        <f>NU12</f>
        <v>Stage: 1</v>
      </c>
      <c r="OC28" t="str">
        <f>OC12</f>
        <v>Stage: 2</v>
      </c>
      <c r="OD28" t="str">
        <f>OC12</f>
        <v>Stage: 2</v>
      </c>
      <c r="OE28" t="str">
        <f>OC12</f>
        <v>Stage: 2</v>
      </c>
      <c r="OF28" t="str">
        <f>OC12</f>
        <v>Stage: 2</v>
      </c>
      <c r="OG28" t="str">
        <f>OC12</f>
        <v>Stage: 2</v>
      </c>
      <c r="OH28" t="str">
        <f>OC12</f>
        <v>Stage: 2</v>
      </c>
      <c r="OI28" s="5" t="str">
        <f>OC12</f>
        <v>Stage: 2</v>
      </c>
      <c r="OK28" t="str">
        <f>OK12</f>
        <v>Stage: 1</v>
      </c>
      <c r="OL28" t="str">
        <f>OK12</f>
        <v>Stage: 1</v>
      </c>
      <c r="OM28" t="str">
        <f>OK12</f>
        <v>Stage: 1</v>
      </c>
      <c r="ON28" t="str">
        <f>OK12</f>
        <v>Stage: 1</v>
      </c>
      <c r="OO28" t="str">
        <f>OK12</f>
        <v>Stage: 1</v>
      </c>
      <c r="OP28" t="str">
        <f>OK12</f>
        <v>Stage: 1</v>
      </c>
      <c r="OQ28" s="5" t="str">
        <f>OK12</f>
        <v>Stage: 1</v>
      </c>
      <c r="OS28" t="str">
        <f>OS12</f>
        <v>Stage: 2</v>
      </c>
      <c r="OT28" t="str">
        <f>OS12</f>
        <v>Stage: 2</v>
      </c>
      <c r="OU28" t="str">
        <f>OS12</f>
        <v>Stage: 2</v>
      </c>
      <c r="OV28" t="str">
        <f>OS12</f>
        <v>Stage: 2</v>
      </c>
      <c r="OW28" t="str">
        <f>OS12</f>
        <v>Stage: 2</v>
      </c>
      <c r="OX28" t="str">
        <f>OS12</f>
        <v>Stage: 2</v>
      </c>
      <c r="OY28" s="5" t="str">
        <f>OS12</f>
        <v>Stage: 2</v>
      </c>
      <c r="PA28" t="str">
        <f>PA12</f>
        <v>Stage: 1</v>
      </c>
      <c r="PB28" t="str">
        <f>PA12</f>
        <v>Stage: 1</v>
      </c>
      <c r="PC28" t="str">
        <f>PA12</f>
        <v>Stage: 1</v>
      </c>
      <c r="PD28" t="str">
        <f>PA12</f>
        <v>Stage: 1</v>
      </c>
      <c r="PE28" t="str">
        <f>PA12</f>
        <v>Stage: 1</v>
      </c>
      <c r="PF28" t="str">
        <f>PA12</f>
        <v>Stage: 1</v>
      </c>
      <c r="PG28" s="5" t="str">
        <f>PA12</f>
        <v>Stage: 1</v>
      </c>
      <c r="PI28" t="str">
        <f>PI12</f>
        <v>Stage: 2</v>
      </c>
      <c r="PJ28" t="str">
        <f>PI12</f>
        <v>Stage: 2</v>
      </c>
      <c r="PK28" t="str">
        <f>PI12</f>
        <v>Stage: 2</v>
      </c>
      <c r="PL28" t="str">
        <f>PI12</f>
        <v>Stage: 2</v>
      </c>
      <c r="PM28" t="str">
        <f>PI12</f>
        <v>Stage: 2</v>
      </c>
      <c r="PN28" t="str">
        <f>PI12</f>
        <v>Stage: 2</v>
      </c>
      <c r="PO28" s="5" t="str">
        <f>PI12</f>
        <v>Stage: 2</v>
      </c>
      <c r="PQ28" t="str">
        <f>PQ12</f>
        <v>Stage: 1</v>
      </c>
      <c r="PR28" t="str">
        <f>PQ12</f>
        <v>Stage: 1</v>
      </c>
      <c r="PS28" t="str">
        <f>PQ12</f>
        <v>Stage: 1</v>
      </c>
      <c r="PT28" t="str">
        <f>PQ12</f>
        <v>Stage: 1</v>
      </c>
      <c r="PU28" t="str">
        <f>PQ12</f>
        <v>Stage: 1</v>
      </c>
      <c r="PV28" t="str">
        <f>PQ12</f>
        <v>Stage: 1</v>
      </c>
      <c r="PW28" s="5" t="str">
        <f>PQ12</f>
        <v>Stage: 1</v>
      </c>
      <c r="PY28" t="str">
        <f>PY12</f>
        <v>Stage: 2</v>
      </c>
      <c r="PZ28" t="str">
        <f>PY12</f>
        <v>Stage: 2</v>
      </c>
      <c r="QA28" t="str">
        <f>PY12</f>
        <v>Stage: 2</v>
      </c>
      <c r="QB28" t="str">
        <f>PY12</f>
        <v>Stage: 2</v>
      </c>
      <c r="QC28" t="str">
        <f>PY12</f>
        <v>Stage: 2</v>
      </c>
      <c r="QD28" t="str">
        <f>PY12</f>
        <v>Stage: 2</v>
      </c>
      <c r="QE28" s="5" t="str">
        <f>PY12</f>
        <v>Stage: 2</v>
      </c>
      <c r="QM28" s="5"/>
      <c r="QU28" s="5"/>
      <c r="RC28" s="5"/>
      <c r="RK28" s="5"/>
      <c r="RS28" s="5"/>
    </row>
    <row r="29" spans="1:487" x14ac:dyDescent="0.45">
      <c r="A29" t="s">
        <v>84</v>
      </c>
      <c r="B29" t="str">
        <f>B23</f>
        <v>NEPSE Index</v>
      </c>
      <c r="C29" t="str">
        <f t="shared" ref="C29:F29" si="56">C23</f>
        <v>Interest Rate</v>
      </c>
      <c r="D29" t="str">
        <f t="shared" si="56"/>
        <v>Unemployment Rate</v>
      </c>
      <c r="E29" t="str">
        <f t="shared" si="56"/>
        <v>Inflation</v>
      </c>
      <c r="F29" t="str">
        <f t="shared" si="56"/>
        <v>GDP</v>
      </c>
      <c r="G29" t="s">
        <v>85</v>
      </c>
      <c r="I29" t="s">
        <v>84</v>
      </c>
      <c r="J29" t="str">
        <f>J23</f>
        <v>NEPSE Index</v>
      </c>
      <c r="K29" t="str">
        <f t="shared" ref="K29:N29" si="57">K23</f>
        <v>Interest Rate</v>
      </c>
      <c r="L29" t="str">
        <f t="shared" si="57"/>
        <v>Unemployment Rate</v>
      </c>
      <c r="M29" t="str">
        <f t="shared" si="57"/>
        <v>Inflation</v>
      </c>
      <c r="N29" t="str">
        <f t="shared" si="57"/>
        <v>GDP</v>
      </c>
      <c r="O29" t="s">
        <v>85</v>
      </c>
      <c r="Q29" t="s">
        <v>84</v>
      </c>
      <c r="R29" t="str">
        <f>R23</f>
        <v>NEPSE Index</v>
      </c>
      <c r="S29" t="str">
        <f t="shared" ref="S29:V29" si="58">S23</f>
        <v>Interest Rate</v>
      </c>
      <c r="T29" t="str">
        <f t="shared" si="58"/>
        <v>Unemployment Rate</v>
      </c>
      <c r="U29" t="str">
        <f t="shared" si="58"/>
        <v>Inflation</v>
      </c>
      <c r="V29" t="str">
        <f t="shared" si="58"/>
        <v>GDP</v>
      </c>
      <c r="W29" t="s">
        <v>85</v>
      </c>
      <c r="Y29" t="s">
        <v>84</v>
      </c>
      <c r="Z29" t="str">
        <f>Z23</f>
        <v>NEPSE Index</v>
      </c>
      <c r="AA29" t="str">
        <f t="shared" ref="AA29:AD29" si="59">AA23</f>
        <v>Interest Rate</v>
      </c>
      <c r="AB29" t="str">
        <f t="shared" si="59"/>
        <v>Unemployment Rate</v>
      </c>
      <c r="AC29" t="str">
        <f t="shared" si="59"/>
        <v>Inflation</v>
      </c>
      <c r="AD29" t="str">
        <f t="shared" si="59"/>
        <v>GDP</v>
      </c>
      <c r="AE29" t="s">
        <v>85</v>
      </c>
      <c r="AG29" t="s">
        <v>84</v>
      </c>
      <c r="AH29" t="str">
        <f>AH23</f>
        <v>NEPSE Index</v>
      </c>
      <c r="AI29" t="str">
        <f t="shared" ref="AI29:AL29" si="60">AI23</f>
        <v>Interest Rate</v>
      </c>
      <c r="AJ29" t="str">
        <f t="shared" si="60"/>
        <v>Unemployment Rate</v>
      </c>
      <c r="AK29" t="str">
        <f t="shared" si="60"/>
        <v>Inflation</v>
      </c>
      <c r="AL29" t="str">
        <f t="shared" si="60"/>
        <v>GDP</v>
      </c>
      <c r="AM29" t="s">
        <v>85</v>
      </c>
      <c r="AO29" t="s">
        <v>84</v>
      </c>
      <c r="AP29" t="str">
        <f>AP23</f>
        <v>NEPSE Index</v>
      </c>
      <c r="AQ29" t="str">
        <f t="shared" ref="AQ29:AT29" si="61">AQ23</f>
        <v>Interest Rate</v>
      </c>
      <c r="AR29" t="str">
        <f t="shared" si="61"/>
        <v>Unemployment Rate</v>
      </c>
      <c r="AS29" t="str">
        <f t="shared" si="61"/>
        <v>Inflation</v>
      </c>
      <c r="AT29" t="str">
        <f t="shared" si="61"/>
        <v>GDP</v>
      </c>
      <c r="AU29" t="s">
        <v>85</v>
      </c>
      <c r="AW29" t="s">
        <v>84</v>
      </c>
      <c r="AX29" t="str">
        <f>AX23</f>
        <v>NEPSE Index</v>
      </c>
      <c r="AY29" t="str">
        <f t="shared" ref="AY29:BB29" si="62">AY23</f>
        <v>Interest Rate</v>
      </c>
      <c r="AZ29" t="str">
        <f t="shared" si="62"/>
        <v>Unemployment Rate</v>
      </c>
      <c r="BA29" t="str">
        <f t="shared" si="62"/>
        <v>Inflation</v>
      </c>
      <c r="BB29" t="str">
        <f t="shared" si="62"/>
        <v>GDP</v>
      </c>
      <c r="BC29" t="s">
        <v>85</v>
      </c>
      <c r="BE29" t="s">
        <v>84</v>
      </c>
      <c r="BF29" t="str">
        <f>BF23</f>
        <v>NEPSE Index</v>
      </c>
      <c r="BG29" t="str">
        <f t="shared" ref="BG29:BJ29" si="63">BG23</f>
        <v>Interest Rate</v>
      </c>
      <c r="BH29" t="str">
        <f t="shared" si="63"/>
        <v>Unemployment Rate</v>
      </c>
      <c r="BI29" t="str">
        <f t="shared" si="63"/>
        <v>Inflation</v>
      </c>
      <c r="BJ29" t="str">
        <f t="shared" si="63"/>
        <v>GDP</v>
      </c>
      <c r="BK29" t="s">
        <v>85</v>
      </c>
      <c r="BM29" t="s">
        <v>84</v>
      </c>
      <c r="BN29" t="str">
        <f>BN23</f>
        <v>NEPSE Index</v>
      </c>
      <c r="BO29" t="str">
        <f t="shared" ref="BO29:BR29" si="64">BO23</f>
        <v>Interest Rate</v>
      </c>
      <c r="BP29" t="str">
        <f t="shared" si="64"/>
        <v>Unemployment Rate</v>
      </c>
      <c r="BQ29" t="str">
        <f t="shared" si="64"/>
        <v>Inflation</v>
      </c>
      <c r="BR29" t="str">
        <f t="shared" si="64"/>
        <v>GDP</v>
      </c>
      <c r="BS29" t="s">
        <v>85</v>
      </c>
      <c r="BU29" t="s">
        <v>84</v>
      </c>
      <c r="BV29" t="str">
        <f>BV23</f>
        <v>NEPSE Index</v>
      </c>
      <c r="BW29" t="str">
        <f t="shared" ref="BW29:BZ29" si="65">BW23</f>
        <v>Interest Rate</v>
      </c>
      <c r="BX29" t="str">
        <f t="shared" si="65"/>
        <v>Unemployment Rate</v>
      </c>
      <c r="BY29" t="str">
        <f t="shared" si="65"/>
        <v>Inflation</v>
      </c>
      <c r="BZ29" t="str">
        <f t="shared" si="65"/>
        <v>GDP</v>
      </c>
      <c r="CA29" t="s">
        <v>85</v>
      </c>
      <c r="CC29" t="s">
        <v>84</v>
      </c>
      <c r="CD29" t="str">
        <f>CD23</f>
        <v>NEPSE Index</v>
      </c>
      <c r="CE29" t="str">
        <f t="shared" ref="CE29:CH29" si="66">CE23</f>
        <v>Interest Rate</v>
      </c>
      <c r="CF29" t="str">
        <f t="shared" si="66"/>
        <v>Unemployment Rate</v>
      </c>
      <c r="CG29" t="str">
        <f t="shared" si="66"/>
        <v>Inflation</v>
      </c>
      <c r="CH29" t="str">
        <f t="shared" si="66"/>
        <v>GDP</v>
      </c>
      <c r="CI29" t="s">
        <v>85</v>
      </c>
      <c r="CK29" t="s">
        <v>84</v>
      </c>
      <c r="CL29" t="str">
        <f>CL23</f>
        <v>NEPSE Index</v>
      </c>
      <c r="CM29" t="str">
        <f t="shared" ref="CM29:CP29" si="67">CM23</f>
        <v>Interest Rate</v>
      </c>
      <c r="CN29" t="str">
        <f t="shared" si="67"/>
        <v>Unemployment Rate</v>
      </c>
      <c r="CO29" t="str">
        <f t="shared" si="67"/>
        <v>Inflation</v>
      </c>
      <c r="CP29" t="str">
        <f t="shared" si="67"/>
        <v>GDP</v>
      </c>
      <c r="CQ29" t="s">
        <v>85</v>
      </c>
      <c r="CS29" t="s">
        <v>84</v>
      </c>
      <c r="CT29" t="str">
        <f>CT23</f>
        <v>NEPSE Index</v>
      </c>
      <c r="CU29" t="str">
        <f t="shared" ref="CU29:CX29" si="68">CU23</f>
        <v>Interest Rate</v>
      </c>
      <c r="CV29" t="str">
        <f t="shared" si="68"/>
        <v>Unemployment Rate</v>
      </c>
      <c r="CW29" t="str">
        <f t="shared" si="68"/>
        <v>Inflation</v>
      </c>
      <c r="CX29" t="str">
        <f t="shared" si="68"/>
        <v>GDP</v>
      </c>
      <c r="CY29" t="s">
        <v>85</v>
      </c>
      <c r="DA29" t="s">
        <v>84</v>
      </c>
      <c r="DB29" t="str">
        <f>DB23</f>
        <v>NEPSE Index</v>
      </c>
      <c r="DC29" t="str">
        <f t="shared" ref="DC29:DF29" si="69">DC23</f>
        <v>Interest Rate</v>
      </c>
      <c r="DD29" t="str">
        <f t="shared" si="69"/>
        <v>Unemployment Rate</v>
      </c>
      <c r="DE29" t="str">
        <f t="shared" si="69"/>
        <v>Inflation</v>
      </c>
      <c r="DF29" t="str">
        <f t="shared" si="69"/>
        <v>GDP</v>
      </c>
      <c r="DG29" t="s">
        <v>85</v>
      </c>
      <c r="DI29" t="s">
        <v>84</v>
      </c>
      <c r="DJ29" t="str">
        <f>DJ23</f>
        <v>NEPSE Index</v>
      </c>
      <c r="DK29" t="str">
        <f t="shared" ref="DK29:DN29" si="70">DK23</f>
        <v>Interest Rate</v>
      </c>
      <c r="DL29" t="str">
        <f t="shared" si="70"/>
        <v>Unemployment Rate</v>
      </c>
      <c r="DM29" t="str">
        <f t="shared" si="70"/>
        <v>Inflation</v>
      </c>
      <c r="DN29" t="str">
        <f t="shared" si="70"/>
        <v>GDP</v>
      </c>
      <c r="DO29" t="s">
        <v>85</v>
      </c>
      <c r="DQ29" t="s">
        <v>84</v>
      </c>
      <c r="DR29" t="str">
        <f>DR23</f>
        <v>NEPSE Index</v>
      </c>
      <c r="DS29" t="str">
        <f t="shared" ref="DS29:DV29" si="71">DS23</f>
        <v>Interest Rate</v>
      </c>
      <c r="DT29" t="str">
        <f t="shared" si="71"/>
        <v>Unemployment Rate</v>
      </c>
      <c r="DU29" t="str">
        <f t="shared" si="71"/>
        <v>Inflation</v>
      </c>
      <c r="DV29" t="str">
        <f t="shared" si="71"/>
        <v>GDP</v>
      </c>
      <c r="DW29" t="s">
        <v>85</v>
      </c>
      <c r="DY29" t="s">
        <v>84</v>
      </c>
      <c r="DZ29" t="str">
        <f>DZ23</f>
        <v>NEPSE Index</v>
      </c>
      <c r="EA29" t="str">
        <f t="shared" ref="EA29:ED29" si="72">EA23</f>
        <v>Interest Rate</v>
      </c>
      <c r="EB29" t="str">
        <f t="shared" si="72"/>
        <v>Unemployment Rate</v>
      </c>
      <c r="EC29" t="str">
        <f t="shared" si="72"/>
        <v>Inflation</v>
      </c>
      <c r="ED29" t="str">
        <f t="shared" si="72"/>
        <v>GDP</v>
      </c>
      <c r="EE29" t="s">
        <v>85</v>
      </c>
      <c r="EG29" t="s">
        <v>84</v>
      </c>
      <c r="EH29" t="str">
        <f>EH23</f>
        <v>NEPSE Index</v>
      </c>
      <c r="EI29" t="str">
        <f t="shared" ref="EI29:EL29" si="73">EI23</f>
        <v>Interest Rate</v>
      </c>
      <c r="EJ29" t="str">
        <f t="shared" si="73"/>
        <v>Unemployment Rate</v>
      </c>
      <c r="EK29" t="str">
        <f t="shared" si="73"/>
        <v>Inflation</v>
      </c>
      <c r="EL29" t="str">
        <f t="shared" si="73"/>
        <v>GDP</v>
      </c>
      <c r="EM29" t="s">
        <v>85</v>
      </c>
      <c r="EO29" t="s">
        <v>84</v>
      </c>
      <c r="EP29" t="str">
        <f>EP23</f>
        <v>NEPSE Index</v>
      </c>
      <c r="EQ29" t="str">
        <f t="shared" ref="EQ29:ET29" si="74">EQ23</f>
        <v>Interest Rate</v>
      </c>
      <c r="ER29" t="str">
        <f t="shared" si="74"/>
        <v>Unemployment Rate</v>
      </c>
      <c r="ES29" t="str">
        <f t="shared" si="74"/>
        <v>Inflation</v>
      </c>
      <c r="ET29" t="str">
        <f t="shared" si="74"/>
        <v>GDP</v>
      </c>
      <c r="EU29" t="s">
        <v>85</v>
      </c>
      <c r="EW29" t="s">
        <v>84</v>
      </c>
      <c r="EX29" t="str">
        <f>EX23</f>
        <v>NEPSE Index</v>
      </c>
      <c r="EY29" t="str">
        <f t="shared" ref="EY29:FB29" si="75">EY23</f>
        <v>Interest Rate</v>
      </c>
      <c r="EZ29" t="str">
        <f t="shared" si="75"/>
        <v>Unemployment Rate</v>
      </c>
      <c r="FA29" t="str">
        <f t="shared" si="75"/>
        <v>Inflation</v>
      </c>
      <c r="FB29" t="str">
        <f t="shared" si="75"/>
        <v>GDP</v>
      </c>
      <c r="FC29" t="s">
        <v>85</v>
      </c>
      <c r="FE29" t="s">
        <v>84</v>
      </c>
      <c r="FF29" t="str">
        <f>FF23</f>
        <v>NEPSE Index</v>
      </c>
      <c r="FG29" t="str">
        <f t="shared" ref="FG29:FJ29" si="76">FG23</f>
        <v>Interest Rate</v>
      </c>
      <c r="FH29" t="str">
        <f t="shared" si="76"/>
        <v>Unemployment Rate</v>
      </c>
      <c r="FI29" t="str">
        <f t="shared" si="76"/>
        <v>Inflation</v>
      </c>
      <c r="FJ29" t="str">
        <f t="shared" si="76"/>
        <v>GDP</v>
      </c>
      <c r="FK29" t="s">
        <v>85</v>
      </c>
      <c r="FM29" t="s">
        <v>84</v>
      </c>
      <c r="FN29" t="str">
        <f>FN23</f>
        <v>NEPSE Index</v>
      </c>
      <c r="FO29" t="str">
        <f t="shared" ref="FO29:FR29" si="77">FO23</f>
        <v>Interest Rate</v>
      </c>
      <c r="FP29" t="str">
        <f t="shared" si="77"/>
        <v>Unemployment Rate</v>
      </c>
      <c r="FQ29" t="str">
        <f t="shared" si="77"/>
        <v>Inflation</v>
      </c>
      <c r="FR29" t="str">
        <f t="shared" si="77"/>
        <v>GDP</v>
      </c>
      <c r="FS29" t="s">
        <v>85</v>
      </c>
      <c r="FU29" t="s">
        <v>84</v>
      </c>
      <c r="FV29" t="str">
        <f>FV23</f>
        <v>NEPSE Index</v>
      </c>
      <c r="FW29" t="str">
        <f t="shared" ref="FW29:FZ29" si="78">FW23</f>
        <v>Interest Rate</v>
      </c>
      <c r="FX29" t="str">
        <f t="shared" si="78"/>
        <v>Unemployment Rate</v>
      </c>
      <c r="FY29" t="str">
        <f t="shared" si="78"/>
        <v>Inflation</v>
      </c>
      <c r="FZ29" t="str">
        <f t="shared" si="78"/>
        <v>GDP</v>
      </c>
      <c r="GA29" t="s">
        <v>85</v>
      </c>
      <c r="GC29" t="s">
        <v>84</v>
      </c>
      <c r="GD29" t="str">
        <f>GD23</f>
        <v>NEPSE Index</v>
      </c>
      <c r="GE29" t="str">
        <f t="shared" ref="GE29:GH29" si="79">GE23</f>
        <v>Interest Rate</v>
      </c>
      <c r="GF29" t="str">
        <f t="shared" si="79"/>
        <v>Unemployment Rate</v>
      </c>
      <c r="GG29" t="str">
        <f t="shared" si="79"/>
        <v>Inflation</v>
      </c>
      <c r="GH29" t="str">
        <f t="shared" si="79"/>
        <v>GDP</v>
      </c>
      <c r="GI29" t="s">
        <v>85</v>
      </c>
      <c r="GK29" t="s">
        <v>84</v>
      </c>
      <c r="GL29" t="str">
        <f>GL23</f>
        <v>NEPSE Index</v>
      </c>
      <c r="GM29" t="str">
        <f t="shared" ref="GM29:GP29" si="80">GM23</f>
        <v>Interest Rate</v>
      </c>
      <c r="GN29" t="str">
        <f t="shared" si="80"/>
        <v>Unemployment Rate</v>
      </c>
      <c r="GO29" t="str">
        <f t="shared" si="80"/>
        <v>Inflation</v>
      </c>
      <c r="GP29" t="str">
        <f t="shared" si="80"/>
        <v>GDP</v>
      </c>
      <c r="GQ29" t="s">
        <v>85</v>
      </c>
      <c r="GS29" t="s">
        <v>84</v>
      </c>
      <c r="GT29" t="str">
        <f>GT23</f>
        <v>NEPSE Index</v>
      </c>
      <c r="GU29" t="str">
        <f t="shared" ref="GU29:GX29" si="81">GU23</f>
        <v>Interest Rate</v>
      </c>
      <c r="GV29" t="str">
        <f t="shared" si="81"/>
        <v>Unemployment Rate</v>
      </c>
      <c r="GW29" t="str">
        <f t="shared" si="81"/>
        <v>Inflation</v>
      </c>
      <c r="GX29" t="str">
        <f t="shared" si="81"/>
        <v>GDP</v>
      </c>
      <c r="GY29" t="s">
        <v>85</v>
      </c>
      <c r="HA29" t="s">
        <v>84</v>
      </c>
      <c r="HB29" t="str">
        <f>HB23</f>
        <v>NEPSE Index</v>
      </c>
      <c r="HC29" t="str">
        <f t="shared" ref="HC29:HF29" si="82">HC23</f>
        <v>Interest Rate</v>
      </c>
      <c r="HD29" t="str">
        <f t="shared" si="82"/>
        <v>Unemployment Rate</v>
      </c>
      <c r="HE29" t="str">
        <f t="shared" si="82"/>
        <v>Inflation</v>
      </c>
      <c r="HF29" t="str">
        <f t="shared" si="82"/>
        <v>GDP</v>
      </c>
      <c r="HG29" t="s">
        <v>85</v>
      </c>
      <c r="HI29" t="s">
        <v>84</v>
      </c>
      <c r="HJ29" t="str">
        <f>HJ23</f>
        <v>NEPSE Index</v>
      </c>
      <c r="HK29" t="str">
        <f t="shared" ref="HK29:HN29" si="83">HK23</f>
        <v>Interest Rate</v>
      </c>
      <c r="HL29" t="str">
        <f t="shared" si="83"/>
        <v>Unemployment Rate</v>
      </c>
      <c r="HM29" t="str">
        <f t="shared" si="83"/>
        <v>Inflation</v>
      </c>
      <c r="HN29" t="str">
        <f t="shared" si="83"/>
        <v>GDP</v>
      </c>
      <c r="HO29" t="s">
        <v>85</v>
      </c>
      <c r="HQ29" t="s">
        <v>84</v>
      </c>
      <c r="HR29" t="str">
        <f>HR23</f>
        <v>NEPSE Index</v>
      </c>
      <c r="HS29" t="str">
        <f t="shared" ref="HS29:HV29" si="84">HS23</f>
        <v>Interest Rate</v>
      </c>
      <c r="HT29" t="str">
        <f t="shared" si="84"/>
        <v>Unemployment Rate</v>
      </c>
      <c r="HU29" t="str">
        <f t="shared" si="84"/>
        <v>Inflation</v>
      </c>
      <c r="HV29" t="str">
        <f t="shared" si="84"/>
        <v>GDP</v>
      </c>
      <c r="HW29" t="s">
        <v>85</v>
      </c>
      <c r="HY29" t="s">
        <v>84</v>
      </c>
      <c r="HZ29" t="str">
        <f>HZ23</f>
        <v>NEPSE Index</v>
      </c>
      <c r="IA29" t="str">
        <f t="shared" ref="IA29:ID29" si="85">IA23</f>
        <v>Interest Rate</v>
      </c>
      <c r="IB29" t="str">
        <f t="shared" si="85"/>
        <v>Unemployment Rate</v>
      </c>
      <c r="IC29" t="str">
        <f t="shared" si="85"/>
        <v>Inflation</v>
      </c>
      <c r="ID29" t="str">
        <f t="shared" si="85"/>
        <v>GDP</v>
      </c>
      <c r="IE29" t="s">
        <v>85</v>
      </c>
      <c r="IG29" t="s">
        <v>84</v>
      </c>
      <c r="IH29" t="str">
        <f>IH23</f>
        <v>NEPSE Index</v>
      </c>
      <c r="II29" t="str">
        <f t="shared" ref="II29:IL29" si="86">II23</f>
        <v>Interest Rate</v>
      </c>
      <c r="IJ29" t="str">
        <f t="shared" si="86"/>
        <v>Unemployment Rate</v>
      </c>
      <c r="IK29" t="str">
        <f t="shared" si="86"/>
        <v>Inflation</v>
      </c>
      <c r="IL29" t="str">
        <f t="shared" si="86"/>
        <v>GDP</v>
      </c>
      <c r="IM29" t="s">
        <v>85</v>
      </c>
      <c r="IO29" t="s">
        <v>84</v>
      </c>
      <c r="IP29" t="str">
        <f>IP23</f>
        <v>NEPSE Index</v>
      </c>
      <c r="IQ29" t="str">
        <f t="shared" ref="IQ29:IT29" si="87">IQ23</f>
        <v>Interest Rate</v>
      </c>
      <c r="IR29" t="str">
        <f t="shared" si="87"/>
        <v>Unemployment Rate</v>
      </c>
      <c r="IS29" t="str">
        <f t="shared" si="87"/>
        <v>Inflation</v>
      </c>
      <c r="IT29" t="str">
        <f t="shared" si="87"/>
        <v>GDP</v>
      </c>
      <c r="IU29" t="s">
        <v>85</v>
      </c>
      <c r="IW29" t="s">
        <v>84</v>
      </c>
      <c r="IX29" t="str">
        <f>IX23</f>
        <v>NEPSE Index</v>
      </c>
      <c r="IY29" t="str">
        <f t="shared" ref="IY29:JB29" si="88">IY23</f>
        <v>Interest Rate</v>
      </c>
      <c r="IZ29" t="str">
        <f t="shared" si="88"/>
        <v>Unemployment Rate</v>
      </c>
      <c r="JA29" t="str">
        <f t="shared" si="88"/>
        <v>Inflation</v>
      </c>
      <c r="JB29" t="str">
        <f t="shared" si="88"/>
        <v>GDP</v>
      </c>
      <c r="JC29" t="s">
        <v>85</v>
      </c>
      <c r="JE29" t="s">
        <v>84</v>
      </c>
      <c r="JF29" t="str">
        <f>JF23</f>
        <v>NEPSE Index</v>
      </c>
      <c r="JG29" t="str">
        <f t="shared" ref="JG29:JJ29" si="89">JG23</f>
        <v>Interest Rate</v>
      </c>
      <c r="JH29" t="str">
        <f t="shared" si="89"/>
        <v>Unemployment Rate</v>
      </c>
      <c r="JI29" t="str">
        <f t="shared" si="89"/>
        <v>Inflation</v>
      </c>
      <c r="JJ29" t="str">
        <f t="shared" si="89"/>
        <v>GDP</v>
      </c>
      <c r="JK29" t="s">
        <v>85</v>
      </c>
      <c r="JM29" t="s">
        <v>84</v>
      </c>
      <c r="JN29" t="str">
        <f>JN23</f>
        <v>NEPSE Index</v>
      </c>
      <c r="JO29" t="str">
        <f t="shared" ref="JO29:JR29" si="90">JO23</f>
        <v>Interest Rate</v>
      </c>
      <c r="JP29" t="str">
        <f t="shared" si="90"/>
        <v>Unemployment Rate</v>
      </c>
      <c r="JQ29" t="str">
        <f t="shared" si="90"/>
        <v>Inflation</v>
      </c>
      <c r="JR29" t="str">
        <f t="shared" si="90"/>
        <v>GDP</v>
      </c>
      <c r="JS29" t="s">
        <v>85</v>
      </c>
      <c r="JU29" t="s">
        <v>84</v>
      </c>
      <c r="JV29" t="str">
        <f>JV23</f>
        <v>NEPSE Index</v>
      </c>
      <c r="JW29" t="str">
        <f t="shared" ref="JW29:JZ29" si="91">JW23</f>
        <v>Interest Rate</v>
      </c>
      <c r="JX29" t="str">
        <f t="shared" si="91"/>
        <v>Unemployment Rate</v>
      </c>
      <c r="JY29" t="str">
        <f t="shared" si="91"/>
        <v>Inflation</v>
      </c>
      <c r="JZ29" t="str">
        <f t="shared" si="91"/>
        <v>GDP</v>
      </c>
      <c r="KA29" t="s">
        <v>85</v>
      </c>
      <c r="KC29" t="s">
        <v>84</v>
      </c>
      <c r="KD29" t="str">
        <f>KD23</f>
        <v>NEPSE Index</v>
      </c>
      <c r="KE29" t="str">
        <f t="shared" ref="KE29:KH29" si="92">KE23</f>
        <v>Interest Rate</v>
      </c>
      <c r="KF29" t="str">
        <f t="shared" si="92"/>
        <v>Unemployment Rate</v>
      </c>
      <c r="KG29" t="str">
        <f t="shared" si="92"/>
        <v>Inflation</v>
      </c>
      <c r="KH29" t="str">
        <f t="shared" si="92"/>
        <v>GDP</v>
      </c>
      <c r="KI29" t="s">
        <v>85</v>
      </c>
      <c r="KK29" t="s">
        <v>84</v>
      </c>
      <c r="KL29" t="str">
        <f>KL23</f>
        <v>NEPSE Index</v>
      </c>
      <c r="KM29" t="str">
        <f t="shared" ref="KM29:KP29" si="93">KM23</f>
        <v>Interest Rate</v>
      </c>
      <c r="KN29" t="str">
        <f t="shared" si="93"/>
        <v>Unemployment Rate</v>
      </c>
      <c r="KO29" t="str">
        <f t="shared" si="93"/>
        <v>Inflation</v>
      </c>
      <c r="KP29" t="str">
        <f t="shared" si="93"/>
        <v>GDP</v>
      </c>
      <c r="KQ29" t="s">
        <v>85</v>
      </c>
      <c r="KS29" t="s">
        <v>84</v>
      </c>
      <c r="KT29" t="str">
        <f>KT23</f>
        <v>NEPSE Index</v>
      </c>
      <c r="KU29" t="str">
        <f t="shared" ref="KU29:KX29" si="94">KU23</f>
        <v>Interest Rate</v>
      </c>
      <c r="KV29" t="str">
        <f t="shared" si="94"/>
        <v>Unemployment Rate</v>
      </c>
      <c r="KW29" t="str">
        <f t="shared" si="94"/>
        <v>Inflation</v>
      </c>
      <c r="KX29" t="str">
        <f t="shared" si="94"/>
        <v>GDP</v>
      </c>
      <c r="KY29" t="s">
        <v>85</v>
      </c>
      <c r="LA29" t="s">
        <v>84</v>
      </c>
      <c r="LB29" t="str">
        <f>LB23</f>
        <v>NEPSE Index</v>
      </c>
      <c r="LC29" t="str">
        <f t="shared" ref="LC29:LF29" si="95">LC23</f>
        <v>Interest Rate</v>
      </c>
      <c r="LD29" t="str">
        <f t="shared" si="95"/>
        <v>Unemployment Rate</v>
      </c>
      <c r="LE29" t="str">
        <f t="shared" si="95"/>
        <v>Inflation</v>
      </c>
      <c r="LF29" t="str">
        <f t="shared" si="95"/>
        <v>GDP</v>
      </c>
      <c r="LG29" t="s">
        <v>85</v>
      </c>
      <c r="LI29" t="s">
        <v>84</v>
      </c>
      <c r="LJ29" t="str">
        <f>LJ23</f>
        <v>NEPSE Index</v>
      </c>
      <c r="LK29" t="str">
        <f t="shared" ref="LK29:LN29" si="96">LK23</f>
        <v>Interest Rate</v>
      </c>
      <c r="LL29" t="str">
        <f t="shared" si="96"/>
        <v>Unemployment Rate</v>
      </c>
      <c r="LM29" t="str">
        <f t="shared" si="96"/>
        <v>Inflation</v>
      </c>
      <c r="LN29" t="str">
        <f t="shared" si="96"/>
        <v>GDP</v>
      </c>
      <c r="LO29" t="s">
        <v>85</v>
      </c>
      <c r="LQ29" t="s">
        <v>84</v>
      </c>
      <c r="LR29" t="str">
        <f>LR23</f>
        <v>NEPSE Index</v>
      </c>
      <c r="LS29" t="str">
        <f t="shared" ref="LS29:LV29" si="97">LS23</f>
        <v>Interest Rate</v>
      </c>
      <c r="LT29" t="str">
        <f t="shared" si="97"/>
        <v>Unemployment Rate</v>
      </c>
      <c r="LU29" t="str">
        <f t="shared" si="97"/>
        <v>Inflation</v>
      </c>
      <c r="LV29" t="str">
        <f t="shared" si="97"/>
        <v>GDP</v>
      </c>
      <c r="LW29" t="s">
        <v>85</v>
      </c>
      <c r="LY29" t="s">
        <v>84</v>
      </c>
      <c r="LZ29" t="str">
        <f>LZ23</f>
        <v>NEPSE Index</v>
      </c>
      <c r="MA29" t="str">
        <f t="shared" ref="MA29:MD29" si="98">MA23</f>
        <v>Interest Rate</v>
      </c>
      <c r="MB29" t="str">
        <f t="shared" si="98"/>
        <v>Unemployment Rate</v>
      </c>
      <c r="MC29" t="str">
        <f t="shared" si="98"/>
        <v>Inflation</v>
      </c>
      <c r="MD29" t="str">
        <f t="shared" si="98"/>
        <v>GDP</v>
      </c>
      <c r="ME29" t="s">
        <v>85</v>
      </c>
      <c r="MG29" t="s">
        <v>84</v>
      </c>
      <c r="MH29" t="str">
        <f>MH23</f>
        <v>NEPSE Index</v>
      </c>
      <c r="MI29" t="str">
        <f t="shared" ref="MI29:ML29" si="99">MI23</f>
        <v>Interest Rate</v>
      </c>
      <c r="MJ29" t="str">
        <f t="shared" si="99"/>
        <v>Unemployment Rate</v>
      </c>
      <c r="MK29" t="str">
        <f t="shared" si="99"/>
        <v>Inflation</v>
      </c>
      <c r="ML29" t="str">
        <f t="shared" si="99"/>
        <v>GDP</v>
      </c>
      <c r="MM29" t="s">
        <v>85</v>
      </c>
      <c r="MO29" t="s">
        <v>84</v>
      </c>
      <c r="MP29" t="str">
        <f>MP23</f>
        <v>NEPSE Index</v>
      </c>
      <c r="MQ29" t="str">
        <f t="shared" ref="MQ29:MT29" si="100">MQ23</f>
        <v>Interest Rate</v>
      </c>
      <c r="MR29" t="str">
        <f t="shared" si="100"/>
        <v>Unemployment Rate</v>
      </c>
      <c r="MS29" t="str">
        <f t="shared" si="100"/>
        <v>Inflation</v>
      </c>
      <c r="MT29" t="str">
        <f t="shared" si="100"/>
        <v>GDP</v>
      </c>
      <c r="MU29" t="s">
        <v>85</v>
      </c>
      <c r="MW29" t="s">
        <v>84</v>
      </c>
      <c r="MX29" t="str">
        <f>MX23</f>
        <v>NEPSE Index</v>
      </c>
      <c r="MY29" t="str">
        <f t="shared" ref="MY29:NB29" si="101">MY23</f>
        <v>Interest Rate</v>
      </c>
      <c r="MZ29" t="str">
        <f t="shared" si="101"/>
        <v>Unemployment Rate</v>
      </c>
      <c r="NA29" t="str">
        <f t="shared" si="101"/>
        <v>Inflation</v>
      </c>
      <c r="NB29" t="str">
        <f t="shared" si="101"/>
        <v>GDP</v>
      </c>
      <c r="NC29" t="s">
        <v>85</v>
      </c>
      <c r="NE29" t="s">
        <v>84</v>
      </c>
      <c r="NF29" t="str">
        <f>NF23</f>
        <v>NEPSE Index</v>
      </c>
      <c r="NG29" t="str">
        <f t="shared" ref="NG29:NJ29" si="102">NG23</f>
        <v>Interest Rate</v>
      </c>
      <c r="NH29" t="str">
        <f t="shared" si="102"/>
        <v>Unemployment Rate</v>
      </c>
      <c r="NI29" t="str">
        <f t="shared" si="102"/>
        <v>Inflation</v>
      </c>
      <c r="NJ29" t="str">
        <f t="shared" si="102"/>
        <v>GDP</v>
      </c>
      <c r="NK29" t="s">
        <v>85</v>
      </c>
      <c r="NM29" t="s">
        <v>84</v>
      </c>
      <c r="NN29" t="str">
        <f>NN23</f>
        <v>NEPSE Index</v>
      </c>
      <c r="NO29" t="str">
        <f t="shared" ref="NO29:NR29" si="103">NO23</f>
        <v>Interest Rate</v>
      </c>
      <c r="NP29" t="str">
        <f t="shared" si="103"/>
        <v>Unemployment Rate</v>
      </c>
      <c r="NQ29" t="str">
        <f t="shared" si="103"/>
        <v>Inflation</v>
      </c>
      <c r="NR29" t="str">
        <f t="shared" si="103"/>
        <v>GDP</v>
      </c>
      <c r="NS29" t="s">
        <v>85</v>
      </c>
      <c r="NU29" t="s">
        <v>84</v>
      </c>
      <c r="NV29" t="str">
        <f>NV23</f>
        <v>NEPSE Index</v>
      </c>
      <c r="NW29" t="str">
        <f t="shared" ref="NW29:NZ29" si="104">NW23</f>
        <v>Interest Rate</v>
      </c>
      <c r="NX29" t="str">
        <f t="shared" si="104"/>
        <v>Unemployment Rate</v>
      </c>
      <c r="NY29" t="str">
        <f t="shared" si="104"/>
        <v>Inflation</v>
      </c>
      <c r="NZ29" t="str">
        <f t="shared" si="104"/>
        <v>GDP</v>
      </c>
      <c r="OA29" t="s">
        <v>85</v>
      </c>
      <c r="OC29" t="s">
        <v>84</v>
      </c>
      <c r="OD29" t="str">
        <f>OD23</f>
        <v>NEPSE Index</v>
      </c>
      <c r="OE29" t="str">
        <f t="shared" ref="OE29:OH29" si="105">OE23</f>
        <v>Interest Rate</v>
      </c>
      <c r="OF29" t="str">
        <f t="shared" si="105"/>
        <v>Unemployment Rate</v>
      </c>
      <c r="OG29" t="str">
        <f t="shared" si="105"/>
        <v>Inflation</v>
      </c>
      <c r="OH29" t="str">
        <f t="shared" si="105"/>
        <v>GDP</v>
      </c>
      <c r="OI29" t="s">
        <v>85</v>
      </c>
      <c r="OK29" t="s">
        <v>84</v>
      </c>
      <c r="OL29" t="str">
        <f>OL23</f>
        <v>NEPSE Index</v>
      </c>
      <c r="OM29" t="str">
        <f t="shared" ref="OM29:OP29" si="106">OM23</f>
        <v>Interest Rate</v>
      </c>
      <c r="ON29" t="str">
        <f t="shared" si="106"/>
        <v>Unemployment Rate</v>
      </c>
      <c r="OO29" t="str">
        <f t="shared" si="106"/>
        <v>Inflation</v>
      </c>
      <c r="OP29" t="str">
        <f t="shared" si="106"/>
        <v>GDP</v>
      </c>
      <c r="OQ29" t="s">
        <v>85</v>
      </c>
      <c r="OS29" t="s">
        <v>84</v>
      </c>
      <c r="OT29" t="str">
        <f>OT23</f>
        <v>NEPSE Index</v>
      </c>
      <c r="OU29" t="str">
        <f t="shared" ref="OU29:OX29" si="107">OU23</f>
        <v>Interest Rate</v>
      </c>
      <c r="OV29" t="str">
        <f t="shared" si="107"/>
        <v>Unemployment Rate</v>
      </c>
      <c r="OW29" t="str">
        <f t="shared" si="107"/>
        <v>Inflation</v>
      </c>
      <c r="OX29" t="str">
        <f t="shared" si="107"/>
        <v>GDP</v>
      </c>
      <c r="OY29" t="s">
        <v>85</v>
      </c>
      <c r="PA29" t="s">
        <v>84</v>
      </c>
      <c r="PB29" t="str">
        <f>PB23</f>
        <v>NEPSE Index</v>
      </c>
      <c r="PC29" t="str">
        <f t="shared" ref="PC29:PF29" si="108">PC23</f>
        <v>Interest Rate</v>
      </c>
      <c r="PD29" t="str">
        <f t="shared" si="108"/>
        <v>Unemployment Rate</v>
      </c>
      <c r="PE29" t="str">
        <f t="shared" si="108"/>
        <v>Inflation</v>
      </c>
      <c r="PF29" t="str">
        <f t="shared" si="108"/>
        <v>GDP</v>
      </c>
      <c r="PG29" t="s">
        <v>85</v>
      </c>
      <c r="PI29" t="s">
        <v>84</v>
      </c>
      <c r="PJ29" t="str">
        <f>PJ23</f>
        <v>NEPSE Index</v>
      </c>
      <c r="PK29" t="str">
        <f t="shared" ref="PK29:PN29" si="109">PK23</f>
        <v>Interest Rate</v>
      </c>
      <c r="PL29" t="str">
        <f t="shared" si="109"/>
        <v>Unemployment Rate</v>
      </c>
      <c r="PM29" t="str">
        <f t="shared" si="109"/>
        <v>Inflation</v>
      </c>
      <c r="PN29" t="str">
        <f t="shared" si="109"/>
        <v>GDP</v>
      </c>
      <c r="PO29" t="s">
        <v>85</v>
      </c>
      <c r="PQ29" t="s">
        <v>84</v>
      </c>
      <c r="PR29" t="str">
        <f>PR23</f>
        <v>NEPSE Index</v>
      </c>
      <c r="PS29" t="str">
        <f t="shared" ref="PS29:PV29" si="110">PS23</f>
        <v>Interest Rate</v>
      </c>
      <c r="PT29" t="str">
        <f t="shared" si="110"/>
        <v>Unemployment Rate</v>
      </c>
      <c r="PU29" t="str">
        <f t="shared" si="110"/>
        <v>Inflation</v>
      </c>
      <c r="PV29" t="str">
        <f t="shared" si="110"/>
        <v>GDP</v>
      </c>
      <c r="PW29" t="s">
        <v>85</v>
      </c>
      <c r="PY29" t="s">
        <v>84</v>
      </c>
      <c r="PZ29" t="str">
        <f>PZ23</f>
        <v>NEPSE Index</v>
      </c>
      <c r="QA29" t="str">
        <f t="shared" ref="QA29:QD29" si="111">QA23</f>
        <v>Interest Rate</v>
      </c>
      <c r="QB29" t="str">
        <f t="shared" si="111"/>
        <v>Unemployment Rate</v>
      </c>
      <c r="QC29" t="str">
        <f t="shared" si="111"/>
        <v>Inflation</v>
      </c>
      <c r="QD29" t="str">
        <f t="shared" si="111"/>
        <v>GDP</v>
      </c>
      <c r="QE29" t="s">
        <v>85</v>
      </c>
    </row>
    <row r="30" spans="1:487" x14ac:dyDescent="0.45">
      <c r="A30">
        <f>A2</f>
        <v>2019</v>
      </c>
      <c r="B30">
        <f>A3</f>
        <v>2020</v>
      </c>
      <c r="C30">
        <f>A4</f>
        <v>2021</v>
      </c>
      <c r="D30">
        <f>A5</f>
        <v>2022</v>
      </c>
      <c r="E30">
        <f>A6</f>
        <v>2023</v>
      </c>
      <c r="F30">
        <f>A7</f>
        <v>2024</v>
      </c>
      <c r="G30">
        <f>A8</f>
        <v>2025</v>
      </c>
      <c r="I30">
        <f>I2</f>
        <v>2019</v>
      </c>
      <c r="J30">
        <f>I3</f>
        <v>2020</v>
      </c>
      <c r="K30">
        <f>I4</f>
        <v>2021</v>
      </c>
      <c r="L30">
        <f>I5</f>
        <v>2022</v>
      </c>
      <c r="M30">
        <f>I6</f>
        <v>2023</v>
      </c>
      <c r="N30">
        <f>I7</f>
        <v>2024</v>
      </c>
      <c r="O30">
        <f>I8</f>
        <v>2025</v>
      </c>
      <c r="Q30">
        <f>Q2</f>
        <v>2019</v>
      </c>
      <c r="R30">
        <f>Q3</f>
        <v>2020</v>
      </c>
      <c r="S30">
        <f>Q4</f>
        <v>2021</v>
      </c>
      <c r="T30">
        <f>Q5</f>
        <v>2022</v>
      </c>
      <c r="U30">
        <f>Q6</f>
        <v>2023</v>
      </c>
      <c r="V30">
        <f>Q7</f>
        <v>2024</v>
      </c>
      <c r="W30">
        <f>Q8</f>
        <v>2025</v>
      </c>
      <c r="Y30">
        <f>Y2</f>
        <v>2019</v>
      </c>
      <c r="Z30">
        <f>Y3</f>
        <v>2020</v>
      </c>
      <c r="AA30">
        <f>Y4</f>
        <v>2021</v>
      </c>
      <c r="AB30">
        <f>Y5</f>
        <v>2022</v>
      </c>
      <c r="AC30">
        <f>Y6</f>
        <v>2023</v>
      </c>
      <c r="AD30">
        <f>Y7</f>
        <v>2024</v>
      </c>
      <c r="AE30">
        <f>Y8</f>
        <v>2025</v>
      </c>
      <c r="AG30">
        <f>AG2</f>
        <v>2019</v>
      </c>
      <c r="AH30">
        <f>AG3</f>
        <v>2020</v>
      </c>
      <c r="AI30">
        <f>AG4</f>
        <v>2021</v>
      </c>
      <c r="AJ30">
        <f>AG5</f>
        <v>2022</v>
      </c>
      <c r="AK30">
        <f>AG6</f>
        <v>2023</v>
      </c>
      <c r="AL30">
        <f>AG7</f>
        <v>2024</v>
      </c>
      <c r="AM30">
        <f>AG8</f>
        <v>2025</v>
      </c>
      <c r="AO30">
        <f>AO2</f>
        <v>2019</v>
      </c>
      <c r="AP30">
        <f>AO3</f>
        <v>2020</v>
      </c>
      <c r="AQ30">
        <f>AO4</f>
        <v>2021</v>
      </c>
      <c r="AR30">
        <f>AO5</f>
        <v>2022</v>
      </c>
      <c r="AS30">
        <f>AO6</f>
        <v>2023</v>
      </c>
      <c r="AT30">
        <f>AO7</f>
        <v>2024</v>
      </c>
      <c r="AU30">
        <f>AO8</f>
        <v>2025</v>
      </c>
      <c r="AW30">
        <f>AW2</f>
        <v>2019</v>
      </c>
      <c r="AX30">
        <f>AW3</f>
        <v>2020</v>
      </c>
      <c r="AY30">
        <f>AW4</f>
        <v>2021</v>
      </c>
      <c r="AZ30">
        <f>AW5</f>
        <v>2022</v>
      </c>
      <c r="BA30">
        <f>AW6</f>
        <v>2023</v>
      </c>
      <c r="BB30">
        <f>AW7</f>
        <v>2024</v>
      </c>
      <c r="BC30">
        <f>AW8</f>
        <v>2025</v>
      </c>
      <c r="BE30">
        <f>BE2</f>
        <v>2019</v>
      </c>
      <c r="BF30">
        <f>BE3</f>
        <v>2020</v>
      </c>
      <c r="BG30">
        <f>BE4</f>
        <v>2021</v>
      </c>
      <c r="BH30">
        <f>BE5</f>
        <v>2022</v>
      </c>
      <c r="BI30">
        <f>BE6</f>
        <v>2023</v>
      </c>
      <c r="BJ30">
        <f>BE7</f>
        <v>2024</v>
      </c>
      <c r="BK30">
        <f>BE8</f>
        <v>2025</v>
      </c>
      <c r="BM30">
        <f>BM2</f>
        <v>2019</v>
      </c>
      <c r="BN30">
        <f>BM3</f>
        <v>2020</v>
      </c>
      <c r="BO30">
        <f>BM4</f>
        <v>2021</v>
      </c>
      <c r="BP30">
        <f>BM5</f>
        <v>2022</v>
      </c>
      <c r="BQ30">
        <f>BM6</f>
        <v>2023</v>
      </c>
      <c r="BR30">
        <f>BM7</f>
        <v>2024</v>
      </c>
      <c r="BS30">
        <f>BM8</f>
        <v>2025</v>
      </c>
      <c r="BU30">
        <f>BU2</f>
        <v>2019</v>
      </c>
      <c r="BV30">
        <f>BU3</f>
        <v>2020</v>
      </c>
      <c r="BW30">
        <f>BU4</f>
        <v>2021</v>
      </c>
      <c r="BX30">
        <f>BU5</f>
        <v>2022</v>
      </c>
      <c r="BY30">
        <f>BU6</f>
        <v>2023</v>
      </c>
      <c r="BZ30">
        <f>BU7</f>
        <v>2024</v>
      </c>
      <c r="CA30">
        <f>BU8</f>
        <v>2025</v>
      </c>
      <c r="CC30">
        <f>CC2</f>
        <v>2019</v>
      </c>
      <c r="CD30">
        <f>CC3</f>
        <v>2020</v>
      </c>
      <c r="CE30">
        <f>CC4</f>
        <v>2021</v>
      </c>
      <c r="CF30">
        <f>CC5</f>
        <v>2022</v>
      </c>
      <c r="CG30">
        <f>CC6</f>
        <v>2023</v>
      </c>
      <c r="CH30">
        <f>CC7</f>
        <v>2024</v>
      </c>
      <c r="CI30">
        <f>CC8</f>
        <v>2025</v>
      </c>
      <c r="CK30">
        <f>CK2</f>
        <v>2019</v>
      </c>
      <c r="CL30">
        <f>CK3</f>
        <v>2020</v>
      </c>
      <c r="CM30">
        <f>CK4</f>
        <v>2021</v>
      </c>
      <c r="CN30">
        <f>CK5</f>
        <v>2022</v>
      </c>
      <c r="CO30">
        <f>CK6</f>
        <v>2023</v>
      </c>
      <c r="CP30">
        <f>CK7</f>
        <v>2024</v>
      </c>
      <c r="CQ30">
        <f>CK8</f>
        <v>2025</v>
      </c>
      <c r="CS30">
        <f>CS2</f>
        <v>2019</v>
      </c>
      <c r="CT30">
        <f>CS3</f>
        <v>2020</v>
      </c>
      <c r="CU30">
        <f>CS4</f>
        <v>2021</v>
      </c>
      <c r="CV30">
        <f>CS5</f>
        <v>2022</v>
      </c>
      <c r="CW30">
        <f>CS6</f>
        <v>2023</v>
      </c>
      <c r="CX30">
        <f>CS7</f>
        <v>2024</v>
      </c>
      <c r="CY30">
        <f>CS8</f>
        <v>2025</v>
      </c>
      <c r="DA30">
        <f>DA2</f>
        <v>2019</v>
      </c>
      <c r="DB30">
        <f>DA3</f>
        <v>2020</v>
      </c>
      <c r="DC30">
        <f>DA4</f>
        <v>2021</v>
      </c>
      <c r="DD30">
        <f>DA5</f>
        <v>2022</v>
      </c>
      <c r="DE30">
        <f>DA6</f>
        <v>2023</v>
      </c>
      <c r="DF30">
        <f>DA7</f>
        <v>2024</v>
      </c>
      <c r="DG30">
        <f>DA8</f>
        <v>2025</v>
      </c>
      <c r="DI30">
        <f>DI2</f>
        <v>2019</v>
      </c>
      <c r="DJ30">
        <f>DI3</f>
        <v>2020</v>
      </c>
      <c r="DK30">
        <f>DI4</f>
        <v>2021</v>
      </c>
      <c r="DL30">
        <f>DI5</f>
        <v>2022</v>
      </c>
      <c r="DM30">
        <f>DI6</f>
        <v>2023</v>
      </c>
      <c r="DN30">
        <f>DI7</f>
        <v>2024</v>
      </c>
      <c r="DO30">
        <f>DI8</f>
        <v>2025</v>
      </c>
      <c r="DQ30">
        <f>DQ2</f>
        <v>2019</v>
      </c>
      <c r="DR30">
        <f>DQ3</f>
        <v>2020</v>
      </c>
      <c r="DS30">
        <f>DQ4</f>
        <v>2021</v>
      </c>
      <c r="DT30">
        <f>DQ5</f>
        <v>2022</v>
      </c>
      <c r="DU30">
        <f>DQ6</f>
        <v>2023</v>
      </c>
      <c r="DV30">
        <f>DQ7</f>
        <v>2024</v>
      </c>
      <c r="DW30">
        <f>DQ8</f>
        <v>2025</v>
      </c>
      <c r="DY30">
        <f>DY2</f>
        <v>2019</v>
      </c>
      <c r="DZ30">
        <f>DY3</f>
        <v>2020</v>
      </c>
      <c r="EA30">
        <f>DY4</f>
        <v>2021</v>
      </c>
      <c r="EB30">
        <f>DY5</f>
        <v>2022</v>
      </c>
      <c r="EC30">
        <f>DY6</f>
        <v>2023</v>
      </c>
      <c r="ED30">
        <f>DY7</f>
        <v>2024</v>
      </c>
      <c r="EE30">
        <f>DY8</f>
        <v>2025</v>
      </c>
      <c r="EG30">
        <f>EG2</f>
        <v>2019</v>
      </c>
      <c r="EH30">
        <f>EG3</f>
        <v>2020</v>
      </c>
      <c r="EI30">
        <f>EG4</f>
        <v>2021</v>
      </c>
      <c r="EJ30">
        <f>EG5</f>
        <v>2022</v>
      </c>
      <c r="EK30">
        <f>EG6</f>
        <v>2023</v>
      </c>
      <c r="EL30">
        <f>EG7</f>
        <v>2024</v>
      </c>
      <c r="EM30">
        <f>EG8</f>
        <v>2025</v>
      </c>
      <c r="EO30">
        <f>EO2</f>
        <v>2019</v>
      </c>
      <c r="EP30">
        <f>EO3</f>
        <v>2020</v>
      </c>
      <c r="EQ30">
        <f>EO4</f>
        <v>2021</v>
      </c>
      <c r="ER30">
        <f>EO5</f>
        <v>2022</v>
      </c>
      <c r="ES30">
        <f>EO6</f>
        <v>2023</v>
      </c>
      <c r="ET30">
        <f>EO7</f>
        <v>2024</v>
      </c>
      <c r="EU30">
        <f>EO8</f>
        <v>2025</v>
      </c>
      <c r="EW30">
        <f>EW2</f>
        <v>2019</v>
      </c>
      <c r="EX30">
        <f>EW3</f>
        <v>2020</v>
      </c>
      <c r="EY30">
        <f>EW4</f>
        <v>2021</v>
      </c>
      <c r="EZ30">
        <f>EW5</f>
        <v>2022</v>
      </c>
      <c r="FA30">
        <f>EW6</f>
        <v>2023</v>
      </c>
      <c r="FB30">
        <f>EW7</f>
        <v>2024</v>
      </c>
      <c r="FC30">
        <f>EW8</f>
        <v>2025</v>
      </c>
      <c r="FE30">
        <f>FE2</f>
        <v>2019</v>
      </c>
      <c r="FF30">
        <f>FE3</f>
        <v>2020</v>
      </c>
      <c r="FG30">
        <f>FE4</f>
        <v>2021</v>
      </c>
      <c r="FH30">
        <f>FE5</f>
        <v>2022</v>
      </c>
      <c r="FI30">
        <f>FE6</f>
        <v>2023</v>
      </c>
      <c r="FJ30">
        <f>FE7</f>
        <v>2024</v>
      </c>
      <c r="FK30">
        <f>FE8</f>
        <v>2025</v>
      </c>
      <c r="FM30">
        <f>FM2</f>
        <v>2019</v>
      </c>
      <c r="FN30">
        <f>FM3</f>
        <v>2020</v>
      </c>
      <c r="FO30">
        <f>FM4</f>
        <v>2021</v>
      </c>
      <c r="FP30">
        <f>FM5</f>
        <v>2022</v>
      </c>
      <c r="FQ30">
        <f>FM6</f>
        <v>2023</v>
      </c>
      <c r="FR30">
        <f>FM7</f>
        <v>2024</v>
      </c>
      <c r="FS30">
        <f>FM8</f>
        <v>2025</v>
      </c>
      <c r="FU30">
        <f>FU2</f>
        <v>2019</v>
      </c>
      <c r="FV30">
        <f>FU3</f>
        <v>2020</v>
      </c>
      <c r="FW30">
        <f>FU4</f>
        <v>2021</v>
      </c>
      <c r="FX30">
        <f>FU5</f>
        <v>2022</v>
      </c>
      <c r="FY30">
        <f>FU6</f>
        <v>2023</v>
      </c>
      <c r="FZ30">
        <f>FU7</f>
        <v>2024</v>
      </c>
      <c r="GA30">
        <f>FU8</f>
        <v>2025</v>
      </c>
      <c r="GC30">
        <f>GC2</f>
        <v>2019</v>
      </c>
      <c r="GD30">
        <f>GC3</f>
        <v>2020</v>
      </c>
      <c r="GE30">
        <f>GC4</f>
        <v>2021</v>
      </c>
      <c r="GF30">
        <f>GC5</f>
        <v>2022</v>
      </c>
      <c r="GG30">
        <f>GC6</f>
        <v>2023</v>
      </c>
      <c r="GH30">
        <f>GC7</f>
        <v>2024</v>
      </c>
      <c r="GI30">
        <f>GC8</f>
        <v>2025</v>
      </c>
      <c r="GK30">
        <f>GK2</f>
        <v>2019</v>
      </c>
      <c r="GL30">
        <f>GK3</f>
        <v>2020</v>
      </c>
      <c r="GM30">
        <f>GK4</f>
        <v>2021</v>
      </c>
      <c r="GN30">
        <f>GK5</f>
        <v>2022</v>
      </c>
      <c r="GO30">
        <f>GK6</f>
        <v>2023</v>
      </c>
      <c r="GP30">
        <f>GK7</f>
        <v>2024</v>
      </c>
      <c r="GQ30">
        <f>GK8</f>
        <v>2025</v>
      </c>
      <c r="GS30">
        <f>GS2</f>
        <v>2019</v>
      </c>
      <c r="GT30">
        <f>GS3</f>
        <v>2020</v>
      </c>
      <c r="GU30">
        <f>GS4</f>
        <v>2021</v>
      </c>
      <c r="GV30">
        <f>GS5</f>
        <v>2022</v>
      </c>
      <c r="GW30">
        <f>GS6</f>
        <v>2023</v>
      </c>
      <c r="GX30">
        <f>GS7</f>
        <v>2024</v>
      </c>
      <c r="GY30">
        <f>GS8</f>
        <v>2025</v>
      </c>
      <c r="HA30">
        <f>HA2</f>
        <v>2019</v>
      </c>
      <c r="HB30">
        <f>HA3</f>
        <v>2020</v>
      </c>
      <c r="HC30">
        <f>HA4</f>
        <v>2021</v>
      </c>
      <c r="HD30">
        <f>HA5</f>
        <v>2022</v>
      </c>
      <c r="HE30">
        <f>HA6</f>
        <v>2023</v>
      </c>
      <c r="HF30">
        <f>HA7</f>
        <v>2024</v>
      </c>
      <c r="HG30">
        <f>HA8</f>
        <v>2025</v>
      </c>
      <c r="HI30">
        <f>HI2</f>
        <v>2019</v>
      </c>
      <c r="HJ30">
        <f>HI3</f>
        <v>2020</v>
      </c>
      <c r="HK30">
        <f>HI4</f>
        <v>2021</v>
      </c>
      <c r="HL30">
        <f>HI5</f>
        <v>2022</v>
      </c>
      <c r="HM30">
        <f>HI6</f>
        <v>2023</v>
      </c>
      <c r="HN30">
        <f>HI7</f>
        <v>2024</v>
      </c>
      <c r="HO30">
        <f>HI8</f>
        <v>2025</v>
      </c>
      <c r="HQ30">
        <f>HQ2</f>
        <v>2019</v>
      </c>
      <c r="HR30">
        <f>HQ3</f>
        <v>2020</v>
      </c>
      <c r="HS30">
        <f>HQ4</f>
        <v>2021</v>
      </c>
      <c r="HT30">
        <f>HQ5</f>
        <v>2022</v>
      </c>
      <c r="HU30">
        <f>HQ6</f>
        <v>2023</v>
      </c>
      <c r="HV30">
        <f>HQ7</f>
        <v>2024</v>
      </c>
      <c r="HW30">
        <f>HQ8</f>
        <v>2025</v>
      </c>
      <c r="HY30">
        <f>HY2</f>
        <v>2019</v>
      </c>
      <c r="HZ30">
        <f>HY3</f>
        <v>2020</v>
      </c>
      <c r="IA30">
        <f>HY4</f>
        <v>2021</v>
      </c>
      <c r="IB30">
        <f>HY5</f>
        <v>2022</v>
      </c>
      <c r="IC30">
        <f>HY6</f>
        <v>2023</v>
      </c>
      <c r="ID30">
        <f>HY7</f>
        <v>2024</v>
      </c>
      <c r="IE30">
        <f>HY8</f>
        <v>2025</v>
      </c>
      <c r="IG30">
        <f>IG2</f>
        <v>2019</v>
      </c>
      <c r="IH30">
        <f>IG3</f>
        <v>2020</v>
      </c>
      <c r="II30">
        <f>IG4</f>
        <v>2021</v>
      </c>
      <c r="IJ30">
        <f>IG5</f>
        <v>2022</v>
      </c>
      <c r="IK30">
        <f>IG6</f>
        <v>2023</v>
      </c>
      <c r="IL30">
        <f>IG7</f>
        <v>2024</v>
      </c>
      <c r="IM30">
        <f>IG8</f>
        <v>2025</v>
      </c>
      <c r="IO30">
        <f>IO2</f>
        <v>2019</v>
      </c>
      <c r="IP30">
        <f>IO3</f>
        <v>2020</v>
      </c>
      <c r="IQ30">
        <f>IO4</f>
        <v>2021</v>
      </c>
      <c r="IR30">
        <f>IO5</f>
        <v>2022</v>
      </c>
      <c r="IS30">
        <f>IO6</f>
        <v>2023</v>
      </c>
      <c r="IT30">
        <f>IO7</f>
        <v>2024</v>
      </c>
      <c r="IU30">
        <f>IO8</f>
        <v>2025</v>
      </c>
      <c r="IW30">
        <f>IW2</f>
        <v>2019</v>
      </c>
      <c r="IX30">
        <f>IW3</f>
        <v>2020</v>
      </c>
      <c r="IY30">
        <f>IW4</f>
        <v>2021</v>
      </c>
      <c r="IZ30">
        <f>IW5</f>
        <v>2022</v>
      </c>
      <c r="JA30">
        <f>IW6</f>
        <v>2023</v>
      </c>
      <c r="JB30">
        <f>IW7</f>
        <v>2024</v>
      </c>
      <c r="JC30">
        <f>IW8</f>
        <v>2025</v>
      </c>
      <c r="JE30">
        <f>JE2</f>
        <v>2019</v>
      </c>
      <c r="JF30">
        <f>JE3</f>
        <v>2020</v>
      </c>
      <c r="JG30">
        <f>JE4</f>
        <v>2021</v>
      </c>
      <c r="JH30">
        <f>JE5</f>
        <v>2022</v>
      </c>
      <c r="JI30">
        <f>JE6</f>
        <v>2023</v>
      </c>
      <c r="JJ30">
        <f>JE7</f>
        <v>2024</v>
      </c>
      <c r="JK30">
        <f>JE8</f>
        <v>2025</v>
      </c>
      <c r="JM30">
        <f>JM2</f>
        <v>2019</v>
      </c>
      <c r="JN30">
        <f>JM3</f>
        <v>2020</v>
      </c>
      <c r="JO30">
        <f>JM4</f>
        <v>2021</v>
      </c>
      <c r="JP30">
        <f>JM5</f>
        <v>2022</v>
      </c>
      <c r="JQ30">
        <f>JM6</f>
        <v>2023</v>
      </c>
      <c r="JR30">
        <f>JM7</f>
        <v>2024</v>
      </c>
      <c r="JS30">
        <f>JM8</f>
        <v>2025</v>
      </c>
      <c r="JU30">
        <f>JU2</f>
        <v>2019</v>
      </c>
      <c r="JV30">
        <f>JU3</f>
        <v>2020</v>
      </c>
      <c r="JW30">
        <f>JU4</f>
        <v>2021</v>
      </c>
      <c r="JX30">
        <f>JU5</f>
        <v>2022</v>
      </c>
      <c r="JY30">
        <f>JU6</f>
        <v>2023</v>
      </c>
      <c r="JZ30">
        <f>JU7</f>
        <v>2024</v>
      </c>
      <c r="KA30">
        <f>JU8</f>
        <v>2025</v>
      </c>
      <c r="KC30">
        <f>KC2</f>
        <v>2019</v>
      </c>
      <c r="KD30">
        <f>KC3</f>
        <v>2020</v>
      </c>
      <c r="KE30">
        <f>KC4</f>
        <v>2021</v>
      </c>
      <c r="KF30">
        <f>KC5</f>
        <v>2022</v>
      </c>
      <c r="KG30">
        <f>KC6</f>
        <v>2023</v>
      </c>
      <c r="KH30">
        <f>KC7</f>
        <v>2024</v>
      </c>
      <c r="KI30">
        <f>KC8</f>
        <v>2025</v>
      </c>
      <c r="KK30">
        <f>KK2</f>
        <v>2019</v>
      </c>
      <c r="KL30">
        <f>KK3</f>
        <v>2020</v>
      </c>
      <c r="KM30">
        <f>KK4</f>
        <v>2021</v>
      </c>
      <c r="KN30">
        <f>KK5</f>
        <v>2022</v>
      </c>
      <c r="KO30">
        <f>KK6</f>
        <v>2023</v>
      </c>
      <c r="KP30">
        <f>KK7</f>
        <v>2024</v>
      </c>
      <c r="KQ30">
        <f>KK8</f>
        <v>2025</v>
      </c>
      <c r="KS30">
        <f>KS2</f>
        <v>2019</v>
      </c>
      <c r="KT30">
        <f>KS3</f>
        <v>2020</v>
      </c>
      <c r="KU30">
        <f>KS4</f>
        <v>2021</v>
      </c>
      <c r="KV30">
        <f>KS5</f>
        <v>2022</v>
      </c>
      <c r="KW30">
        <f>KS6</f>
        <v>2023</v>
      </c>
      <c r="KX30">
        <f>KS7</f>
        <v>2024</v>
      </c>
      <c r="KY30">
        <f>KS8</f>
        <v>2025</v>
      </c>
      <c r="LA30">
        <f>LA2</f>
        <v>2019</v>
      </c>
      <c r="LB30">
        <f>LA3</f>
        <v>2020</v>
      </c>
      <c r="LC30">
        <f>LA4</f>
        <v>2021</v>
      </c>
      <c r="LD30">
        <f>LA5</f>
        <v>2022</v>
      </c>
      <c r="LE30">
        <f>LA6</f>
        <v>2023</v>
      </c>
      <c r="LF30">
        <f>LA7</f>
        <v>2024</v>
      </c>
      <c r="LG30">
        <f>LA8</f>
        <v>2025</v>
      </c>
      <c r="LI30">
        <f>LI2</f>
        <v>2019</v>
      </c>
      <c r="LJ30">
        <f>LI3</f>
        <v>2020</v>
      </c>
      <c r="LK30">
        <f>LI4</f>
        <v>2021</v>
      </c>
      <c r="LL30">
        <f>LI5</f>
        <v>2022</v>
      </c>
      <c r="LM30">
        <f>LI6</f>
        <v>2023</v>
      </c>
      <c r="LN30">
        <f>LI7</f>
        <v>2024</v>
      </c>
      <c r="LO30">
        <f>LI8</f>
        <v>2025</v>
      </c>
      <c r="LQ30">
        <f>LQ2</f>
        <v>2019</v>
      </c>
      <c r="LR30">
        <f>LQ3</f>
        <v>2020</v>
      </c>
      <c r="LS30">
        <f>LQ4</f>
        <v>2021</v>
      </c>
      <c r="LT30">
        <f>LQ5</f>
        <v>2022</v>
      </c>
      <c r="LU30">
        <f>LQ6</f>
        <v>2023</v>
      </c>
      <c r="LV30">
        <f>LQ7</f>
        <v>2024</v>
      </c>
      <c r="LW30">
        <f>LQ8</f>
        <v>2025</v>
      </c>
      <c r="LY30">
        <f>LY2</f>
        <v>2019</v>
      </c>
      <c r="LZ30">
        <f>LY3</f>
        <v>2020</v>
      </c>
      <c r="MA30">
        <f>LY4</f>
        <v>2021</v>
      </c>
      <c r="MB30">
        <f>LY5</f>
        <v>2022</v>
      </c>
      <c r="MC30">
        <f>LY6</f>
        <v>2023</v>
      </c>
      <c r="MD30">
        <f>LY7</f>
        <v>2024</v>
      </c>
      <c r="ME30">
        <f>LY8</f>
        <v>2025</v>
      </c>
      <c r="MG30">
        <f>MG2</f>
        <v>2019</v>
      </c>
      <c r="MH30">
        <f>MG3</f>
        <v>2020</v>
      </c>
      <c r="MI30">
        <f>MG4</f>
        <v>2021</v>
      </c>
      <c r="MJ30">
        <f>MG5</f>
        <v>2022</v>
      </c>
      <c r="MK30">
        <f>MG6</f>
        <v>2023</v>
      </c>
      <c r="ML30">
        <f>MG7</f>
        <v>2024</v>
      </c>
      <c r="MM30">
        <f>MG8</f>
        <v>2025</v>
      </c>
      <c r="MO30">
        <f>MO2</f>
        <v>2019</v>
      </c>
      <c r="MP30">
        <f>MO3</f>
        <v>2020</v>
      </c>
      <c r="MQ30">
        <f>MO4</f>
        <v>2021</v>
      </c>
      <c r="MR30">
        <f>MO5</f>
        <v>2022</v>
      </c>
      <c r="MS30">
        <f>MO6</f>
        <v>2023</v>
      </c>
      <c r="MT30">
        <f>MO7</f>
        <v>2024</v>
      </c>
      <c r="MU30">
        <f>MO8</f>
        <v>2025</v>
      </c>
      <c r="MW30">
        <f>MW2</f>
        <v>2019</v>
      </c>
      <c r="MX30">
        <f>MW3</f>
        <v>2020</v>
      </c>
      <c r="MY30">
        <f>MW4</f>
        <v>2021</v>
      </c>
      <c r="MZ30">
        <f>MW5</f>
        <v>2022</v>
      </c>
      <c r="NA30">
        <f>MW6</f>
        <v>2023</v>
      </c>
      <c r="NB30">
        <f>MW7</f>
        <v>2024</v>
      </c>
      <c r="NC30">
        <f>MW8</f>
        <v>2025</v>
      </c>
      <c r="NE30">
        <f>NE2</f>
        <v>2019</v>
      </c>
      <c r="NF30">
        <f>NE3</f>
        <v>2020</v>
      </c>
      <c r="NG30">
        <f>NE4</f>
        <v>2021</v>
      </c>
      <c r="NH30">
        <f>NE5</f>
        <v>2022</v>
      </c>
      <c r="NI30">
        <f>NE6</f>
        <v>2023</v>
      </c>
      <c r="NJ30">
        <f>NE7</f>
        <v>2024</v>
      </c>
      <c r="NK30">
        <f>NE8</f>
        <v>2025</v>
      </c>
      <c r="NM30">
        <f>NM2</f>
        <v>2019</v>
      </c>
      <c r="NN30">
        <f>NM3</f>
        <v>2020</v>
      </c>
      <c r="NO30">
        <f>NM4</f>
        <v>2021</v>
      </c>
      <c r="NP30">
        <f>NM5</f>
        <v>2022</v>
      </c>
      <c r="NQ30">
        <f>NM6</f>
        <v>2023</v>
      </c>
      <c r="NR30">
        <f>NM7</f>
        <v>2024</v>
      </c>
      <c r="NS30">
        <f>NM8</f>
        <v>2025</v>
      </c>
      <c r="NU30">
        <f>NU2</f>
        <v>2019</v>
      </c>
      <c r="NV30">
        <f>NU3</f>
        <v>2020</v>
      </c>
      <c r="NW30">
        <f>NU4</f>
        <v>2021</v>
      </c>
      <c r="NX30">
        <f>NU5</f>
        <v>2022</v>
      </c>
      <c r="NY30">
        <f>NU6</f>
        <v>2023</v>
      </c>
      <c r="NZ30">
        <f>NU7</f>
        <v>2024</v>
      </c>
      <c r="OA30">
        <f>NU8</f>
        <v>2025</v>
      </c>
      <c r="OC30">
        <f>OC2</f>
        <v>2019</v>
      </c>
      <c r="OD30">
        <f>OC3</f>
        <v>2020</v>
      </c>
      <c r="OE30">
        <f>OC4</f>
        <v>2021</v>
      </c>
      <c r="OF30">
        <f>OC5</f>
        <v>2022</v>
      </c>
      <c r="OG30">
        <f>OC6</f>
        <v>2023</v>
      </c>
      <c r="OH30">
        <f>OC7</f>
        <v>2024</v>
      </c>
      <c r="OI30">
        <f>OC8</f>
        <v>2025</v>
      </c>
      <c r="OK30">
        <f>OK2</f>
        <v>2019</v>
      </c>
      <c r="OL30">
        <f>OK3</f>
        <v>2020</v>
      </c>
      <c r="OM30">
        <f>OK4</f>
        <v>2021</v>
      </c>
      <c r="ON30">
        <f>OK5</f>
        <v>2022</v>
      </c>
      <c r="OO30">
        <f>OK6</f>
        <v>2023</v>
      </c>
      <c r="OP30">
        <f>OK7</f>
        <v>2024</v>
      </c>
      <c r="OQ30">
        <f>OK8</f>
        <v>2025</v>
      </c>
      <c r="OS30">
        <f>OS2</f>
        <v>2019</v>
      </c>
      <c r="OT30">
        <f>OS3</f>
        <v>2020</v>
      </c>
      <c r="OU30">
        <f>OS4</f>
        <v>2021</v>
      </c>
      <c r="OV30">
        <f>OS5</f>
        <v>2022</v>
      </c>
      <c r="OW30">
        <f>OS6</f>
        <v>2023</v>
      </c>
      <c r="OX30">
        <f>OS7</f>
        <v>2024</v>
      </c>
      <c r="OY30">
        <f>OS8</f>
        <v>2025</v>
      </c>
      <c r="PA30">
        <f>PA2</f>
        <v>2019</v>
      </c>
      <c r="PB30">
        <f>PA3</f>
        <v>2020</v>
      </c>
      <c r="PC30">
        <f>PA4</f>
        <v>2021</v>
      </c>
      <c r="PD30">
        <f>PA5</f>
        <v>2022</v>
      </c>
      <c r="PE30">
        <f>PA6</f>
        <v>2023</v>
      </c>
      <c r="PF30">
        <f>PA7</f>
        <v>2024</v>
      </c>
      <c r="PG30">
        <f>PA8</f>
        <v>2025</v>
      </c>
      <c r="PI30">
        <f>PI2</f>
        <v>2019</v>
      </c>
      <c r="PJ30">
        <f>PI3</f>
        <v>2020</v>
      </c>
      <c r="PK30">
        <f>PI4</f>
        <v>2021</v>
      </c>
      <c r="PL30">
        <f>PI5</f>
        <v>2022</v>
      </c>
      <c r="PM30">
        <f>PI6</f>
        <v>2023</v>
      </c>
      <c r="PN30">
        <f>PI7</f>
        <v>2024</v>
      </c>
      <c r="PO30">
        <f>PI8</f>
        <v>2025</v>
      </c>
      <c r="PQ30">
        <f>PQ2</f>
        <v>2019</v>
      </c>
      <c r="PR30">
        <f>PQ3</f>
        <v>2020</v>
      </c>
      <c r="PS30">
        <f>PQ4</f>
        <v>2021</v>
      </c>
      <c r="PT30">
        <f>PQ5</f>
        <v>2022</v>
      </c>
      <c r="PU30">
        <f>PQ6</f>
        <v>2023</v>
      </c>
      <c r="PV30">
        <f>PQ7</f>
        <v>2024</v>
      </c>
      <c r="PW30">
        <f>PQ8</f>
        <v>2025</v>
      </c>
      <c r="PY30">
        <f>PY2</f>
        <v>2019</v>
      </c>
      <c r="PZ30">
        <f>PY3</f>
        <v>2020</v>
      </c>
      <c r="QA30">
        <f>PY4</f>
        <v>2021</v>
      </c>
      <c r="QB30">
        <f>PY5</f>
        <v>2022</v>
      </c>
      <c r="QC30">
        <f>PY6</f>
        <v>2023</v>
      </c>
      <c r="QD30">
        <f>PY7</f>
        <v>2024</v>
      </c>
      <c r="QE30">
        <f>PY8</f>
        <v>2025</v>
      </c>
    </row>
    <row r="31" spans="1:487" x14ac:dyDescent="0.45">
      <c r="A31" s="5">
        <f>G2</f>
        <v>0</v>
      </c>
      <c r="B31" s="5">
        <f>G3</f>
        <v>0</v>
      </c>
      <c r="C31" s="5">
        <f>G4</f>
        <v>0</v>
      </c>
      <c r="D31" s="5">
        <f>G5</f>
        <v>0</v>
      </c>
      <c r="E31" s="5">
        <f>G6</f>
        <v>2.4210901317297369E-2</v>
      </c>
      <c r="F31" s="5">
        <f>G7</f>
        <v>0.11297558200512696</v>
      </c>
      <c r="G31" s="5">
        <f>G8</f>
        <v>9.9951874035706691E-3</v>
      </c>
      <c r="I31" s="5">
        <f>O2</f>
        <v>0</v>
      </c>
      <c r="J31" s="5">
        <f>O3</f>
        <v>0</v>
      </c>
      <c r="K31" s="5">
        <f>O4</f>
        <v>0</v>
      </c>
      <c r="L31" s="5">
        <f>O5</f>
        <v>0</v>
      </c>
      <c r="M31" s="5">
        <f>O6</f>
        <v>0</v>
      </c>
      <c r="N31" s="5">
        <f>O7</f>
        <v>0.32356664254782208</v>
      </c>
      <c r="O31" s="5">
        <f>O8</f>
        <v>5.1415384289161002E-2</v>
      </c>
      <c r="Q31" s="5">
        <f>W2</f>
        <v>5.5775284337631188E-2</v>
      </c>
      <c r="R31" s="5">
        <f>W3</f>
        <v>0.14451416407392118</v>
      </c>
      <c r="S31" s="5">
        <f>W4</f>
        <v>7.0708937979033132E-2</v>
      </c>
      <c r="T31" s="5">
        <f>W5</f>
        <v>8.3715195799845404E-2</v>
      </c>
      <c r="U31" s="5">
        <f>W6</f>
        <v>0.22445647671867744</v>
      </c>
      <c r="V31" s="5">
        <f>W7</f>
        <v>0.17872950986513456</v>
      </c>
      <c r="W31" s="5">
        <f>W8</f>
        <v>6.5001726505101387E-2</v>
      </c>
      <c r="Y31" s="5">
        <f>AE2</f>
        <v>0.28420826543692868</v>
      </c>
      <c r="Z31" s="5">
        <f>AE3</f>
        <v>0.19932377816913158</v>
      </c>
      <c r="AA31" s="5">
        <f>AE4</f>
        <v>0.17377612444519785</v>
      </c>
      <c r="AB31" s="5">
        <f>AE5</f>
        <v>0.12413201260517191</v>
      </c>
      <c r="AC31" s="5">
        <f>AE6</f>
        <v>0.5471695608846765</v>
      </c>
      <c r="AD31" s="5">
        <f>AE7</f>
        <v>0.55421571055864793</v>
      </c>
      <c r="AE31" s="5">
        <f>AE8</f>
        <v>0.33127089565495288</v>
      </c>
      <c r="AG31" s="5">
        <f>AM2</f>
        <v>2.304297112104714E-2</v>
      </c>
      <c r="AH31" s="5">
        <f>AM3</f>
        <v>0.3878417016805934</v>
      </c>
      <c r="AI31" s="5">
        <f>AM4</f>
        <v>0.12730488899478898</v>
      </c>
      <c r="AJ31" s="5">
        <f>AM5</f>
        <v>0.13046744097825774</v>
      </c>
      <c r="AK31" s="5">
        <f>AM6</f>
        <v>0.22267117754498927</v>
      </c>
      <c r="AL31" s="5">
        <f>AM7</f>
        <v>0.30696378116375417</v>
      </c>
      <c r="AM31" s="5">
        <f>AM8</f>
        <v>0.15124947046515763</v>
      </c>
      <c r="AO31" s="5">
        <f>AU2</f>
        <v>1.1807773519184939E-2</v>
      </c>
      <c r="AP31" s="5">
        <f>AU3</f>
        <v>0.5657577598473047</v>
      </c>
      <c r="AQ31" s="5">
        <f>AU4</f>
        <v>0.21113124027005384</v>
      </c>
      <c r="AR31" s="5">
        <f>AU5</f>
        <v>0.29852170485430385</v>
      </c>
      <c r="AS31" s="5">
        <f>AU6</f>
        <v>0.57087694459159255</v>
      </c>
      <c r="AT31" s="5">
        <f>AU7</f>
        <v>0.53982378252430263</v>
      </c>
      <c r="AU31" s="5">
        <f>AU8</f>
        <v>0.53968369174503927</v>
      </c>
      <c r="AW31" s="5">
        <f>BC2</f>
        <v>0</v>
      </c>
      <c r="AX31" s="5">
        <f>BC3</f>
        <v>0</v>
      </c>
      <c r="AY31" s="5">
        <f>BC4</f>
        <v>0</v>
      </c>
      <c r="AZ31" s="5">
        <f>BC5</f>
        <v>0</v>
      </c>
      <c r="BA31" s="5">
        <f>BC6</f>
        <v>0</v>
      </c>
      <c r="BB31" s="5">
        <f>BC7</f>
        <v>0</v>
      </c>
      <c r="BC31" s="5">
        <f>BC8</f>
        <v>0</v>
      </c>
      <c r="BE31" s="5">
        <f>BK2</f>
        <v>0</v>
      </c>
      <c r="BF31" s="5">
        <f>BK3</f>
        <v>0</v>
      </c>
      <c r="BG31" s="5">
        <f>BK4</f>
        <v>0</v>
      </c>
      <c r="BH31" s="5">
        <f>BK5</f>
        <v>0</v>
      </c>
      <c r="BI31" s="5">
        <f>BK6</f>
        <v>0</v>
      </c>
      <c r="BJ31" s="5">
        <f>BK7</f>
        <v>0</v>
      </c>
      <c r="BK31" s="5">
        <f>BK8</f>
        <v>0</v>
      </c>
      <c r="BM31" s="5">
        <f>BS2</f>
        <v>1.5021941619212604E-2</v>
      </c>
      <c r="BN31" s="5">
        <f>BS3</f>
        <v>0.13292107132767988</v>
      </c>
      <c r="BO31" s="5">
        <f>BS4</f>
        <v>2.0523633646639207E-2</v>
      </c>
      <c r="BP31" s="5">
        <f>BS5</f>
        <v>3.9590270466914376E-3</v>
      </c>
      <c r="BQ31" s="5">
        <f>BS6</f>
        <v>4.8253518187970509E-2</v>
      </c>
      <c r="BR31" s="5">
        <f>BS7</f>
        <v>5.0529363063477545E-3</v>
      </c>
      <c r="BS31" s="5">
        <f>BS8</f>
        <v>1.9714540572602951E-3</v>
      </c>
      <c r="BU31" s="5">
        <f>CA2</f>
        <v>8.2035743495987731E-2</v>
      </c>
      <c r="BV31" s="5">
        <f>CA3</f>
        <v>0.26789421366755567</v>
      </c>
      <c r="BW31" s="5">
        <f>CA4</f>
        <v>0.23078085360764161</v>
      </c>
      <c r="BX31" s="5">
        <f>CA5</f>
        <v>5.173140169821603E-2</v>
      </c>
      <c r="BY31" s="5">
        <f>CA6</f>
        <v>0.30620473008252241</v>
      </c>
      <c r="BZ31" s="5">
        <f>CA7</f>
        <v>0.35523413850159097</v>
      </c>
      <c r="CA31" s="5">
        <f>CA8</f>
        <v>0.17115216866619942</v>
      </c>
      <c r="CC31" s="5">
        <f>CI2</f>
        <v>4.9309727776318861E-2</v>
      </c>
      <c r="CD31" s="5">
        <f>CI3</f>
        <v>0</v>
      </c>
      <c r="CE31" s="5">
        <f>CI4</f>
        <v>0</v>
      </c>
      <c r="CF31" s="5">
        <f>CI5</f>
        <v>0</v>
      </c>
      <c r="CG31" s="5">
        <f>CI6</f>
        <v>0</v>
      </c>
      <c r="CH31" s="5">
        <f>CI7</f>
        <v>0</v>
      </c>
      <c r="CI31" s="5">
        <f>CI8</f>
        <v>0</v>
      </c>
      <c r="CK31" s="5">
        <f>CQ2</f>
        <v>0</v>
      </c>
      <c r="CL31" s="5">
        <f>CQ3</f>
        <v>0</v>
      </c>
      <c r="CM31" s="5">
        <f>CQ4</f>
        <v>0</v>
      </c>
      <c r="CN31" s="5">
        <f>CQ5</f>
        <v>0</v>
      </c>
      <c r="CO31" s="5">
        <f>CQ6</f>
        <v>0</v>
      </c>
      <c r="CP31" s="5">
        <f>CQ7</f>
        <v>0</v>
      </c>
      <c r="CQ31" s="5">
        <f>CQ8</f>
        <v>0</v>
      </c>
      <c r="CS31" s="5">
        <f>CY2</f>
        <v>4.787499419544549E-2</v>
      </c>
      <c r="CT31" s="5">
        <f>CY3</f>
        <v>0.23284122121665513</v>
      </c>
      <c r="CU31" s="5">
        <f>CY4</f>
        <v>0.13909616231124988</v>
      </c>
      <c r="CV31" s="5">
        <f>CY5</f>
        <v>4.0858102894239058E-2</v>
      </c>
      <c r="CW31" s="5">
        <f>CY6</f>
        <v>2.2120370092651588E-2</v>
      </c>
      <c r="CX31" s="5">
        <f>CY7</f>
        <v>0.10287640780377083</v>
      </c>
      <c r="CY31" s="5">
        <f>CY8</f>
        <v>0</v>
      </c>
      <c r="DA31" s="5">
        <f>DG2</f>
        <v>0.15042161813205565</v>
      </c>
      <c r="DB31" s="5">
        <f>DG3</f>
        <v>0.29601776701523341</v>
      </c>
      <c r="DC31" s="5">
        <f>DG4</f>
        <v>0.27232097163319835</v>
      </c>
      <c r="DD31" s="5">
        <f>DG5</f>
        <v>3.8641286211090975E-2</v>
      </c>
      <c r="DE31" s="5">
        <f>DG6</f>
        <v>0.30091663837086768</v>
      </c>
      <c r="DF31" s="5">
        <f>DG7</f>
        <v>0</v>
      </c>
      <c r="DG31" s="5">
        <f>DG8</f>
        <v>0</v>
      </c>
      <c r="DI31" s="5">
        <f>DO2</f>
        <v>0</v>
      </c>
      <c r="DJ31" s="5">
        <f>DO3</f>
        <v>0</v>
      </c>
      <c r="DK31" s="5">
        <f>DO4</f>
        <v>0</v>
      </c>
      <c r="DL31" s="5">
        <f>DO5</f>
        <v>0</v>
      </c>
      <c r="DM31" s="5">
        <f>DO6</f>
        <v>0</v>
      </c>
      <c r="DN31" s="5">
        <f>DO7</f>
        <v>0</v>
      </c>
      <c r="DO31" s="5">
        <f>DO8</f>
        <v>0</v>
      </c>
      <c r="DQ31" s="5">
        <f>DW2</f>
        <v>0</v>
      </c>
      <c r="DR31" s="5">
        <f>DW3</f>
        <v>0</v>
      </c>
      <c r="DS31" s="5">
        <f>DW4</f>
        <v>0</v>
      </c>
      <c r="DT31" s="5">
        <f>DW5</f>
        <v>0</v>
      </c>
      <c r="DU31" s="5">
        <f>DW6</f>
        <v>0</v>
      </c>
      <c r="DV31" s="5">
        <f>DW7</f>
        <v>0</v>
      </c>
      <c r="DW31" s="5">
        <f>DW8</f>
        <v>0</v>
      </c>
      <c r="DY31" s="5">
        <f>EE2</f>
        <v>0.18678504939702459</v>
      </c>
      <c r="DZ31" s="5">
        <f>EE3</f>
        <v>0.39575425486085847</v>
      </c>
      <c r="EA31" s="5">
        <f>EE4</f>
        <v>0.26259404041381085</v>
      </c>
      <c r="EB31" s="5">
        <f>EE5</f>
        <v>0.21330315809056716</v>
      </c>
      <c r="EC31" s="5">
        <f>EE6</f>
        <v>0.35325458104204666</v>
      </c>
      <c r="ED31" s="5">
        <f>EE7</f>
        <v>7.7306729082456407E-2</v>
      </c>
      <c r="EE31" s="5">
        <f>EE8</f>
        <v>2.7049647790688434E-2</v>
      </c>
      <c r="EG31" s="5">
        <f>EM2</f>
        <v>0.31447423074424308</v>
      </c>
      <c r="EH31" s="5">
        <f>EM3</f>
        <v>0.53412778161485375</v>
      </c>
      <c r="EI31" s="5">
        <f>EM4</f>
        <v>0.49241431133578589</v>
      </c>
      <c r="EJ31" s="5">
        <f>EM5</f>
        <v>0.48126678709906073</v>
      </c>
      <c r="EK31" s="5">
        <f>EM6</f>
        <v>0.62335945928239422</v>
      </c>
      <c r="EL31" s="5">
        <f>EM7</f>
        <v>0.43168403049221232</v>
      </c>
      <c r="EM31" s="5">
        <f>EM8</f>
        <v>0.48718584022195144</v>
      </c>
      <c r="EO31" s="5">
        <f>EU2</f>
        <v>6.8734176962897131E-2</v>
      </c>
      <c r="EP31" s="5">
        <f>EU3</f>
        <v>0.20861299154065782</v>
      </c>
      <c r="EQ31" s="5">
        <f>EU4</f>
        <v>0.10936330741432684</v>
      </c>
      <c r="ER31" s="5">
        <f>EU5</f>
        <v>8.1108824981693639E-2</v>
      </c>
      <c r="ES31" s="5">
        <f>EU6</f>
        <v>0.15762866978083007</v>
      </c>
      <c r="ET31" s="5">
        <f>EU7</f>
        <v>0.11448781997407037</v>
      </c>
      <c r="EU31" s="5">
        <f>EU8</f>
        <v>0.15635060493054265</v>
      </c>
      <c r="EW31" s="5">
        <f>FC2</f>
        <v>0.22102807594396157</v>
      </c>
      <c r="EX31" s="5">
        <f>FC3</f>
        <v>0.39633159927334727</v>
      </c>
      <c r="EY31" s="5">
        <f>FC4</f>
        <v>0.24271831357470744</v>
      </c>
      <c r="EZ31" s="5">
        <f>FC5</f>
        <v>0.15813216349951448</v>
      </c>
      <c r="FA31" s="5">
        <f>FC6</f>
        <v>0.52325535424866698</v>
      </c>
      <c r="FB31" s="5">
        <f>FC7</f>
        <v>0.48931537184993812</v>
      </c>
      <c r="FC31" s="5">
        <f>FC8</f>
        <v>0.33946584391365742</v>
      </c>
      <c r="FE31" s="5">
        <f>FK2</f>
        <v>0</v>
      </c>
      <c r="FF31" s="5">
        <f>FK3</f>
        <v>0</v>
      </c>
      <c r="FG31" s="5">
        <f>FK4</f>
        <v>0</v>
      </c>
      <c r="FH31" s="5">
        <f>FK5</f>
        <v>0</v>
      </c>
      <c r="FI31" s="5">
        <f>FK6</f>
        <v>0</v>
      </c>
      <c r="FJ31" s="5">
        <f>FK7</f>
        <v>0</v>
      </c>
      <c r="FK31" s="5">
        <f>FK8</f>
        <v>0</v>
      </c>
      <c r="FM31" s="5">
        <f>FS2</f>
        <v>0</v>
      </c>
      <c r="FN31" s="5">
        <f>FS3</f>
        <v>0</v>
      </c>
      <c r="FO31" s="5">
        <f>FS4</f>
        <v>0</v>
      </c>
      <c r="FP31" s="5">
        <f>FS5</f>
        <v>0</v>
      </c>
      <c r="FQ31" s="5">
        <f>FS6</f>
        <v>0</v>
      </c>
      <c r="FR31" s="5">
        <f>FS7</f>
        <v>0</v>
      </c>
      <c r="FS31" s="5">
        <f>FS8</f>
        <v>0</v>
      </c>
      <c r="FU31" s="5">
        <f>GA2</f>
        <v>0</v>
      </c>
      <c r="FV31" s="5">
        <f>GA3</f>
        <v>0</v>
      </c>
      <c r="FW31" s="5">
        <f>GA4</f>
        <v>0</v>
      </c>
      <c r="FX31" s="5">
        <f>GA5</f>
        <v>0</v>
      </c>
      <c r="FY31" s="5">
        <f>GA6</f>
        <v>0</v>
      </c>
      <c r="FZ31" s="5">
        <f>GA7</f>
        <v>0</v>
      </c>
      <c r="GA31" s="5">
        <f>GA8</f>
        <v>0</v>
      </c>
      <c r="GC31" s="5">
        <f>GI2</f>
        <v>0</v>
      </c>
      <c r="GD31" s="5">
        <f>GI3</f>
        <v>0</v>
      </c>
      <c r="GE31" s="5">
        <f>GI4</f>
        <v>0</v>
      </c>
      <c r="GF31" s="5">
        <f>GI5</f>
        <v>0</v>
      </c>
      <c r="GG31" s="5">
        <f>GI6</f>
        <v>0</v>
      </c>
      <c r="GH31" s="5">
        <f>GI7</f>
        <v>0</v>
      </c>
      <c r="GI31" s="5">
        <f>GI8</f>
        <v>0</v>
      </c>
      <c r="GK31" s="5">
        <f>GQ2</f>
        <v>0</v>
      </c>
      <c r="GL31" s="5">
        <f>GQ3</f>
        <v>7.7831623817863849E-2</v>
      </c>
      <c r="GM31" s="5">
        <f>GQ4</f>
        <v>0</v>
      </c>
      <c r="GN31" s="5">
        <f>GQ5</f>
        <v>0</v>
      </c>
      <c r="GO31" s="5">
        <f>GQ6</f>
        <v>0</v>
      </c>
      <c r="GP31" s="5">
        <f>GQ7</f>
        <v>0</v>
      </c>
      <c r="GQ31" s="5">
        <f>GQ8</f>
        <v>0</v>
      </c>
      <c r="GS31" s="5">
        <f>GY2</f>
        <v>0</v>
      </c>
      <c r="GT31" s="5">
        <f>GY3</f>
        <v>0.25285730504724613</v>
      </c>
      <c r="GU31" s="5">
        <f>GY4</f>
        <v>0</v>
      </c>
      <c r="GV31" s="5">
        <f>GY5</f>
        <v>0</v>
      </c>
      <c r="GW31" s="5">
        <f>GY6</f>
        <v>0</v>
      </c>
      <c r="GX31" s="5">
        <f>GY7</f>
        <v>0</v>
      </c>
      <c r="GY31" s="5">
        <f>GY8</f>
        <v>0</v>
      </c>
      <c r="HA31" s="5">
        <f>HG2</f>
        <v>0</v>
      </c>
      <c r="HB31" s="5">
        <f>HG3</f>
        <v>0</v>
      </c>
      <c r="HC31" s="5">
        <f>HG4</f>
        <v>0</v>
      </c>
      <c r="HD31" s="5">
        <f>HG5</f>
        <v>3.4377632563245504E-2</v>
      </c>
      <c r="HE31" s="5">
        <f>HG6</f>
        <v>0.16408023497465682</v>
      </c>
      <c r="HF31" s="5">
        <f>HG7</f>
        <v>0.1514574738640263</v>
      </c>
      <c r="HG31" s="5">
        <f>HG8</f>
        <v>2.1740433066132665E-2</v>
      </c>
      <c r="HI31" s="5">
        <f>HO2</f>
        <v>0</v>
      </c>
      <c r="HJ31" s="5">
        <f>HO3</f>
        <v>0</v>
      </c>
      <c r="HK31" s="5">
        <f>HO4</f>
        <v>0</v>
      </c>
      <c r="HL31" s="5">
        <f>HO5</f>
        <v>9.3288931472851513E-2</v>
      </c>
      <c r="HM31" s="5">
        <f>HO6</f>
        <v>0.22086483351147168</v>
      </c>
      <c r="HN31" s="5">
        <f>HO7</f>
        <v>0.28153672462552592</v>
      </c>
      <c r="HO31" s="5">
        <f>HO8</f>
        <v>0.18448036162851236</v>
      </c>
      <c r="HQ31" s="5">
        <f>HW2</f>
        <v>0</v>
      </c>
      <c r="HR31" s="5">
        <f>HW3</f>
        <v>0</v>
      </c>
      <c r="HS31" s="5">
        <f>HW4</f>
        <v>0</v>
      </c>
      <c r="HT31" s="5">
        <f>HW5</f>
        <v>3.4643669420382495E-3</v>
      </c>
      <c r="HU31" s="5">
        <f>HW6</f>
        <v>0.11600526455979068</v>
      </c>
      <c r="HV31" s="5">
        <f>HW7</f>
        <v>0.19909285648082933</v>
      </c>
      <c r="HW31" s="5">
        <f>HW8</f>
        <v>0.23809365955990458</v>
      </c>
      <c r="HY31" s="5">
        <f>IE2</f>
        <v>0</v>
      </c>
      <c r="HZ31" s="5">
        <f>IE3</f>
        <v>0</v>
      </c>
      <c r="IA31" s="5">
        <f>IE4</f>
        <v>0</v>
      </c>
      <c r="IB31" s="5">
        <f>IE5</f>
        <v>6.0484636443921937E-3</v>
      </c>
      <c r="IC31" s="5">
        <f>IE6</f>
        <v>0.28438303108585788</v>
      </c>
      <c r="ID31" s="5">
        <f>IE7</f>
        <v>0.57794792488073987</v>
      </c>
      <c r="IE31" s="5">
        <f>IE8</f>
        <v>0</v>
      </c>
      <c r="IG31" s="5">
        <f>IM2</f>
        <v>0</v>
      </c>
      <c r="IH31" s="5">
        <f>IM3</f>
        <v>0</v>
      </c>
      <c r="II31" s="5">
        <f>IM4</f>
        <v>5.0463891798771818E-3</v>
      </c>
      <c r="IJ31" s="5">
        <f>IM5</f>
        <v>6.4146002141382205E-3</v>
      </c>
      <c r="IK31" s="5">
        <f>IM6</f>
        <v>0.13915048905235808</v>
      </c>
      <c r="IL31" s="5">
        <f>IM7</f>
        <v>0.23705698516232154</v>
      </c>
      <c r="IM31" s="5">
        <f>IM8</f>
        <v>0.1078893404432846</v>
      </c>
      <c r="IO31" s="5">
        <f>IU2</f>
        <v>0</v>
      </c>
      <c r="IP31" s="5">
        <f>IU3</f>
        <v>0</v>
      </c>
      <c r="IQ31" s="5">
        <f>IU4</f>
        <v>0</v>
      </c>
      <c r="IR31" s="5">
        <f>IU5</f>
        <v>1.1806758290707629E-2</v>
      </c>
      <c r="IS31" s="5">
        <f>IU6</f>
        <v>0.34247266955111461</v>
      </c>
      <c r="IT31" s="5">
        <f>IU7</f>
        <v>0.6311266625178118</v>
      </c>
      <c r="IU31" s="5">
        <f>IU8</f>
        <v>0.23809365955990458</v>
      </c>
      <c r="IW31" s="5">
        <f>JC2</f>
        <v>0</v>
      </c>
      <c r="IX31" s="5">
        <f>JC3</f>
        <v>0</v>
      </c>
      <c r="IY31" s="5">
        <f>JC4</f>
        <v>0</v>
      </c>
      <c r="IZ31" s="5">
        <f>JC5</f>
        <v>0</v>
      </c>
      <c r="JA31" s="5">
        <f>JC6</f>
        <v>0</v>
      </c>
      <c r="JB31" s="5">
        <f>JC7</f>
        <v>0</v>
      </c>
      <c r="JC31" s="5">
        <f>JC8</f>
        <v>0</v>
      </c>
      <c r="JE31" s="5">
        <f>JK2</f>
        <v>0</v>
      </c>
      <c r="JF31" s="5">
        <f>JK3</f>
        <v>0</v>
      </c>
      <c r="JG31" s="5">
        <f>JK4</f>
        <v>0</v>
      </c>
      <c r="JH31" s="5">
        <f>JK5</f>
        <v>0</v>
      </c>
      <c r="JI31" s="5">
        <f>JK6</f>
        <v>0</v>
      </c>
      <c r="JJ31" s="5">
        <f>JK7</f>
        <v>0</v>
      </c>
      <c r="JK31" s="5">
        <f>JK8</f>
        <v>0</v>
      </c>
      <c r="JM31" s="5">
        <f>JS2</f>
        <v>0</v>
      </c>
      <c r="JN31" s="5">
        <f>JS3</f>
        <v>0</v>
      </c>
      <c r="JO31" s="5">
        <f>JS4</f>
        <v>0</v>
      </c>
      <c r="JP31" s="5">
        <f>JS5</f>
        <v>0</v>
      </c>
      <c r="JQ31" s="5">
        <f>JS6</f>
        <v>0</v>
      </c>
      <c r="JR31" s="5">
        <f>JS7</f>
        <v>0</v>
      </c>
      <c r="JS31" s="5">
        <f>JS8</f>
        <v>0</v>
      </c>
      <c r="JU31" s="5">
        <f>KA2</f>
        <v>0</v>
      </c>
      <c r="JV31" s="5">
        <f>KA3</f>
        <v>0</v>
      </c>
      <c r="JW31" s="5">
        <f>KA4</f>
        <v>0</v>
      </c>
      <c r="JX31" s="5">
        <f>KA5</f>
        <v>0</v>
      </c>
      <c r="JY31" s="5">
        <f>KA6</f>
        <v>0</v>
      </c>
      <c r="JZ31" s="5">
        <f>KA7</f>
        <v>0</v>
      </c>
      <c r="KA31" s="5">
        <f>KA8</f>
        <v>0</v>
      </c>
      <c r="KC31" s="5">
        <f>KI2</f>
        <v>5.3840010414532201E-2</v>
      </c>
      <c r="KD31" s="5">
        <f>KI3</f>
        <v>0.13402171451810785</v>
      </c>
      <c r="KE31" s="5">
        <f>KI4</f>
        <v>6.3399393675220489E-2</v>
      </c>
      <c r="KF31" s="5">
        <f>KI5</f>
        <v>7.3911887364684264E-2</v>
      </c>
      <c r="KG31" s="5">
        <f>KI6</f>
        <v>0.1475339489113062</v>
      </c>
      <c r="KH31" s="5">
        <f>KI7</f>
        <v>0.17373071336420828</v>
      </c>
      <c r="KI31" s="5">
        <f>KI8</f>
        <v>6.270584474674247E-2</v>
      </c>
      <c r="KK31" s="5">
        <f>KQ2</f>
        <v>6.70136608004996E-2</v>
      </c>
      <c r="KL31" s="5">
        <f>KQ3</f>
        <v>0.19109988985846119</v>
      </c>
      <c r="KM31" s="5">
        <f>KQ4</f>
        <v>0.15344718241788033</v>
      </c>
      <c r="KN31" s="5">
        <f>KQ5</f>
        <v>0.10838519974134581</v>
      </c>
      <c r="KO31" s="5">
        <f>KQ6</f>
        <v>0.33138982303237929</v>
      </c>
      <c r="KP31" s="5">
        <f>KQ7</f>
        <v>0.4175555528023065</v>
      </c>
      <c r="KQ31" s="5">
        <f>KQ8</f>
        <v>0.16397901773280521</v>
      </c>
      <c r="KS31" s="5">
        <f>KY2</f>
        <v>0</v>
      </c>
      <c r="KT31" s="5">
        <f>KY3</f>
        <v>0</v>
      </c>
      <c r="KU31" s="5">
        <f>KY4</f>
        <v>0.22056528002100295</v>
      </c>
      <c r="KV31" s="5">
        <f>KY5</f>
        <v>0</v>
      </c>
      <c r="KW31" s="5">
        <f>KY6</f>
        <v>0</v>
      </c>
      <c r="KX31" s="5">
        <f>KY7</f>
        <v>4.8751670194818186E-2</v>
      </c>
      <c r="KY31" s="5">
        <f>KY8</f>
        <v>0</v>
      </c>
      <c r="LA31" s="5">
        <f>LG2</f>
        <v>0</v>
      </c>
      <c r="LB31" s="5">
        <f>LG3</f>
        <v>0</v>
      </c>
      <c r="LC31" s="5">
        <f>LG4</f>
        <v>0.25</v>
      </c>
      <c r="LD31" s="5">
        <f>LG5</f>
        <v>0</v>
      </c>
      <c r="LE31" s="5">
        <f>LG6</f>
        <v>0</v>
      </c>
      <c r="LF31" s="5">
        <f>LG7</f>
        <v>0</v>
      </c>
      <c r="LG31" s="5">
        <f>LG8</f>
        <v>0</v>
      </c>
      <c r="LI31" s="5">
        <f>LO2</f>
        <v>2.5386848493703274E-3</v>
      </c>
      <c r="LJ31" s="5">
        <f>LO3</f>
        <v>0.29137996931886523</v>
      </c>
      <c r="LK31" s="5">
        <f>LO4</f>
        <v>6.0307130875190379E-2</v>
      </c>
      <c r="LL31" s="5">
        <f>LO5</f>
        <v>9.4047143050713711E-2</v>
      </c>
      <c r="LM31" s="5">
        <f>LO6</f>
        <v>0.12710994441446352</v>
      </c>
      <c r="LN31" s="5">
        <f>LO7</f>
        <v>0.13688965686439636</v>
      </c>
      <c r="LO31" s="5">
        <f>LO8</f>
        <v>0.14380878254115054</v>
      </c>
      <c r="LQ31" s="5">
        <f>LW2</f>
        <v>2.1918734659204745E-3</v>
      </c>
      <c r="LR31" s="5">
        <f>LW3</f>
        <v>0.57934763824409696</v>
      </c>
      <c r="LS31" s="5">
        <f>LW4</f>
        <v>0.22678849418139013</v>
      </c>
      <c r="LT31" s="5">
        <f>LW5</f>
        <v>0.27418479449281574</v>
      </c>
      <c r="LU31" s="5">
        <f>LW6</f>
        <v>0.33406641678691501</v>
      </c>
      <c r="LV31" s="5">
        <f>LW7</f>
        <v>0.32025210685065009</v>
      </c>
      <c r="LW31" s="5">
        <f>LW8</f>
        <v>0.28435341301162842</v>
      </c>
      <c r="LY31" s="5">
        <f>ME2</f>
        <v>3.6477118096634724E-2</v>
      </c>
      <c r="LZ31" s="5">
        <f>ME3</f>
        <v>0.13826086829635212</v>
      </c>
      <c r="MA31" s="5">
        <f>ME4</f>
        <v>8.2358504235901769E-2</v>
      </c>
      <c r="MB31" s="5">
        <f>ME5</f>
        <v>8.2274959810250875E-2</v>
      </c>
      <c r="MC31" s="5">
        <f>ME6</f>
        <v>1.6926832705674869E-2</v>
      </c>
      <c r="MD31" s="5">
        <f>ME7</f>
        <v>0.11166737616963696</v>
      </c>
      <c r="ME31" s="5">
        <f>ME8</f>
        <v>0</v>
      </c>
      <c r="MG31" s="5">
        <f>MM2</f>
        <v>0.32119980488436273</v>
      </c>
      <c r="MH31" s="5">
        <f>MM3</f>
        <v>0.508726363165101</v>
      </c>
      <c r="MI31" s="5">
        <f>MM4</f>
        <v>5.2189690635747417E-2</v>
      </c>
      <c r="MJ31" s="5">
        <f>MM5</f>
        <v>0.13202482000137494</v>
      </c>
      <c r="MK31" s="5">
        <f>MM6</f>
        <v>9.6535853797813237E-2</v>
      </c>
      <c r="ML31" s="5">
        <f>MM7</f>
        <v>0.36852987613844795</v>
      </c>
      <c r="MM31" s="5">
        <f>MM8</f>
        <v>0</v>
      </c>
      <c r="MO31" s="5">
        <f>MU2</f>
        <v>0</v>
      </c>
      <c r="MP31" s="5">
        <f>MU3</f>
        <v>0.22041218102651125</v>
      </c>
      <c r="MQ31" s="5">
        <f>MU4</f>
        <v>0</v>
      </c>
      <c r="MR31" s="5">
        <f>MU5</f>
        <v>0</v>
      </c>
      <c r="MS31" s="5">
        <f>MU6</f>
        <v>0.25</v>
      </c>
      <c r="MT31" s="5">
        <f>MU7</f>
        <v>0</v>
      </c>
      <c r="MU31" s="5">
        <f>MU8</f>
        <v>0</v>
      </c>
      <c r="MW31" s="5">
        <f>NC2</f>
        <v>0</v>
      </c>
      <c r="MX31" s="5">
        <f>NC3</f>
        <v>0</v>
      </c>
      <c r="MY31" s="5">
        <f>NC4</f>
        <v>0</v>
      </c>
      <c r="MZ31" s="5">
        <f>NC5</f>
        <v>0</v>
      </c>
      <c r="NA31" s="5">
        <f>NC6</f>
        <v>0</v>
      </c>
      <c r="NB31" s="5">
        <f>NC7</f>
        <v>0</v>
      </c>
      <c r="NC31" s="5">
        <f>NC8</f>
        <v>0</v>
      </c>
      <c r="NE31" s="5">
        <f>NK2</f>
        <v>0</v>
      </c>
      <c r="NF31" s="5">
        <f>NK3</f>
        <v>3.8667701366168164E-2</v>
      </c>
      <c r="NG31" s="5">
        <f>NK4</f>
        <v>1.0685400887948632E-2</v>
      </c>
      <c r="NH31" s="5">
        <f>NK5</f>
        <v>0</v>
      </c>
      <c r="NI31" s="5">
        <f>NK6</f>
        <v>0</v>
      </c>
      <c r="NJ31" s="5">
        <f>NK7</f>
        <v>0</v>
      </c>
      <c r="NK31" s="5">
        <f>NK8</f>
        <v>0</v>
      </c>
      <c r="NM31" s="5">
        <f>NS2</f>
        <v>0.33333333333333331</v>
      </c>
      <c r="NN31" s="5">
        <f>NS3</f>
        <v>0.27584841779042579</v>
      </c>
      <c r="NO31" s="5">
        <f>NS4</f>
        <v>0</v>
      </c>
      <c r="NP31" s="5">
        <f>NS5</f>
        <v>0</v>
      </c>
      <c r="NQ31" s="5">
        <f>NS6</f>
        <v>0</v>
      </c>
      <c r="NR31" s="5">
        <f>NS7</f>
        <v>0</v>
      </c>
      <c r="NS31" s="5">
        <f>NS8</f>
        <v>0</v>
      </c>
      <c r="NU31" s="5">
        <f>OA2</f>
        <v>3.9929230590671279E-2</v>
      </c>
      <c r="NV31" s="5">
        <f>OA3</f>
        <v>0.25351081501814926</v>
      </c>
      <c r="NW31" s="5">
        <f>OA4</f>
        <v>5.0799136619817886E-2</v>
      </c>
      <c r="NX31" s="5">
        <f>OA5</f>
        <v>5.8231388185033199E-2</v>
      </c>
      <c r="NY31" s="5">
        <f>OA6</f>
        <v>0.1069850493470057</v>
      </c>
      <c r="NZ31" s="5">
        <f>OA7</f>
        <v>0.1533970434176482</v>
      </c>
      <c r="OA31" s="5">
        <f>OA8</f>
        <v>6.9689646517474182E-2</v>
      </c>
      <c r="OC31" s="5">
        <f>OI2</f>
        <v>8.1199949528312873E-2</v>
      </c>
      <c r="OD31" s="5">
        <f>OI3</f>
        <v>0.39250571676141011</v>
      </c>
      <c r="OE31" s="5">
        <f>OI4</f>
        <v>0.16668660157765763</v>
      </c>
      <c r="OF31" s="5">
        <f>OI5</f>
        <v>0.16099600079371951</v>
      </c>
      <c r="OG31" s="5">
        <f>OI6</f>
        <v>0.38108994373566701</v>
      </c>
      <c r="OH31" s="5">
        <f>OI7</f>
        <v>0.51781932832052124</v>
      </c>
      <c r="OI31" s="5">
        <f>OI8</f>
        <v>0.29976471988322445</v>
      </c>
      <c r="OK31" s="5">
        <f>OQ2</f>
        <v>0</v>
      </c>
      <c r="OL31" s="5">
        <f>OQ3</f>
        <v>0</v>
      </c>
      <c r="OM31" s="5">
        <f>OQ4</f>
        <v>0</v>
      </c>
      <c r="ON31" s="5">
        <f>OQ5</f>
        <v>0</v>
      </c>
      <c r="OO31" s="5">
        <f>OQ6</f>
        <v>0.14936838767012817</v>
      </c>
      <c r="OP31" s="5">
        <f>OQ7</f>
        <v>0.13031120206362934</v>
      </c>
      <c r="OQ31" s="5">
        <f>OQ8</f>
        <v>8.7407509589983778E-2</v>
      </c>
      <c r="OS31" s="5">
        <f>OY2</f>
        <v>0</v>
      </c>
      <c r="OT31" s="5">
        <f>OY3</f>
        <v>0</v>
      </c>
      <c r="OU31" s="5">
        <f>OY4</f>
        <v>0</v>
      </c>
      <c r="OV31" s="5">
        <f>OY5</f>
        <v>0</v>
      </c>
      <c r="OW31" s="5">
        <f>OY6</f>
        <v>0.42847838969457391</v>
      </c>
      <c r="OX31" s="5">
        <f>OY7</f>
        <v>0.50557365834271784</v>
      </c>
      <c r="OY31" s="5">
        <f>OY8</f>
        <v>0.33955328467428902</v>
      </c>
      <c r="PA31" s="5">
        <f>PG2</f>
        <v>0</v>
      </c>
      <c r="PB31" s="5">
        <f>PG3</f>
        <v>0</v>
      </c>
      <c r="PC31" s="5">
        <f>PG4</f>
        <v>5.0157037037037036E-3</v>
      </c>
      <c r="PD31" s="5">
        <f>PG5</f>
        <v>0</v>
      </c>
      <c r="PE31" s="5">
        <f>PG6</f>
        <v>0</v>
      </c>
      <c r="PF31" s="5">
        <f>PG7</f>
        <v>0</v>
      </c>
      <c r="PG31" s="5">
        <f>PG8</f>
        <v>0</v>
      </c>
      <c r="PI31" s="5">
        <f>PO2</f>
        <v>0</v>
      </c>
      <c r="PJ31" s="5">
        <f>PO3</f>
        <v>0</v>
      </c>
      <c r="PK31" s="5">
        <f>PO4</f>
        <v>0.25</v>
      </c>
      <c r="PL31" s="5">
        <f>PO5</f>
        <v>0</v>
      </c>
      <c r="PM31" s="5">
        <f>PO6</f>
        <v>0</v>
      </c>
      <c r="PN31" s="5">
        <f>PO7</f>
        <v>0</v>
      </c>
      <c r="PO31" s="5">
        <f>PO8</f>
        <v>0</v>
      </c>
      <c r="PQ31" s="5">
        <f>PW2</f>
        <v>6.9851796247773601E-2</v>
      </c>
      <c r="PR31" s="5">
        <f>PW3</f>
        <v>0.22439234936790958</v>
      </c>
      <c r="PS31" s="5">
        <f>PW4</f>
        <v>4.4348933276305014E-2</v>
      </c>
      <c r="PT31" s="5">
        <f>PW5</f>
        <v>0.18261335871458906</v>
      </c>
      <c r="PU31" s="5">
        <f>PW6</f>
        <v>0.29025768403847174</v>
      </c>
      <c r="PV31" s="5">
        <f>PW7</f>
        <v>0.30614104833875971</v>
      </c>
      <c r="PW31" s="5">
        <f>PW8</f>
        <v>9.8306561013339677E-2</v>
      </c>
      <c r="PY31" s="5">
        <f>QE2</f>
        <v>0.11949318322786014</v>
      </c>
      <c r="PZ31" s="5">
        <f>QE3</f>
        <v>0.32516061006072228</v>
      </c>
      <c r="QA31" s="5">
        <f>QE4</f>
        <v>0.13085936714966753</v>
      </c>
      <c r="QB31" s="5">
        <f>QE5</f>
        <v>0.1874655550525029</v>
      </c>
      <c r="QC31" s="5">
        <f>QE6</f>
        <v>0.46560914390509678</v>
      </c>
      <c r="QD31" s="5">
        <f>QE7</f>
        <v>0.64826273671056545</v>
      </c>
      <c r="QE31" s="5">
        <f>QE8</f>
        <v>0.18103689811308138</v>
      </c>
      <c r="QG31" s="5"/>
      <c r="QH31" s="5"/>
      <c r="QI31" s="5"/>
      <c r="QJ31" s="5"/>
      <c r="QK31" s="5"/>
      <c r="QL31" s="5"/>
      <c r="QM31" s="5"/>
      <c r="QO31" s="5"/>
      <c r="QP31" s="5"/>
      <c r="QQ31" s="5"/>
      <c r="QR31" s="5"/>
      <c r="QS31" s="5"/>
      <c r="QT31" s="5"/>
      <c r="QU31" s="5"/>
      <c r="QW31" s="5"/>
      <c r="QX31" s="5"/>
      <c r="QY31" s="5"/>
      <c r="QZ31" s="5"/>
      <c r="RA31" s="5"/>
      <c r="RB31" s="5"/>
      <c r="RC31" s="5"/>
      <c r="RE31" s="5"/>
      <c r="RF31" s="5"/>
      <c r="RG31" s="5"/>
      <c r="RH31" s="5"/>
      <c r="RI31" s="5"/>
      <c r="RJ31" s="5"/>
      <c r="RK31" s="5"/>
      <c r="RM31" s="5"/>
      <c r="RN31" s="5"/>
      <c r="RO31" s="5"/>
      <c r="RP31" s="5"/>
      <c r="RQ31" s="5"/>
      <c r="RR31" s="5"/>
      <c r="RS31" s="5"/>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1CF43-992E-4FB3-8911-9A559DCE644F}">
  <sheetPr codeName="Sheet4"/>
  <dimension ref="A1:P68"/>
  <sheetViews>
    <sheetView topLeftCell="E1" workbookViewId="0">
      <selection activeCell="F2" sqref="F2"/>
    </sheetView>
  </sheetViews>
  <sheetFormatPr defaultRowHeight="14.25" x14ac:dyDescent="0.45"/>
  <cols>
    <col min="2" max="2" width="31.796875" bestFit="1" customWidth="1"/>
    <col min="4" max="4" width="10.6640625" customWidth="1"/>
    <col min="5" max="5" width="19" customWidth="1"/>
    <col min="6" max="6" width="24.6640625" customWidth="1"/>
    <col min="7" max="7" width="19.3984375" customWidth="1"/>
    <col min="8" max="8" width="16.86328125" customWidth="1"/>
    <col min="9" max="9" width="12.59765625" bestFit="1" customWidth="1"/>
  </cols>
  <sheetData>
    <row r="1" spans="1:16" x14ac:dyDescent="0.45">
      <c r="A1" s="31" t="s">
        <v>86</v>
      </c>
      <c r="B1" s="31" t="s">
        <v>83</v>
      </c>
      <c r="C1" s="31" t="s">
        <v>1</v>
      </c>
      <c r="D1" s="31" t="s">
        <v>35</v>
      </c>
      <c r="E1" s="31" t="s">
        <v>36</v>
      </c>
      <c r="F1" s="31" t="s">
        <v>37</v>
      </c>
      <c r="G1" s="31" t="s">
        <v>39</v>
      </c>
      <c r="H1" s="32" t="s">
        <v>40</v>
      </c>
      <c r="I1" s="31" t="s">
        <v>85</v>
      </c>
      <c r="J1" s="31">
        <v>2019</v>
      </c>
      <c r="K1" s="31">
        <v>2020</v>
      </c>
      <c r="L1" s="31">
        <v>2021</v>
      </c>
      <c r="M1" s="31">
        <v>2022</v>
      </c>
      <c r="N1" s="31">
        <v>2023</v>
      </c>
      <c r="O1" s="31">
        <v>2024</v>
      </c>
      <c r="P1" s="31">
        <v>2025</v>
      </c>
    </row>
    <row r="2" spans="1:16" x14ac:dyDescent="0.45">
      <c r="A2" s="6">
        <v>1</v>
      </c>
      <c r="B2" t="str" cm="1">
        <f t="array" ref="B2:B57">TRANSPOSE(_xlfn._xlws.FILTER('03. AvgSummary'!11:11,'03. AvgSummary'!11:11&lt;&gt;""))</f>
        <v>ProductType: AGRICULTURAL LOAN</v>
      </c>
      <c r="C2" t="str" cm="1">
        <f t="array" ref="C2:C57">TRANSPOSE(_xlfn._xlws.FILTER('03. AvgSummary'!12:12,'03. AvgSummary'!12:12&lt;&gt;""))</f>
        <v>Stage: 1</v>
      </c>
      <c r="D2" s="30" cm="1">
        <f t="array" ref="D2">IFERROR(_xlfn._xlws.FILTER('03. AvgSummary'!$26:$26,('03. AvgSummary'!$27:$27='04. Summary'!$B2)*('03. AvgSummary'!$28:$28='04. Summary'!$C2)*('03. AvgSummary'!$29:$29='04. Summary'!D$1)),0)</f>
        <v>0.45415929812477757</v>
      </c>
      <c r="E2" s="30" cm="1">
        <f t="array" ref="E2">IFERROR(_xlfn._xlws.FILTER('03. AvgSummary'!$26:$26,('03. AvgSummary'!$27:$27='04. Summary'!$B2)*('03. AvgSummary'!$28:$28='04. Summary'!$C2)*('03. AvgSummary'!$29:$29='04. Summary'!E$1)),0)</f>
        <v>-0.43160972017221649</v>
      </c>
      <c r="F2" s="30" cm="1">
        <f t="array" ref="F2">IFERROR(_xlfn._xlws.FILTER('03. AvgSummary'!$26:$26,('03. AvgSummary'!$27:$27='04. Summary'!$B2)*('03. AvgSummary'!$28:$28='04. Summary'!$C2)*('03. AvgSummary'!$29:$29='04. Summary'!F$1)),0)</f>
        <v>0.66814518242862631</v>
      </c>
      <c r="G2" s="30" cm="1">
        <f t="array" ref="G2">IFERROR(_xlfn._xlws.FILTER('03. AvgSummary'!$26:$26,('03. AvgSummary'!$27:$27='04. Summary'!$B2)*('03. AvgSummary'!$28:$28='04. Summary'!$C2)*('03. AvgSummary'!$29:$29='04. Summary'!G$1)),0)</f>
        <v>0.30686187552527977</v>
      </c>
      <c r="H2" s="30" cm="1">
        <f t="array" ref="H2">IFERROR(_xlfn._xlws.FILTER('03. AvgSummary'!$26:$26,('03. AvgSummary'!$27:$27='04. Summary'!$B2)*('03. AvgSummary'!$28:$28='04. Summary'!$C2)*('03. AvgSummary'!$29:$29='04. Summary'!H$1)),0)</f>
        <v>2.4433640935327501E-3</v>
      </c>
      <c r="I2" s="30" cm="1">
        <f t="array" ref="I2">IFERROR(_xlfn._xlws.FILTER('03. AvgSummary'!$26:$26,('03. AvgSummary'!$27:$27='04. Summary'!$B2)*('03. AvgSummary'!$28:$28='04. Summary'!$C2)*('03. AvgSummary'!$29:$29='04. Summary'!I$1)),0)</f>
        <v>2.102595296085643E-2</v>
      </c>
      <c r="J2" s="30" cm="1">
        <f t="array" ref="J2">IFERROR(_xlfn._xlws.FILTER('03. AvgSummary'!$31:$31,('03. AvgSummary'!$30:$30='04. Summary'!J$1)*('03. AvgSummary'!$28:$28='04. Summary'!$C2)*('03. AvgSummary'!$27:$27='04. Summary'!$B2)),0)</f>
        <v>0</v>
      </c>
      <c r="K2" s="30" cm="1">
        <f t="array" ref="K2">IFERROR(_xlfn._xlws.FILTER('03. AvgSummary'!$31:$31,('03. AvgSummary'!$30:$30='04. Summary'!K$1)*('03. AvgSummary'!$28:$28='04. Summary'!$C2)*('03. AvgSummary'!$27:$27='04. Summary'!$B2)),0)</f>
        <v>0</v>
      </c>
      <c r="L2" s="30" cm="1">
        <f t="array" ref="L2">IFERROR(_xlfn._xlws.FILTER('03. AvgSummary'!$31:$31,('03. AvgSummary'!$30:$30='04. Summary'!L$1)*('03. AvgSummary'!$28:$28='04. Summary'!$C2)*('03. AvgSummary'!$27:$27='04. Summary'!$B2)),0)</f>
        <v>0</v>
      </c>
      <c r="M2" s="30" cm="1">
        <f t="array" ref="M2">IFERROR(_xlfn._xlws.FILTER('03. AvgSummary'!$31:$31,('03. AvgSummary'!$30:$30='04. Summary'!M$1)*('03. AvgSummary'!$28:$28='04. Summary'!$C2)*('03. AvgSummary'!$27:$27='04. Summary'!$B2)),0)</f>
        <v>0</v>
      </c>
      <c r="N2" s="30" cm="1">
        <f t="array" ref="N2">IFERROR(_xlfn._xlws.FILTER('03. AvgSummary'!$31:$31,('03. AvgSummary'!$30:$30='04. Summary'!N$1)*('03. AvgSummary'!$28:$28='04. Summary'!$C2)*('03. AvgSummary'!$27:$27='04. Summary'!$B2)),0)</f>
        <v>2.4210901317297369E-2</v>
      </c>
      <c r="O2" s="30" cm="1">
        <f t="array" ref="O2">IFERROR(_xlfn._xlws.FILTER('03. AvgSummary'!$31:$31,('03. AvgSummary'!$30:$30='04. Summary'!O$1)*('03. AvgSummary'!$28:$28='04. Summary'!$C2)*('03. AvgSummary'!$27:$27='04. Summary'!$B2)),0)</f>
        <v>0.11297558200512696</v>
      </c>
      <c r="P2" s="30" cm="1">
        <f t="array" ref="P2">IFERROR(_xlfn._xlws.FILTER('03. AvgSummary'!$31:$31,('03. AvgSummary'!$30:$30='04. Summary'!P$1)*('03. AvgSummary'!$28:$28='04. Summary'!$C2)*('03. AvgSummary'!$27:$27='04. Summary'!$B2)),0)</f>
        <v>9.9951874035706691E-3</v>
      </c>
    </row>
    <row r="3" spans="1:16" x14ac:dyDescent="0.45">
      <c r="A3" s="6">
        <f>A2+1</f>
        <v>2</v>
      </c>
      <c r="B3" t="str">
        <v>ProductType: AGRICULTURAL LOAN</v>
      </c>
      <c r="C3" t="str">
        <v>Stage: 2</v>
      </c>
      <c r="D3" s="30" cm="1">
        <f t="array" ref="D3">IFERROR(_xlfn._xlws.FILTER('03. AvgSummary'!$26:$26,('03. AvgSummary'!$27:$27='04. Summary'!$B3)*('03. AvgSummary'!$28:$28='04. Summary'!$C3)*('03. AvgSummary'!$29:$29='04. Summary'!D$1)),0)</f>
        <v>-3.3398042793625926</v>
      </c>
      <c r="E3" s="30" cm="1">
        <f t="array" ref="E3">IFERROR(_xlfn._xlws.FILTER('03. AvgSummary'!$26:$26,('03. AvgSummary'!$27:$27='04. Summary'!$B3)*('03. AvgSummary'!$28:$28='04. Summary'!$C3)*('03. AvgSummary'!$29:$29='04. Summary'!E$1)),0)</f>
        <v>1.7004955090007741</v>
      </c>
      <c r="F3" s="30" cm="1">
        <f t="array" ref="F3">IFERROR(_xlfn._xlws.FILTER('03. AvgSummary'!$26:$26,('03. AvgSummary'!$27:$27='04. Summary'!$B3)*('03. AvgSummary'!$28:$28='04. Summary'!$C3)*('03. AvgSummary'!$29:$29='04. Summary'!F$1)),0)</f>
        <v>1.7054161127452599E-2</v>
      </c>
      <c r="G3" s="30" cm="1">
        <f t="array" ref="G3">IFERROR(_xlfn._xlws.FILTER('03. AvgSummary'!$26:$26,('03. AvgSummary'!$27:$27='04. Summary'!$B3)*('03. AvgSummary'!$28:$28='04. Summary'!$C3)*('03. AvgSummary'!$29:$29='04. Summary'!G$1)),0)</f>
        <v>2.6359089230304913</v>
      </c>
      <c r="H3" s="30" cm="1">
        <f t="array" ref="H3">IFERROR(_xlfn._xlws.FILTER('03. AvgSummary'!$26:$26,('03. AvgSummary'!$27:$27='04. Summary'!$B3)*('03. AvgSummary'!$28:$28='04. Summary'!$C3)*('03. AvgSummary'!$29:$29='04. Summary'!H$1)),0)</f>
        <v>-1.3654313796125158E-2</v>
      </c>
      <c r="I3" s="30" cm="1">
        <f t="array" ref="I3">IFERROR(_xlfn._xlws.FILTER('03. AvgSummary'!$26:$26,('03. AvgSummary'!$27:$27='04. Summary'!$B3)*('03. AvgSummary'!$28:$28='04. Summary'!$C3)*('03. AvgSummary'!$29:$29='04. Summary'!I$1)),0)</f>
        <v>5.3568860976711867E-2</v>
      </c>
      <c r="J3" s="30" cm="1">
        <f t="array" ref="J3">IFERROR(_xlfn._xlws.FILTER('03. AvgSummary'!$31:$31,('03. AvgSummary'!$30:$30='04. Summary'!J$1)*('03. AvgSummary'!$28:$28='04. Summary'!$C3)*('03. AvgSummary'!$27:$27='04. Summary'!$B3)),0)</f>
        <v>0</v>
      </c>
      <c r="K3" s="30" cm="1">
        <f t="array" ref="K3">IFERROR(_xlfn._xlws.FILTER('03. AvgSummary'!$31:$31,('03. AvgSummary'!$30:$30='04. Summary'!K$1)*('03. AvgSummary'!$28:$28='04. Summary'!$C3)*('03. AvgSummary'!$27:$27='04. Summary'!$B3)),0)</f>
        <v>0</v>
      </c>
      <c r="L3" s="30" cm="1">
        <f t="array" ref="L3">IFERROR(_xlfn._xlws.FILTER('03. AvgSummary'!$31:$31,('03. AvgSummary'!$30:$30='04. Summary'!L$1)*('03. AvgSummary'!$28:$28='04. Summary'!$C3)*('03. AvgSummary'!$27:$27='04. Summary'!$B3)),0)</f>
        <v>0</v>
      </c>
      <c r="M3" s="30" cm="1">
        <f t="array" ref="M3">IFERROR(_xlfn._xlws.FILTER('03. AvgSummary'!$31:$31,('03. AvgSummary'!$30:$30='04. Summary'!M$1)*('03. AvgSummary'!$28:$28='04. Summary'!$C3)*('03. AvgSummary'!$27:$27='04. Summary'!$B3)),0)</f>
        <v>0</v>
      </c>
      <c r="N3" s="30" cm="1">
        <f t="array" ref="N3">IFERROR(_xlfn._xlws.FILTER('03. AvgSummary'!$31:$31,('03. AvgSummary'!$30:$30='04. Summary'!N$1)*('03. AvgSummary'!$28:$28='04. Summary'!$C3)*('03. AvgSummary'!$27:$27='04. Summary'!$B3)),0)</f>
        <v>0</v>
      </c>
      <c r="O3" s="30" cm="1">
        <f t="array" ref="O3">IFERROR(_xlfn._xlws.FILTER('03. AvgSummary'!$31:$31,('03. AvgSummary'!$30:$30='04. Summary'!O$1)*('03. AvgSummary'!$28:$28='04. Summary'!$C3)*('03. AvgSummary'!$27:$27='04. Summary'!$B3)),0)</f>
        <v>0.32356664254782208</v>
      </c>
      <c r="P3" s="30" cm="1">
        <f t="array" ref="P3">IFERROR(_xlfn._xlws.FILTER('03. AvgSummary'!$31:$31,('03. AvgSummary'!$30:$30='04. Summary'!P$1)*('03. AvgSummary'!$28:$28='04. Summary'!$C3)*('03. AvgSummary'!$27:$27='04. Summary'!$B3)),0)</f>
        <v>5.1415384289161002E-2</v>
      </c>
    </row>
    <row r="4" spans="1:16" x14ac:dyDescent="0.45">
      <c r="A4" s="6">
        <f t="shared" ref="A4:A57" si="0">A3+1</f>
        <v>3</v>
      </c>
      <c r="B4" t="str">
        <v>ProductType: AGRICULTURE LOAN</v>
      </c>
      <c r="C4" t="str">
        <v>Stage: 1</v>
      </c>
      <c r="D4" s="30" cm="1">
        <f t="array" ref="D4">IFERROR(_xlfn._xlws.FILTER('03. AvgSummary'!$26:$26,('03. AvgSummary'!$27:$27='04. Summary'!$B4)*('03. AvgSummary'!$28:$28='04. Summary'!$C4)*('03. AvgSummary'!$29:$29='04. Summary'!D$1)),0)</f>
        <v>1.4392378040127015E-2</v>
      </c>
      <c r="E4" s="30" cm="1">
        <f t="array" ref="E4">IFERROR(_xlfn._xlws.FILTER('03. AvgSummary'!$26:$26,('03. AvgSummary'!$27:$27='04. Summary'!$B4)*('03. AvgSummary'!$28:$28='04. Summary'!$C4)*('03. AvgSummary'!$29:$29='04. Summary'!E$1)),0)</f>
        <v>-0.13569736884394171</v>
      </c>
      <c r="F4" s="30" cm="1">
        <f t="array" ref="F4">IFERROR(_xlfn._xlws.FILTER('03. AvgSummary'!$26:$26,('03. AvgSummary'!$27:$27='04. Summary'!$B4)*('03. AvgSummary'!$28:$28='04. Summary'!$C4)*('03. AvgSummary'!$29:$29='04. Summary'!F$1)),0)</f>
        <v>0.58950365137832561</v>
      </c>
      <c r="G4" s="30" cm="1">
        <f t="array" ref="G4">IFERROR(_xlfn._xlws.FILTER('03. AvgSummary'!$26:$26,('03. AvgSummary'!$27:$27='04. Summary'!$B4)*('03. AvgSummary'!$28:$28='04. Summary'!$C4)*('03. AvgSummary'!$29:$29='04. Summary'!G$1)),0)</f>
        <v>0.53127694322520969</v>
      </c>
      <c r="H4" s="30" cm="1">
        <f t="array" ref="H4">IFERROR(_xlfn._xlws.FILTER('03. AvgSummary'!$26:$26,('03. AvgSummary'!$27:$27='04. Summary'!$B4)*('03. AvgSummary'!$28:$28='04. Summary'!$C4)*('03. AvgSummary'!$29:$29='04. Summary'!H$1)),0)</f>
        <v>5.2439620027936308E-4</v>
      </c>
      <c r="I4" s="30" cm="1">
        <f t="array" ref="I4">IFERROR(_xlfn._xlws.FILTER('03. AvgSummary'!$26:$26,('03. AvgSummary'!$27:$27='04. Summary'!$B4)*('03. AvgSummary'!$28:$28='04. Summary'!$C4)*('03. AvgSummary'!$29:$29='04. Summary'!I$1)),0)</f>
        <v>0.11755732789704919</v>
      </c>
      <c r="J4" s="30" cm="1">
        <f t="array" ref="J4">IFERROR(_xlfn._xlws.FILTER('03. AvgSummary'!$31:$31,('03. AvgSummary'!$30:$30='04. Summary'!J$1)*('03. AvgSummary'!$28:$28='04. Summary'!$C4)*('03. AvgSummary'!$27:$27='04. Summary'!$B4)),0)</f>
        <v>5.5775284337631188E-2</v>
      </c>
      <c r="K4" s="30" cm="1">
        <f t="array" ref="K4">IFERROR(_xlfn._xlws.FILTER('03. AvgSummary'!$31:$31,('03. AvgSummary'!$30:$30='04. Summary'!K$1)*('03. AvgSummary'!$28:$28='04. Summary'!$C4)*('03. AvgSummary'!$27:$27='04. Summary'!$B4)),0)</f>
        <v>0.14451416407392118</v>
      </c>
      <c r="L4" s="30" cm="1">
        <f t="array" ref="L4">IFERROR(_xlfn._xlws.FILTER('03. AvgSummary'!$31:$31,('03. AvgSummary'!$30:$30='04. Summary'!L$1)*('03. AvgSummary'!$28:$28='04. Summary'!$C4)*('03. AvgSummary'!$27:$27='04. Summary'!$B4)),0)</f>
        <v>7.0708937979033132E-2</v>
      </c>
      <c r="M4" s="30" cm="1">
        <f t="array" ref="M4">IFERROR(_xlfn._xlws.FILTER('03. AvgSummary'!$31:$31,('03. AvgSummary'!$30:$30='04. Summary'!M$1)*('03. AvgSummary'!$28:$28='04. Summary'!$C4)*('03. AvgSummary'!$27:$27='04. Summary'!$B4)),0)</f>
        <v>8.3715195799845404E-2</v>
      </c>
      <c r="N4" s="30" cm="1">
        <f t="array" ref="N4">IFERROR(_xlfn._xlws.FILTER('03. AvgSummary'!$31:$31,('03. AvgSummary'!$30:$30='04. Summary'!N$1)*('03. AvgSummary'!$28:$28='04. Summary'!$C4)*('03. AvgSummary'!$27:$27='04. Summary'!$B4)),0)</f>
        <v>0.22445647671867744</v>
      </c>
      <c r="O4" s="30" cm="1">
        <f t="array" ref="O4">IFERROR(_xlfn._xlws.FILTER('03. AvgSummary'!$31:$31,('03. AvgSummary'!$30:$30='04. Summary'!O$1)*('03. AvgSummary'!$28:$28='04. Summary'!$C4)*('03. AvgSummary'!$27:$27='04. Summary'!$B4)),0)</f>
        <v>0.17872950986513456</v>
      </c>
      <c r="P4" s="30" cm="1">
        <f t="array" ref="P4">IFERROR(_xlfn._xlws.FILTER('03. AvgSummary'!$31:$31,('03. AvgSummary'!$30:$30='04. Summary'!P$1)*('03. AvgSummary'!$28:$28='04. Summary'!$C4)*('03. AvgSummary'!$27:$27='04. Summary'!$B4)),0)</f>
        <v>6.5001726505101387E-2</v>
      </c>
    </row>
    <row r="5" spans="1:16" x14ac:dyDescent="0.45">
      <c r="A5" s="6">
        <f t="shared" si="0"/>
        <v>4</v>
      </c>
      <c r="B5" t="str">
        <v>ProductType: AGRICULTURE LOAN</v>
      </c>
      <c r="C5" t="str">
        <v>Stage: 2</v>
      </c>
      <c r="D5" s="30" cm="1">
        <f t="array" ref="D5">IFERROR(_xlfn._xlws.FILTER('03. AvgSummary'!$26:$26,('03. AvgSummary'!$27:$27='04. Summary'!$B5)*('03. AvgSummary'!$28:$28='04. Summary'!$C5)*('03. AvgSummary'!$29:$29='04. Summary'!D$1)),0)</f>
        <v>8.5601388918610435E-3</v>
      </c>
      <c r="E5" s="30" cm="1">
        <f t="array" ref="E5">IFERROR(_xlfn._xlws.FILTER('03. AvgSummary'!$26:$26,('03. AvgSummary'!$27:$27='04. Summary'!$B5)*('03. AvgSummary'!$28:$28='04. Summary'!$C5)*('03. AvgSummary'!$29:$29='04. Summary'!E$1)),0)</f>
        <v>-0.20455948648213229</v>
      </c>
      <c r="F5" s="30" cm="1">
        <f t="array" ref="F5">IFERROR(_xlfn._xlws.FILTER('03. AvgSummary'!$26:$26,('03. AvgSummary'!$27:$27='04. Summary'!$B5)*('03. AvgSummary'!$28:$28='04. Summary'!$C5)*('03. AvgSummary'!$29:$29='04. Summary'!F$1)),0)</f>
        <v>0.59277667453443172</v>
      </c>
      <c r="G5" s="30" cm="1">
        <f t="array" ref="G5">IFERROR(_xlfn._xlws.FILTER('03. AvgSummary'!$26:$26,('03. AvgSummary'!$27:$27='04. Summary'!$B5)*('03. AvgSummary'!$28:$28='04. Summary'!$C5)*('03. AvgSummary'!$29:$29='04. Summary'!G$1)),0)</f>
        <v>0.60267215557586717</v>
      </c>
      <c r="H5" s="30" cm="1">
        <f t="array" ref="H5">IFERROR(_xlfn._xlws.FILTER('03. AvgSummary'!$26:$26,('03. AvgSummary'!$27:$27='04. Summary'!$B5)*('03. AvgSummary'!$28:$28='04. Summary'!$C5)*('03. AvgSummary'!$29:$29='04. Summary'!H$1)),0)</f>
        <v>5.5051747997231898E-4</v>
      </c>
      <c r="I5" s="30" cm="1">
        <f t="array" ref="I5">IFERROR(_xlfn._xlws.FILTER('03. AvgSummary'!$26:$26,('03. AvgSummary'!$27:$27='04. Summary'!$B5)*('03. AvgSummary'!$28:$28='04. Summary'!$C5)*('03. AvgSummary'!$29:$29='04. Summary'!I$1)),0)</f>
        <v>0.31629947825067245</v>
      </c>
      <c r="J5" s="30" cm="1">
        <f t="array" ref="J5">IFERROR(_xlfn._xlws.FILTER('03. AvgSummary'!$31:$31,('03. AvgSummary'!$30:$30='04. Summary'!J$1)*('03. AvgSummary'!$28:$28='04. Summary'!$C5)*('03. AvgSummary'!$27:$27='04. Summary'!$B5)),0)</f>
        <v>0.28420826543692868</v>
      </c>
      <c r="K5" s="30" cm="1">
        <f t="array" ref="K5">IFERROR(_xlfn._xlws.FILTER('03. AvgSummary'!$31:$31,('03. AvgSummary'!$30:$30='04. Summary'!K$1)*('03. AvgSummary'!$28:$28='04. Summary'!$C5)*('03. AvgSummary'!$27:$27='04. Summary'!$B5)),0)</f>
        <v>0.19932377816913158</v>
      </c>
      <c r="L5" s="30" cm="1">
        <f t="array" ref="L5">IFERROR(_xlfn._xlws.FILTER('03. AvgSummary'!$31:$31,('03. AvgSummary'!$30:$30='04. Summary'!L$1)*('03. AvgSummary'!$28:$28='04. Summary'!$C5)*('03. AvgSummary'!$27:$27='04. Summary'!$B5)),0)</f>
        <v>0.17377612444519785</v>
      </c>
      <c r="M5" s="30" cm="1">
        <f t="array" ref="M5">IFERROR(_xlfn._xlws.FILTER('03. AvgSummary'!$31:$31,('03. AvgSummary'!$30:$30='04. Summary'!M$1)*('03. AvgSummary'!$28:$28='04. Summary'!$C5)*('03. AvgSummary'!$27:$27='04. Summary'!$B5)),0)</f>
        <v>0.12413201260517191</v>
      </c>
      <c r="N5" s="30" cm="1">
        <f t="array" ref="N5">IFERROR(_xlfn._xlws.FILTER('03. AvgSummary'!$31:$31,('03. AvgSummary'!$30:$30='04. Summary'!N$1)*('03. AvgSummary'!$28:$28='04. Summary'!$C5)*('03. AvgSummary'!$27:$27='04. Summary'!$B5)),0)</f>
        <v>0.5471695608846765</v>
      </c>
      <c r="O5" s="30" cm="1">
        <f t="array" ref="O5">IFERROR(_xlfn._xlws.FILTER('03. AvgSummary'!$31:$31,('03. AvgSummary'!$30:$30='04. Summary'!O$1)*('03. AvgSummary'!$28:$28='04. Summary'!$C5)*('03. AvgSummary'!$27:$27='04. Summary'!$B5)),0)</f>
        <v>0.55421571055864793</v>
      </c>
      <c r="P5" s="30" cm="1">
        <f t="array" ref="P5">IFERROR(_xlfn._xlws.FILTER('03. AvgSummary'!$31:$31,('03. AvgSummary'!$30:$30='04. Summary'!P$1)*('03. AvgSummary'!$28:$28='04. Summary'!$C5)*('03. AvgSummary'!$27:$27='04. Summary'!$B5)),0)</f>
        <v>0.33127089565495288</v>
      </c>
    </row>
    <row r="6" spans="1:16" x14ac:dyDescent="0.45">
      <c r="A6" s="6">
        <f t="shared" si="0"/>
        <v>5</v>
      </c>
      <c r="B6" t="str">
        <v>ProductType: BIS/PERHIRE PURCHASE</v>
      </c>
      <c r="C6" t="str">
        <v>Stage: 1</v>
      </c>
      <c r="D6" s="30" cm="1">
        <f t="array" ref="D6">IFERROR(_xlfn._xlws.FILTER('03. AvgSummary'!$26:$26,('03. AvgSummary'!$27:$27='04. Summary'!$B6)*('03. AvgSummary'!$28:$28='04. Summary'!$C6)*('03. AvgSummary'!$29:$29='04. Summary'!D$1)),0)</f>
        <v>0.73315724237797819</v>
      </c>
      <c r="E6" s="30" cm="1">
        <f t="array" ref="E6">IFERROR(_xlfn._xlws.FILTER('03. AvgSummary'!$26:$26,('03. AvgSummary'!$27:$27='04. Summary'!$B6)*('03. AvgSummary'!$28:$28='04. Summary'!$C6)*('03. AvgSummary'!$29:$29='04. Summary'!E$1)),0)</f>
        <v>5.5791527956689811E-2</v>
      </c>
      <c r="F6" s="30" cm="1">
        <f t="array" ref="F6">IFERROR(_xlfn._xlws.FILTER('03. AvgSummary'!$26:$26,('03. AvgSummary'!$27:$27='04. Summary'!$B6)*('03. AvgSummary'!$28:$28='04. Summary'!$C6)*('03. AvgSummary'!$29:$29='04. Summary'!F$1)),0)</f>
        <v>0.7489030789052471</v>
      </c>
      <c r="G6" s="30" cm="1">
        <f t="array" ref="G6">IFERROR(_xlfn._xlws.FILTER('03. AvgSummary'!$26:$26,('03. AvgSummary'!$27:$27='04. Summary'!$B6)*('03. AvgSummary'!$28:$28='04. Summary'!$C6)*('03. AvgSummary'!$29:$29='04. Summary'!G$1)),0)</f>
        <v>-0.54073969480850315</v>
      </c>
      <c r="H6" s="30" cm="1">
        <f t="array" ref="H6">IFERROR(_xlfn._xlws.FILTER('03. AvgSummary'!$26:$26,('03. AvgSummary'!$27:$27='04. Summary'!$B6)*('03. AvgSummary'!$28:$28='04. Summary'!$C6)*('03. AvgSummary'!$29:$29='04. Summary'!H$1)),0)</f>
        <v>2.8878455685880581E-3</v>
      </c>
      <c r="I6" s="30" cm="1">
        <f t="array" ref="I6">IFERROR(_xlfn._xlws.FILTER('03. AvgSummary'!$26:$26,('03. AvgSummary'!$27:$27='04. Summary'!$B6)*('03. AvgSummary'!$28:$28='04. Summary'!$C6)*('03. AvgSummary'!$29:$29='04. Summary'!I$1)),0)</f>
        <v>0.19279163313551262</v>
      </c>
      <c r="J6" s="30" cm="1">
        <f t="array" ref="J6">IFERROR(_xlfn._xlws.FILTER('03. AvgSummary'!$31:$31,('03. AvgSummary'!$30:$30='04. Summary'!J$1)*('03. AvgSummary'!$28:$28='04. Summary'!$C6)*('03. AvgSummary'!$27:$27='04. Summary'!$B6)),0)</f>
        <v>2.304297112104714E-2</v>
      </c>
      <c r="K6" s="30" cm="1">
        <f t="array" ref="K6">IFERROR(_xlfn._xlws.FILTER('03. AvgSummary'!$31:$31,('03. AvgSummary'!$30:$30='04. Summary'!K$1)*('03. AvgSummary'!$28:$28='04. Summary'!$C6)*('03. AvgSummary'!$27:$27='04. Summary'!$B6)),0)</f>
        <v>0.3878417016805934</v>
      </c>
      <c r="L6" s="30" cm="1">
        <f t="array" ref="L6">IFERROR(_xlfn._xlws.FILTER('03. AvgSummary'!$31:$31,('03. AvgSummary'!$30:$30='04. Summary'!L$1)*('03. AvgSummary'!$28:$28='04. Summary'!$C6)*('03. AvgSummary'!$27:$27='04. Summary'!$B6)),0)</f>
        <v>0.12730488899478898</v>
      </c>
      <c r="M6" s="30" cm="1">
        <f t="array" ref="M6">IFERROR(_xlfn._xlws.FILTER('03. AvgSummary'!$31:$31,('03. AvgSummary'!$30:$30='04. Summary'!M$1)*('03. AvgSummary'!$28:$28='04. Summary'!$C6)*('03. AvgSummary'!$27:$27='04. Summary'!$B6)),0)</f>
        <v>0.13046744097825774</v>
      </c>
      <c r="N6" s="30" cm="1">
        <f t="array" ref="N6">IFERROR(_xlfn._xlws.FILTER('03. AvgSummary'!$31:$31,('03. AvgSummary'!$30:$30='04. Summary'!N$1)*('03. AvgSummary'!$28:$28='04. Summary'!$C6)*('03. AvgSummary'!$27:$27='04. Summary'!$B6)),0)</f>
        <v>0.22267117754498927</v>
      </c>
      <c r="O6" s="30" cm="1">
        <f t="array" ref="O6">IFERROR(_xlfn._xlws.FILTER('03. AvgSummary'!$31:$31,('03. AvgSummary'!$30:$30='04. Summary'!O$1)*('03. AvgSummary'!$28:$28='04. Summary'!$C6)*('03. AvgSummary'!$27:$27='04. Summary'!$B6)),0)</f>
        <v>0.30696378116375417</v>
      </c>
      <c r="P6" s="30" cm="1">
        <f t="array" ref="P6">IFERROR(_xlfn._xlws.FILTER('03. AvgSummary'!$31:$31,('03. AvgSummary'!$30:$30='04. Summary'!P$1)*('03. AvgSummary'!$28:$28='04. Summary'!$C6)*('03. AvgSummary'!$27:$27='04. Summary'!$B6)),0)</f>
        <v>0.15124947046515763</v>
      </c>
    </row>
    <row r="7" spans="1:16" x14ac:dyDescent="0.45">
      <c r="A7" s="6">
        <f t="shared" si="0"/>
        <v>6</v>
      </c>
      <c r="B7" t="str">
        <v>ProductType: BIS/PERHIRE PURCHASE</v>
      </c>
      <c r="C7" t="str">
        <v>Stage: 2</v>
      </c>
      <c r="D7" s="30" cm="1">
        <f t="array" ref="D7">IFERROR(_xlfn._xlws.FILTER('03. AvgSummary'!$26:$26,('03. AvgSummary'!$27:$27='04. Summary'!$B7)*('03. AvgSummary'!$28:$28='04. Summary'!$C7)*('03. AvgSummary'!$29:$29='04. Summary'!D$1)),0)</f>
        <v>0.37466479418797066</v>
      </c>
      <c r="E7" s="30" cm="1">
        <f t="array" ref="E7">IFERROR(_xlfn._xlws.FILTER('03. AvgSummary'!$26:$26,('03. AvgSummary'!$27:$27='04. Summary'!$B7)*('03. AvgSummary'!$28:$28='04. Summary'!$C7)*('03. AvgSummary'!$29:$29='04. Summary'!E$1)),0)</f>
        <v>-5.6881121485831937E-2</v>
      </c>
      <c r="F7" s="30" cm="1">
        <f t="array" ref="F7">IFERROR(_xlfn._xlws.FILTER('03. AvgSummary'!$26:$26,('03. AvgSummary'!$27:$27='04. Summary'!$B7)*('03. AvgSummary'!$28:$28='04. Summary'!$C7)*('03. AvgSummary'!$29:$29='04. Summary'!F$1)),0)</f>
        <v>0.57275143861736355</v>
      </c>
      <c r="G7" s="30" cm="1">
        <f t="array" ref="G7">IFERROR(_xlfn._xlws.FILTER('03. AvgSummary'!$26:$26,('03. AvgSummary'!$27:$27='04. Summary'!$B7)*('03. AvgSummary'!$28:$28='04. Summary'!$C7)*('03. AvgSummary'!$29:$29='04. Summary'!G$1)),0)</f>
        <v>0.10742393708004917</v>
      </c>
      <c r="H7" s="30" cm="1">
        <f t="array" ref="H7">IFERROR(_xlfn._xlws.FILTER('03. AvgSummary'!$26:$26,('03. AvgSummary'!$27:$27='04. Summary'!$B7)*('03. AvgSummary'!$28:$28='04. Summary'!$C7)*('03. AvgSummary'!$29:$29='04. Summary'!H$1)),0)</f>
        <v>2.0409516004484939E-3</v>
      </c>
      <c r="I7" s="30" cm="1">
        <f t="array" ref="I7">IFERROR(_xlfn._xlws.FILTER('03. AvgSummary'!$26:$26,('03. AvgSummary'!$27:$27='04. Summary'!$B7)*('03. AvgSummary'!$28:$28='04. Summary'!$C7)*('03. AvgSummary'!$29:$29='04. Summary'!I$1)),0)</f>
        <v>0.39108612819311173</v>
      </c>
      <c r="J7" s="30" cm="1">
        <f t="array" ref="J7">IFERROR(_xlfn._xlws.FILTER('03. AvgSummary'!$31:$31,('03. AvgSummary'!$30:$30='04. Summary'!J$1)*('03. AvgSummary'!$28:$28='04. Summary'!$C7)*('03. AvgSummary'!$27:$27='04. Summary'!$B7)),0)</f>
        <v>1.1807773519184939E-2</v>
      </c>
      <c r="K7" s="30" cm="1">
        <f t="array" ref="K7">IFERROR(_xlfn._xlws.FILTER('03. AvgSummary'!$31:$31,('03. AvgSummary'!$30:$30='04. Summary'!K$1)*('03. AvgSummary'!$28:$28='04. Summary'!$C7)*('03. AvgSummary'!$27:$27='04. Summary'!$B7)),0)</f>
        <v>0.5657577598473047</v>
      </c>
      <c r="L7" s="30" cm="1">
        <f t="array" ref="L7">IFERROR(_xlfn._xlws.FILTER('03. AvgSummary'!$31:$31,('03. AvgSummary'!$30:$30='04. Summary'!L$1)*('03. AvgSummary'!$28:$28='04. Summary'!$C7)*('03. AvgSummary'!$27:$27='04. Summary'!$B7)),0)</f>
        <v>0.21113124027005384</v>
      </c>
      <c r="M7" s="30" cm="1">
        <f t="array" ref="M7">IFERROR(_xlfn._xlws.FILTER('03. AvgSummary'!$31:$31,('03. AvgSummary'!$30:$30='04. Summary'!M$1)*('03. AvgSummary'!$28:$28='04. Summary'!$C7)*('03. AvgSummary'!$27:$27='04. Summary'!$B7)),0)</f>
        <v>0.29852170485430385</v>
      </c>
      <c r="N7" s="30" cm="1">
        <f t="array" ref="N7">IFERROR(_xlfn._xlws.FILTER('03. AvgSummary'!$31:$31,('03. AvgSummary'!$30:$30='04. Summary'!N$1)*('03. AvgSummary'!$28:$28='04. Summary'!$C7)*('03. AvgSummary'!$27:$27='04. Summary'!$B7)),0)</f>
        <v>0.57087694459159255</v>
      </c>
      <c r="O7" s="30" cm="1">
        <f t="array" ref="O7">IFERROR(_xlfn._xlws.FILTER('03. AvgSummary'!$31:$31,('03. AvgSummary'!$30:$30='04. Summary'!O$1)*('03. AvgSummary'!$28:$28='04. Summary'!$C7)*('03. AvgSummary'!$27:$27='04. Summary'!$B7)),0)</f>
        <v>0.53982378252430263</v>
      </c>
      <c r="P7" s="30" cm="1">
        <f t="array" ref="P7">IFERROR(_xlfn._xlws.FILTER('03. AvgSummary'!$31:$31,('03. AvgSummary'!$30:$30='04. Summary'!P$1)*('03. AvgSummary'!$28:$28='04. Summary'!$C7)*('03. AvgSummary'!$27:$27='04. Summary'!$B7)),0)</f>
        <v>0.53968369174503927</v>
      </c>
    </row>
    <row r="8" spans="1:16" x14ac:dyDescent="0.45">
      <c r="A8" s="6">
        <f t="shared" si="0"/>
        <v>7</v>
      </c>
      <c r="B8" t="str">
        <v>ProductType: CONS FIN BUSN TRM LO</v>
      </c>
      <c r="C8" t="str">
        <v>Stage: 1</v>
      </c>
      <c r="D8" s="30" cm="1">
        <f t="array" ref="D8">IFERROR(_xlfn._xlws.FILTER('03. AvgSummary'!$26:$26,('03. AvgSummary'!$27:$27='04. Summary'!$B8)*('03. AvgSummary'!$28:$28='04. Summary'!$C8)*('03. AvgSummary'!$29:$29='04. Summary'!D$1)),0)</f>
        <v>0</v>
      </c>
      <c r="E8" s="30" cm="1">
        <f t="array" ref="E8">IFERROR(_xlfn._xlws.FILTER('03. AvgSummary'!$26:$26,('03. AvgSummary'!$27:$27='04. Summary'!$B8)*('03. AvgSummary'!$28:$28='04. Summary'!$C8)*('03. AvgSummary'!$29:$29='04. Summary'!E$1)),0)</f>
        <v>0</v>
      </c>
      <c r="F8" s="30" cm="1">
        <f t="array" ref="F8">IFERROR(_xlfn._xlws.FILTER('03. AvgSummary'!$26:$26,('03. AvgSummary'!$27:$27='04. Summary'!$B8)*('03. AvgSummary'!$28:$28='04. Summary'!$C8)*('03. AvgSummary'!$29:$29='04. Summary'!F$1)),0)</f>
        <v>0</v>
      </c>
      <c r="G8" s="30" cm="1">
        <f t="array" ref="G8">IFERROR(_xlfn._xlws.FILTER('03. AvgSummary'!$26:$26,('03. AvgSummary'!$27:$27='04. Summary'!$B8)*('03. AvgSummary'!$28:$28='04. Summary'!$C8)*('03. AvgSummary'!$29:$29='04. Summary'!G$1)),0)</f>
        <v>0</v>
      </c>
      <c r="H8" s="30" cm="1">
        <f t="array" ref="H8">IFERROR(_xlfn._xlws.FILTER('03. AvgSummary'!$26:$26,('03. AvgSummary'!$27:$27='04. Summary'!$B8)*('03. AvgSummary'!$28:$28='04. Summary'!$C8)*('03. AvgSummary'!$29:$29='04. Summary'!H$1)),0)</f>
        <v>0</v>
      </c>
      <c r="I8" s="30" cm="1">
        <f t="array" ref="I8">IFERROR(_xlfn._xlws.FILTER('03. AvgSummary'!$26:$26,('03. AvgSummary'!$27:$27='04. Summary'!$B8)*('03. AvgSummary'!$28:$28='04. Summary'!$C8)*('03. AvgSummary'!$29:$29='04. Summary'!I$1)),0)</f>
        <v>0</v>
      </c>
      <c r="J8" s="30" cm="1">
        <f t="array" ref="J8">IFERROR(_xlfn._xlws.FILTER('03. AvgSummary'!$31:$31,('03. AvgSummary'!$30:$30='04. Summary'!J$1)*('03. AvgSummary'!$28:$28='04. Summary'!$C8)*('03. AvgSummary'!$27:$27='04. Summary'!$B8)),0)</f>
        <v>0</v>
      </c>
      <c r="K8" s="30" cm="1">
        <f t="array" ref="K8">IFERROR(_xlfn._xlws.FILTER('03. AvgSummary'!$31:$31,('03. AvgSummary'!$30:$30='04. Summary'!K$1)*('03. AvgSummary'!$28:$28='04. Summary'!$C8)*('03. AvgSummary'!$27:$27='04. Summary'!$B8)),0)</f>
        <v>0</v>
      </c>
      <c r="L8" s="30" cm="1">
        <f t="array" ref="L8">IFERROR(_xlfn._xlws.FILTER('03. AvgSummary'!$31:$31,('03. AvgSummary'!$30:$30='04. Summary'!L$1)*('03. AvgSummary'!$28:$28='04. Summary'!$C8)*('03. AvgSummary'!$27:$27='04. Summary'!$B8)),0)</f>
        <v>0</v>
      </c>
      <c r="M8" s="30" cm="1">
        <f t="array" ref="M8">IFERROR(_xlfn._xlws.FILTER('03. AvgSummary'!$31:$31,('03. AvgSummary'!$30:$30='04. Summary'!M$1)*('03. AvgSummary'!$28:$28='04. Summary'!$C8)*('03. AvgSummary'!$27:$27='04. Summary'!$B8)),0)</f>
        <v>0</v>
      </c>
      <c r="N8" s="30" cm="1">
        <f t="array" ref="N8">IFERROR(_xlfn._xlws.FILTER('03. AvgSummary'!$31:$31,('03. AvgSummary'!$30:$30='04. Summary'!N$1)*('03. AvgSummary'!$28:$28='04. Summary'!$C8)*('03. AvgSummary'!$27:$27='04. Summary'!$B8)),0)</f>
        <v>0</v>
      </c>
      <c r="O8" s="30" cm="1">
        <f t="array" ref="O8">IFERROR(_xlfn._xlws.FILTER('03. AvgSummary'!$31:$31,('03. AvgSummary'!$30:$30='04. Summary'!O$1)*('03. AvgSummary'!$28:$28='04. Summary'!$C8)*('03. AvgSummary'!$27:$27='04. Summary'!$B8)),0)</f>
        <v>0</v>
      </c>
      <c r="P8" s="30" cm="1">
        <f t="array" ref="P8">IFERROR(_xlfn._xlws.FILTER('03. AvgSummary'!$31:$31,('03. AvgSummary'!$30:$30='04. Summary'!P$1)*('03. AvgSummary'!$28:$28='04. Summary'!$C8)*('03. AvgSummary'!$27:$27='04. Summary'!$B8)),0)</f>
        <v>0</v>
      </c>
    </row>
    <row r="9" spans="1:16" x14ac:dyDescent="0.45">
      <c r="A9" s="6">
        <f t="shared" si="0"/>
        <v>8</v>
      </c>
      <c r="B9" t="str">
        <v>ProductType: CONS FIN BUSN TRM LO</v>
      </c>
      <c r="C9" t="str">
        <v>Stage: 2</v>
      </c>
      <c r="D9" s="30" cm="1">
        <f t="array" ref="D9">IFERROR(_xlfn._xlws.FILTER('03. AvgSummary'!$26:$26,('03. AvgSummary'!$27:$27='04. Summary'!$B9)*('03. AvgSummary'!$28:$28='04. Summary'!$C9)*('03. AvgSummary'!$29:$29='04. Summary'!D$1)),0)</f>
        <v>0</v>
      </c>
      <c r="E9" s="30" cm="1">
        <f t="array" ref="E9">IFERROR(_xlfn._xlws.FILTER('03. AvgSummary'!$26:$26,('03. AvgSummary'!$27:$27='04. Summary'!$B9)*('03. AvgSummary'!$28:$28='04. Summary'!$C9)*('03. AvgSummary'!$29:$29='04. Summary'!E$1)),0)</f>
        <v>0</v>
      </c>
      <c r="F9" s="30" cm="1">
        <f t="array" ref="F9">IFERROR(_xlfn._xlws.FILTER('03. AvgSummary'!$26:$26,('03. AvgSummary'!$27:$27='04. Summary'!$B9)*('03. AvgSummary'!$28:$28='04. Summary'!$C9)*('03. AvgSummary'!$29:$29='04. Summary'!F$1)),0)</f>
        <v>0</v>
      </c>
      <c r="G9" s="30" cm="1">
        <f t="array" ref="G9">IFERROR(_xlfn._xlws.FILTER('03. AvgSummary'!$26:$26,('03. AvgSummary'!$27:$27='04. Summary'!$B9)*('03. AvgSummary'!$28:$28='04. Summary'!$C9)*('03. AvgSummary'!$29:$29='04. Summary'!G$1)),0)</f>
        <v>0</v>
      </c>
      <c r="H9" s="30" cm="1">
        <f t="array" ref="H9">IFERROR(_xlfn._xlws.FILTER('03. AvgSummary'!$26:$26,('03. AvgSummary'!$27:$27='04. Summary'!$B9)*('03. AvgSummary'!$28:$28='04. Summary'!$C9)*('03. AvgSummary'!$29:$29='04. Summary'!H$1)),0)</f>
        <v>0</v>
      </c>
      <c r="I9" s="30" cm="1">
        <f t="array" ref="I9">IFERROR(_xlfn._xlws.FILTER('03. AvgSummary'!$26:$26,('03. AvgSummary'!$27:$27='04. Summary'!$B9)*('03. AvgSummary'!$28:$28='04. Summary'!$C9)*('03. AvgSummary'!$29:$29='04. Summary'!I$1)),0)</f>
        <v>0</v>
      </c>
      <c r="J9" s="30" cm="1">
        <f t="array" ref="J9">IFERROR(_xlfn._xlws.FILTER('03. AvgSummary'!$31:$31,('03. AvgSummary'!$30:$30='04. Summary'!J$1)*('03. AvgSummary'!$28:$28='04. Summary'!$C9)*('03. AvgSummary'!$27:$27='04. Summary'!$B9)),0)</f>
        <v>0</v>
      </c>
      <c r="K9" s="30" cm="1">
        <f t="array" ref="K9">IFERROR(_xlfn._xlws.FILTER('03. AvgSummary'!$31:$31,('03. AvgSummary'!$30:$30='04. Summary'!K$1)*('03. AvgSummary'!$28:$28='04. Summary'!$C9)*('03. AvgSummary'!$27:$27='04. Summary'!$B9)),0)</f>
        <v>0</v>
      </c>
      <c r="L9" s="30" cm="1">
        <f t="array" ref="L9">IFERROR(_xlfn._xlws.FILTER('03. AvgSummary'!$31:$31,('03. AvgSummary'!$30:$30='04. Summary'!L$1)*('03. AvgSummary'!$28:$28='04. Summary'!$C9)*('03. AvgSummary'!$27:$27='04. Summary'!$B9)),0)</f>
        <v>0</v>
      </c>
      <c r="M9" s="30" cm="1">
        <f t="array" ref="M9">IFERROR(_xlfn._xlws.FILTER('03. AvgSummary'!$31:$31,('03. AvgSummary'!$30:$30='04. Summary'!M$1)*('03. AvgSummary'!$28:$28='04. Summary'!$C9)*('03. AvgSummary'!$27:$27='04. Summary'!$B9)),0)</f>
        <v>0</v>
      </c>
      <c r="N9" s="30" cm="1">
        <f t="array" ref="N9">IFERROR(_xlfn._xlws.FILTER('03. AvgSummary'!$31:$31,('03. AvgSummary'!$30:$30='04. Summary'!N$1)*('03. AvgSummary'!$28:$28='04. Summary'!$C9)*('03. AvgSummary'!$27:$27='04. Summary'!$B9)),0)</f>
        <v>0</v>
      </c>
      <c r="O9" s="30" cm="1">
        <f t="array" ref="O9">IFERROR(_xlfn._xlws.FILTER('03. AvgSummary'!$31:$31,('03. AvgSummary'!$30:$30='04. Summary'!O$1)*('03. AvgSummary'!$28:$28='04. Summary'!$C9)*('03. AvgSummary'!$27:$27='04. Summary'!$B9)),0)</f>
        <v>0</v>
      </c>
      <c r="P9" s="30" cm="1">
        <f t="array" ref="P9">IFERROR(_xlfn._xlws.FILTER('03. AvgSummary'!$31:$31,('03. AvgSummary'!$30:$30='04. Summary'!P$1)*('03. AvgSummary'!$28:$28='04. Summary'!$C9)*('03. AvgSummary'!$27:$27='04. Summary'!$B9)),0)</f>
        <v>0</v>
      </c>
    </row>
    <row r="10" spans="1:16" x14ac:dyDescent="0.45">
      <c r="A10" s="6">
        <f t="shared" si="0"/>
        <v>9</v>
      </c>
      <c r="B10" t="str">
        <v>ProductType: DEPRIVED SECTOR LOAN</v>
      </c>
      <c r="C10" t="str">
        <v>Stage: 1</v>
      </c>
      <c r="D10" s="30" cm="1">
        <f t="array" ref="D10">IFERROR(_xlfn._xlws.FILTER('03. AvgSummary'!$26:$26,('03. AvgSummary'!$27:$27='04. Summary'!$B10)*('03. AvgSummary'!$28:$28='04. Summary'!$C10)*('03. AvgSummary'!$29:$29='04. Summary'!D$1)),0)</f>
        <v>-5.8259578223004149E-2</v>
      </c>
      <c r="E10" s="30" cm="1">
        <f t="array" ref="E10">IFERROR(_xlfn._xlws.FILTER('03. AvgSummary'!$26:$26,('03. AvgSummary'!$27:$27='04. Summary'!$B10)*('03. AvgSummary'!$28:$28='04. Summary'!$C10)*('03. AvgSummary'!$29:$29='04. Summary'!E$1)),0)</f>
        <v>-6.8968933248700709E-2</v>
      </c>
      <c r="F10" s="30" cm="1">
        <f t="array" ref="F10">IFERROR(_xlfn._xlws.FILTER('03. AvgSummary'!$26:$26,('03. AvgSummary'!$27:$27='04. Summary'!$B10)*('03. AvgSummary'!$28:$28='04. Summary'!$C10)*('03. AvgSummary'!$29:$29='04. Summary'!F$1)),0)</f>
        <v>0.62752670242002673</v>
      </c>
      <c r="G10" s="30" cm="1">
        <f t="array" ref="G10">IFERROR(_xlfn._xlws.FILTER('03. AvgSummary'!$26:$26,('03. AvgSummary'!$27:$27='04. Summary'!$B10)*('03. AvgSummary'!$28:$28='04. Summary'!$C10)*('03. AvgSummary'!$29:$29='04. Summary'!G$1)),0)</f>
        <v>0.49971265437643625</v>
      </c>
      <c r="H10" s="30" cm="1">
        <f t="array" ref="H10">IFERROR(_xlfn._xlws.FILTER('03. AvgSummary'!$26:$26,('03. AvgSummary'!$27:$27='04. Summary'!$B10)*('03. AvgSummary'!$28:$28='04. Summary'!$C10)*('03. AvgSummary'!$29:$29='04. Summary'!H$1)),0)</f>
        <v>-1.0845324758187257E-5</v>
      </c>
      <c r="I10" s="30" cm="1">
        <f t="array" ref="I10">IFERROR(_xlfn._xlws.FILTER('03. AvgSummary'!$26:$26,('03. AvgSummary'!$27:$27='04. Summary'!$B10)*('03. AvgSummary'!$28:$28='04. Summary'!$C10)*('03. AvgSummary'!$29:$29='04. Summary'!I$1)),0)</f>
        <v>3.2529083170257385E-2</v>
      </c>
      <c r="J10" s="30" cm="1">
        <f t="array" ref="J10">IFERROR(_xlfn._xlws.FILTER('03. AvgSummary'!$31:$31,('03. AvgSummary'!$30:$30='04. Summary'!J$1)*('03. AvgSummary'!$28:$28='04. Summary'!$C10)*('03. AvgSummary'!$27:$27='04. Summary'!$B10)),0)</f>
        <v>1.5021941619212604E-2</v>
      </c>
      <c r="K10" s="30" cm="1">
        <f t="array" ref="K10">IFERROR(_xlfn._xlws.FILTER('03. AvgSummary'!$31:$31,('03. AvgSummary'!$30:$30='04. Summary'!K$1)*('03. AvgSummary'!$28:$28='04. Summary'!$C10)*('03. AvgSummary'!$27:$27='04. Summary'!$B10)),0)</f>
        <v>0.13292107132767988</v>
      </c>
      <c r="L10" s="30" cm="1">
        <f t="array" ref="L10">IFERROR(_xlfn._xlws.FILTER('03. AvgSummary'!$31:$31,('03. AvgSummary'!$30:$30='04. Summary'!L$1)*('03. AvgSummary'!$28:$28='04. Summary'!$C10)*('03. AvgSummary'!$27:$27='04. Summary'!$B10)),0)</f>
        <v>2.0523633646639207E-2</v>
      </c>
      <c r="M10" s="30" cm="1">
        <f t="array" ref="M10">IFERROR(_xlfn._xlws.FILTER('03. AvgSummary'!$31:$31,('03. AvgSummary'!$30:$30='04. Summary'!M$1)*('03. AvgSummary'!$28:$28='04. Summary'!$C10)*('03. AvgSummary'!$27:$27='04. Summary'!$B10)),0)</f>
        <v>3.9590270466914376E-3</v>
      </c>
      <c r="N10" s="30" cm="1">
        <f t="array" ref="N10">IFERROR(_xlfn._xlws.FILTER('03. AvgSummary'!$31:$31,('03. AvgSummary'!$30:$30='04. Summary'!N$1)*('03. AvgSummary'!$28:$28='04. Summary'!$C10)*('03. AvgSummary'!$27:$27='04. Summary'!$B10)),0)</f>
        <v>4.8253518187970509E-2</v>
      </c>
      <c r="O10" s="30" cm="1">
        <f t="array" ref="O10">IFERROR(_xlfn._xlws.FILTER('03. AvgSummary'!$31:$31,('03. AvgSummary'!$30:$30='04. Summary'!O$1)*('03. AvgSummary'!$28:$28='04. Summary'!$C10)*('03. AvgSummary'!$27:$27='04. Summary'!$B10)),0)</f>
        <v>5.0529363063477545E-3</v>
      </c>
      <c r="P10" s="30" cm="1">
        <f t="array" ref="P10">IFERROR(_xlfn._xlws.FILTER('03. AvgSummary'!$31:$31,('03. AvgSummary'!$30:$30='04. Summary'!P$1)*('03. AvgSummary'!$28:$28='04. Summary'!$C10)*('03. AvgSummary'!$27:$27='04. Summary'!$B10)),0)</f>
        <v>1.9714540572602951E-3</v>
      </c>
    </row>
    <row r="11" spans="1:16" x14ac:dyDescent="0.45">
      <c r="A11" s="6">
        <f t="shared" si="0"/>
        <v>10</v>
      </c>
      <c r="B11" t="str">
        <v>ProductType: DEPRIVED SECTOR LOAN</v>
      </c>
      <c r="C11" t="str">
        <v>Stage: 2</v>
      </c>
      <c r="D11" s="30" cm="1">
        <f t="array" ref="D11">IFERROR(_xlfn._xlws.FILTER('03. AvgSummary'!$26:$26,('03. AvgSummary'!$27:$27='04. Summary'!$B11)*('03. AvgSummary'!$28:$28='04. Summary'!$C11)*('03. AvgSummary'!$29:$29='04. Summary'!D$1)),0)</f>
        <v>5.0782487404242606E-3</v>
      </c>
      <c r="E11" s="30" cm="1">
        <f t="array" ref="E11">IFERROR(_xlfn._xlws.FILTER('03. AvgSummary'!$26:$26,('03. AvgSummary'!$27:$27='04. Summary'!$B11)*('03. AvgSummary'!$28:$28='04. Summary'!$C11)*('03. AvgSummary'!$29:$29='04. Summary'!E$1)),0)</f>
        <v>-0.18258746945740295</v>
      </c>
      <c r="F11" s="30" cm="1">
        <f t="array" ref="F11">IFERROR(_xlfn._xlws.FILTER('03. AvgSummary'!$26:$26,('03. AvgSummary'!$27:$27='04. Summary'!$B11)*('03. AvgSummary'!$28:$28='04. Summary'!$C11)*('03. AvgSummary'!$29:$29='04. Summary'!F$1)),0)</f>
        <v>0.61418066914171887</v>
      </c>
      <c r="G11" s="30" cm="1">
        <f t="array" ref="G11">IFERROR(_xlfn._xlws.FILTER('03. AvgSummary'!$26:$26,('03. AvgSummary'!$27:$27='04. Summary'!$B11)*('03. AvgSummary'!$28:$28='04. Summary'!$C11)*('03. AvgSummary'!$29:$29='04. Summary'!G$1)),0)</f>
        <v>0.56280498372431642</v>
      </c>
      <c r="H11" s="30" cm="1">
        <f t="array" ref="H11">IFERROR(_xlfn._xlws.FILTER('03. AvgSummary'!$26:$26,('03. AvgSummary'!$27:$27='04. Summary'!$B11)*('03. AvgSummary'!$28:$28='04. Summary'!$C11)*('03. AvgSummary'!$29:$29='04. Summary'!H$1)),0)</f>
        <v>5.235678509434372E-4</v>
      </c>
      <c r="I11" s="30" cm="1">
        <f t="array" ref="I11">IFERROR(_xlfn._xlws.FILTER('03. AvgSummary'!$26:$26,('03. AvgSummary'!$27:$27='04. Summary'!$B11)*('03. AvgSummary'!$28:$28='04. Summary'!$C11)*('03. AvgSummary'!$29:$29='04. Summary'!I$1)),0)</f>
        <v>0.20929046424567341</v>
      </c>
      <c r="J11" s="30" cm="1">
        <f t="array" ref="J11">IFERROR(_xlfn._xlws.FILTER('03. AvgSummary'!$31:$31,('03. AvgSummary'!$30:$30='04. Summary'!J$1)*('03. AvgSummary'!$28:$28='04. Summary'!$C11)*('03. AvgSummary'!$27:$27='04. Summary'!$B11)),0)</f>
        <v>8.2035743495987731E-2</v>
      </c>
      <c r="K11" s="30" cm="1">
        <f t="array" ref="K11">IFERROR(_xlfn._xlws.FILTER('03. AvgSummary'!$31:$31,('03. AvgSummary'!$30:$30='04. Summary'!K$1)*('03. AvgSummary'!$28:$28='04. Summary'!$C11)*('03. AvgSummary'!$27:$27='04. Summary'!$B11)),0)</f>
        <v>0.26789421366755567</v>
      </c>
      <c r="L11" s="30" cm="1">
        <f t="array" ref="L11">IFERROR(_xlfn._xlws.FILTER('03. AvgSummary'!$31:$31,('03. AvgSummary'!$30:$30='04. Summary'!L$1)*('03. AvgSummary'!$28:$28='04. Summary'!$C11)*('03. AvgSummary'!$27:$27='04. Summary'!$B11)),0)</f>
        <v>0.23078085360764161</v>
      </c>
      <c r="M11" s="30" cm="1">
        <f t="array" ref="M11">IFERROR(_xlfn._xlws.FILTER('03. AvgSummary'!$31:$31,('03. AvgSummary'!$30:$30='04. Summary'!M$1)*('03. AvgSummary'!$28:$28='04. Summary'!$C11)*('03. AvgSummary'!$27:$27='04. Summary'!$B11)),0)</f>
        <v>5.173140169821603E-2</v>
      </c>
      <c r="N11" s="30" cm="1">
        <f t="array" ref="N11">IFERROR(_xlfn._xlws.FILTER('03. AvgSummary'!$31:$31,('03. AvgSummary'!$30:$30='04. Summary'!N$1)*('03. AvgSummary'!$28:$28='04. Summary'!$C11)*('03. AvgSummary'!$27:$27='04. Summary'!$B11)),0)</f>
        <v>0.30620473008252241</v>
      </c>
      <c r="O11" s="30" cm="1">
        <f t="array" ref="O11">IFERROR(_xlfn._xlws.FILTER('03. AvgSummary'!$31:$31,('03. AvgSummary'!$30:$30='04. Summary'!O$1)*('03. AvgSummary'!$28:$28='04. Summary'!$C11)*('03. AvgSummary'!$27:$27='04. Summary'!$B11)),0)</f>
        <v>0.35523413850159097</v>
      </c>
      <c r="P11" s="30" cm="1">
        <f t="array" ref="P11">IFERROR(_xlfn._xlws.FILTER('03. AvgSummary'!$31:$31,('03. AvgSummary'!$30:$30='04. Summary'!P$1)*('03. AvgSummary'!$28:$28='04. Summary'!$C11)*('03. AvgSummary'!$27:$27='04. Summary'!$B11)),0)</f>
        <v>0.17115216866619942</v>
      </c>
    </row>
    <row r="12" spans="1:16" x14ac:dyDescent="0.45">
      <c r="A12" s="6">
        <f t="shared" si="0"/>
        <v>11</v>
      </c>
      <c r="B12" t="str">
        <v>ProductType: EARTHQUAKE RELIEF LO</v>
      </c>
      <c r="C12" t="str">
        <v>Stage: 1</v>
      </c>
      <c r="D12" s="30" cm="1">
        <f t="array" ref="D12">IFERROR(_xlfn._xlws.FILTER('03. AvgSummary'!$26:$26,('03. AvgSummary'!$27:$27='04. Summary'!$B12)*('03. AvgSummary'!$28:$28='04. Summary'!$C12)*('03. AvgSummary'!$29:$29='04. Summary'!D$1)),0)</f>
        <v>-0.15860408614866106</v>
      </c>
      <c r="E12" s="30" cm="1">
        <f t="array" ref="E12">IFERROR(_xlfn._xlws.FILTER('03. AvgSummary'!$26:$26,('03. AvgSummary'!$27:$27='04. Summary'!$B12)*('03. AvgSummary'!$28:$28='04. Summary'!$C12)*('03. AvgSummary'!$29:$29='04. Summary'!E$1)),0)</f>
        <v>-0.28145498542566671</v>
      </c>
      <c r="F12" s="30" cm="1">
        <f t="array" ref="F12">IFERROR(_xlfn._xlws.FILTER('03. AvgSummary'!$26:$26,('03. AvgSummary'!$27:$27='04. Summary'!$B12)*('03. AvgSummary'!$28:$28='04. Summary'!$C12)*('03. AvgSummary'!$29:$29='04. Summary'!F$1)),0)</f>
        <v>0.60534020623684348</v>
      </c>
      <c r="G12" s="30" cm="1">
        <f t="array" ref="G12">IFERROR(_xlfn._xlws.FILTER('03. AvgSummary'!$26:$26,('03. AvgSummary'!$27:$27='04. Summary'!$B12)*('03. AvgSummary'!$28:$28='04. Summary'!$C12)*('03. AvgSummary'!$29:$29='04. Summary'!G$1)),0)</f>
        <v>0.83501249697189217</v>
      </c>
      <c r="H12" s="30" cm="1">
        <f t="array" ref="H12">IFERROR(_xlfn._xlws.FILTER('03. AvgSummary'!$26:$26,('03. AvgSummary'!$27:$27='04. Summary'!$B12)*('03. AvgSummary'!$28:$28='04. Summary'!$C12)*('03. AvgSummary'!$29:$29='04. Summary'!H$1)),0)</f>
        <v>-2.9363163440791887E-4</v>
      </c>
      <c r="I12" s="30" cm="1">
        <f t="array" ref="I12">IFERROR(_xlfn._xlws.FILTER('03. AvgSummary'!$26:$26,('03. AvgSummary'!$27:$27='04. Summary'!$B12)*('03. AvgSummary'!$28:$28='04. Summary'!$C12)*('03. AvgSummary'!$29:$29='04. Summary'!I$1)),0)</f>
        <v>7.0442468251884086E-3</v>
      </c>
      <c r="J12" s="30" cm="1">
        <f t="array" ref="J12">IFERROR(_xlfn._xlws.FILTER('03. AvgSummary'!$31:$31,('03. AvgSummary'!$30:$30='04. Summary'!J$1)*('03. AvgSummary'!$28:$28='04. Summary'!$C12)*('03. AvgSummary'!$27:$27='04. Summary'!$B12)),0)</f>
        <v>4.9309727776318861E-2</v>
      </c>
      <c r="K12" s="30" cm="1">
        <f t="array" ref="K12">IFERROR(_xlfn._xlws.FILTER('03. AvgSummary'!$31:$31,('03. AvgSummary'!$30:$30='04. Summary'!K$1)*('03. AvgSummary'!$28:$28='04. Summary'!$C12)*('03. AvgSummary'!$27:$27='04. Summary'!$B12)),0)</f>
        <v>0</v>
      </c>
      <c r="L12" s="30" cm="1">
        <f t="array" ref="L12">IFERROR(_xlfn._xlws.FILTER('03. AvgSummary'!$31:$31,('03. AvgSummary'!$30:$30='04. Summary'!L$1)*('03. AvgSummary'!$28:$28='04. Summary'!$C12)*('03. AvgSummary'!$27:$27='04. Summary'!$B12)),0)</f>
        <v>0</v>
      </c>
      <c r="M12" s="30" cm="1">
        <f t="array" ref="M12">IFERROR(_xlfn._xlws.FILTER('03. AvgSummary'!$31:$31,('03. AvgSummary'!$30:$30='04. Summary'!M$1)*('03. AvgSummary'!$28:$28='04. Summary'!$C12)*('03. AvgSummary'!$27:$27='04. Summary'!$B12)),0)</f>
        <v>0</v>
      </c>
      <c r="N12" s="30" cm="1">
        <f t="array" ref="N12">IFERROR(_xlfn._xlws.FILTER('03. AvgSummary'!$31:$31,('03. AvgSummary'!$30:$30='04. Summary'!N$1)*('03. AvgSummary'!$28:$28='04. Summary'!$C12)*('03. AvgSummary'!$27:$27='04. Summary'!$B12)),0)</f>
        <v>0</v>
      </c>
      <c r="O12" s="30" cm="1">
        <f t="array" ref="O12">IFERROR(_xlfn._xlws.FILTER('03. AvgSummary'!$31:$31,('03. AvgSummary'!$30:$30='04. Summary'!O$1)*('03. AvgSummary'!$28:$28='04. Summary'!$C12)*('03. AvgSummary'!$27:$27='04. Summary'!$B12)),0)</f>
        <v>0</v>
      </c>
      <c r="P12" s="30" cm="1">
        <f t="array" ref="P12">IFERROR(_xlfn._xlws.FILTER('03. AvgSummary'!$31:$31,('03. AvgSummary'!$30:$30='04. Summary'!P$1)*('03. AvgSummary'!$28:$28='04. Summary'!$C12)*('03. AvgSummary'!$27:$27='04. Summary'!$B12)),0)</f>
        <v>0</v>
      </c>
    </row>
    <row r="13" spans="1:16" x14ac:dyDescent="0.45">
      <c r="A13" s="6">
        <f t="shared" si="0"/>
        <v>12</v>
      </c>
      <c r="B13" t="str">
        <v>ProductType: EARTHQUAKE RELIEF LO</v>
      </c>
      <c r="C13" t="str">
        <v>Stage: 2</v>
      </c>
      <c r="D13" s="30" cm="1">
        <f t="array" ref="D13">IFERROR(_xlfn._xlws.FILTER('03. AvgSummary'!$26:$26,('03. AvgSummary'!$27:$27='04. Summary'!$B13)*('03. AvgSummary'!$28:$28='04. Summary'!$C13)*('03. AvgSummary'!$29:$29='04. Summary'!D$1)),0)</f>
        <v>0</v>
      </c>
      <c r="E13" s="30" cm="1">
        <f t="array" ref="E13">IFERROR(_xlfn._xlws.FILTER('03. AvgSummary'!$26:$26,('03. AvgSummary'!$27:$27='04. Summary'!$B13)*('03. AvgSummary'!$28:$28='04. Summary'!$C13)*('03. AvgSummary'!$29:$29='04. Summary'!E$1)),0)</f>
        <v>0</v>
      </c>
      <c r="F13" s="30" cm="1">
        <f t="array" ref="F13">IFERROR(_xlfn._xlws.FILTER('03. AvgSummary'!$26:$26,('03. AvgSummary'!$27:$27='04. Summary'!$B13)*('03. AvgSummary'!$28:$28='04. Summary'!$C13)*('03. AvgSummary'!$29:$29='04. Summary'!F$1)),0)</f>
        <v>0</v>
      </c>
      <c r="G13" s="30" cm="1">
        <f t="array" ref="G13">IFERROR(_xlfn._xlws.FILTER('03. AvgSummary'!$26:$26,('03. AvgSummary'!$27:$27='04. Summary'!$B13)*('03. AvgSummary'!$28:$28='04. Summary'!$C13)*('03. AvgSummary'!$29:$29='04. Summary'!G$1)),0)</f>
        <v>0</v>
      </c>
      <c r="H13" s="30" cm="1">
        <f t="array" ref="H13">IFERROR(_xlfn._xlws.FILTER('03. AvgSummary'!$26:$26,('03. AvgSummary'!$27:$27='04. Summary'!$B13)*('03. AvgSummary'!$28:$28='04. Summary'!$C13)*('03. AvgSummary'!$29:$29='04. Summary'!H$1)),0)</f>
        <v>0</v>
      </c>
      <c r="I13" s="30" cm="1">
        <f t="array" ref="I13">IFERROR(_xlfn._xlws.FILTER('03. AvgSummary'!$26:$26,('03. AvgSummary'!$27:$27='04. Summary'!$B13)*('03. AvgSummary'!$28:$28='04. Summary'!$C13)*('03. AvgSummary'!$29:$29='04. Summary'!I$1)),0)</f>
        <v>0</v>
      </c>
      <c r="J13" s="30" cm="1">
        <f t="array" ref="J13">IFERROR(_xlfn._xlws.FILTER('03. AvgSummary'!$31:$31,('03. AvgSummary'!$30:$30='04. Summary'!J$1)*('03. AvgSummary'!$28:$28='04. Summary'!$C13)*('03. AvgSummary'!$27:$27='04. Summary'!$B13)),0)</f>
        <v>0</v>
      </c>
      <c r="K13" s="30" cm="1">
        <f t="array" ref="K13">IFERROR(_xlfn._xlws.FILTER('03. AvgSummary'!$31:$31,('03. AvgSummary'!$30:$30='04. Summary'!K$1)*('03. AvgSummary'!$28:$28='04. Summary'!$C13)*('03. AvgSummary'!$27:$27='04. Summary'!$B13)),0)</f>
        <v>0</v>
      </c>
      <c r="L13" s="30" cm="1">
        <f t="array" ref="L13">IFERROR(_xlfn._xlws.FILTER('03. AvgSummary'!$31:$31,('03. AvgSummary'!$30:$30='04. Summary'!L$1)*('03. AvgSummary'!$28:$28='04. Summary'!$C13)*('03. AvgSummary'!$27:$27='04. Summary'!$B13)),0)</f>
        <v>0</v>
      </c>
      <c r="M13" s="30" cm="1">
        <f t="array" ref="M13">IFERROR(_xlfn._xlws.FILTER('03. AvgSummary'!$31:$31,('03. AvgSummary'!$30:$30='04. Summary'!M$1)*('03. AvgSummary'!$28:$28='04. Summary'!$C13)*('03. AvgSummary'!$27:$27='04. Summary'!$B13)),0)</f>
        <v>0</v>
      </c>
      <c r="N13" s="30" cm="1">
        <f t="array" ref="N13">IFERROR(_xlfn._xlws.FILTER('03. AvgSummary'!$31:$31,('03. AvgSummary'!$30:$30='04. Summary'!N$1)*('03. AvgSummary'!$28:$28='04. Summary'!$C13)*('03. AvgSummary'!$27:$27='04. Summary'!$B13)),0)</f>
        <v>0</v>
      </c>
      <c r="O13" s="30" cm="1">
        <f t="array" ref="O13">IFERROR(_xlfn._xlws.FILTER('03. AvgSummary'!$31:$31,('03. AvgSummary'!$30:$30='04. Summary'!O$1)*('03. AvgSummary'!$28:$28='04. Summary'!$C13)*('03. AvgSummary'!$27:$27='04. Summary'!$B13)),0)</f>
        <v>0</v>
      </c>
      <c r="P13" s="30" cm="1">
        <f t="array" ref="P13">IFERROR(_xlfn._xlws.FILTER('03. AvgSummary'!$31:$31,('03. AvgSummary'!$30:$30='04. Summary'!P$1)*('03. AvgSummary'!$28:$28='04. Summary'!$C13)*('03. AvgSummary'!$27:$27='04. Summary'!$B13)),0)</f>
        <v>0</v>
      </c>
    </row>
    <row r="14" spans="1:16" x14ac:dyDescent="0.45">
      <c r="A14" s="6">
        <f t="shared" si="0"/>
        <v>13</v>
      </c>
      <c r="B14" t="str">
        <v>ProductType: EDUCATIONAL LOAN</v>
      </c>
      <c r="C14" t="str">
        <v>Stage: 1</v>
      </c>
      <c r="D14" s="30" cm="1">
        <f t="array" ref="D14">IFERROR(_xlfn._xlws.FILTER('03. AvgSummary'!$26:$26,('03. AvgSummary'!$27:$27='04. Summary'!$B14)*('03. AvgSummary'!$28:$28='04. Summary'!$C14)*('03. AvgSummary'!$29:$29='04. Summary'!D$1)),0)</f>
        <v>0.23468782257180515</v>
      </c>
      <c r="E14" s="30" cm="1">
        <f t="array" ref="E14">IFERROR(_xlfn._xlws.FILTER('03. AvgSummary'!$26:$26,('03. AvgSummary'!$27:$27='04. Summary'!$B14)*('03. AvgSummary'!$28:$28='04. Summary'!$C14)*('03. AvgSummary'!$29:$29='04. Summary'!E$1)),0)</f>
        <v>-2.3801183240655028</v>
      </c>
      <c r="F14" s="30" cm="1">
        <f t="array" ref="F14">IFERROR(_xlfn._xlws.FILTER('03. AvgSummary'!$26:$26,('03. AvgSummary'!$27:$27='04. Summary'!$B14)*('03. AvgSummary'!$28:$28='04. Summary'!$C14)*('03. AvgSummary'!$29:$29='04. Summary'!F$1)),0)</f>
        <v>-5.1414529481862914</v>
      </c>
      <c r="G14" s="30" cm="1">
        <f t="array" ref="G14">IFERROR(_xlfn._xlws.FILTER('03. AvgSummary'!$26:$26,('03. AvgSummary'!$27:$27='04. Summary'!$B14)*('03. AvgSummary'!$28:$28='04. Summary'!$C14)*('03. AvgSummary'!$29:$29='04. Summary'!G$1)),0)</f>
        <v>8.2717790233526749</v>
      </c>
      <c r="H14" s="30" cm="1">
        <f t="array" ref="H14">IFERROR(_xlfn._xlws.FILTER('03. AvgSummary'!$26:$26,('03. AvgSummary'!$27:$27='04. Summary'!$B14)*('03. AvgSummary'!$28:$28='04. Summary'!$C14)*('03. AvgSummary'!$29:$29='04. Summary'!H$1)),0)</f>
        <v>1.510442632731342E-2</v>
      </c>
      <c r="I14" s="30" cm="1">
        <f t="array" ref="I14">IFERROR(_xlfn._xlws.FILTER('03. AvgSummary'!$26:$26,('03. AvgSummary'!$27:$27='04. Summary'!$B14)*('03. AvgSummary'!$28:$28='04. Summary'!$C14)*('03. AvgSummary'!$29:$29='04. Summary'!I$1)),0)</f>
        <v>8.366675121628743E-2</v>
      </c>
      <c r="J14" s="30" cm="1">
        <f t="array" ref="J14">IFERROR(_xlfn._xlws.FILTER('03. AvgSummary'!$31:$31,('03. AvgSummary'!$30:$30='04. Summary'!J$1)*('03. AvgSummary'!$28:$28='04. Summary'!$C14)*('03. AvgSummary'!$27:$27='04. Summary'!$B14)),0)</f>
        <v>4.787499419544549E-2</v>
      </c>
      <c r="K14" s="30" cm="1">
        <f t="array" ref="K14">IFERROR(_xlfn._xlws.FILTER('03. AvgSummary'!$31:$31,('03. AvgSummary'!$30:$30='04. Summary'!K$1)*('03. AvgSummary'!$28:$28='04. Summary'!$C14)*('03. AvgSummary'!$27:$27='04. Summary'!$B14)),0)</f>
        <v>0.23284122121665513</v>
      </c>
      <c r="L14" s="30" cm="1">
        <f t="array" ref="L14">IFERROR(_xlfn._xlws.FILTER('03. AvgSummary'!$31:$31,('03. AvgSummary'!$30:$30='04. Summary'!L$1)*('03. AvgSummary'!$28:$28='04. Summary'!$C14)*('03. AvgSummary'!$27:$27='04. Summary'!$B14)),0)</f>
        <v>0.13909616231124988</v>
      </c>
      <c r="M14" s="30" cm="1">
        <f t="array" ref="M14">IFERROR(_xlfn._xlws.FILTER('03. AvgSummary'!$31:$31,('03. AvgSummary'!$30:$30='04. Summary'!M$1)*('03. AvgSummary'!$28:$28='04. Summary'!$C14)*('03. AvgSummary'!$27:$27='04. Summary'!$B14)),0)</f>
        <v>4.0858102894239058E-2</v>
      </c>
      <c r="N14" s="30" cm="1">
        <f t="array" ref="N14">IFERROR(_xlfn._xlws.FILTER('03. AvgSummary'!$31:$31,('03. AvgSummary'!$30:$30='04. Summary'!N$1)*('03. AvgSummary'!$28:$28='04. Summary'!$C14)*('03. AvgSummary'!$27:$27='04. Summary'!$B14)),0)</f>
        <v>2.2120370092651588E-2</v>
      </c>
      <c r="O14" s="30" cm="1">
        <f t="array" ref="O14">IFERROR(_xlfn._xlws.FILTER('03. AvgSummary'!$31:$31,('03. AvgSummary'!$30:$30='04. Summary'!O$1)*('03. AvgSummary'!$28:$28='04. Summary'!$C14)*('03. AvgSummary'!$27:$27='04. Summary'!$B14)),0)</f>
        <v>0.10287640780377083</v>
      </c>
      <c r="P14" s="30" cm="1">
        <f t="array" ref="P14">IFERROR(_xlfn._xlws.FILTER('03. AvgSummary'!$31:$31,('03. AvgSummary'!$30:$30='04. Summary'!P$1)*('03. AvgSummary'!$28:$28='04. Summary'!$C14)*('03. AvgSummary'!$27:$27='04. Summary'!$B14)),0)</f>
        <v>0</v>
      </c>
    </row>
    <row r="15" spans="1:16" x14ac:dyDescent="0.45">
      <c r="A15" s="6">
        <f t="shared" si="0"/>
        <v>14</v>
      </c>
      <c r="B15" t="str">
        <v>ProductType: EDUCATIONAL LOAN</v>
      </c>
      <c r="C15" t="str">
        <v>Stage: 2</v>
      </c>
      <c r="D15" s="30" cm="1">
        <f t="array" ref="D15">IFERROR(_xlfn._xlws.FILTER('03. AvgSummary'!$26:$26,('03. AvgSummary'!$27:$27='04. Summary'!$B15)*('03. AvgSummary'!$28:$28='04. Summary'!$C15)*('03. AvgSummary'!$29:$29='04. Summary'!D$1)),0)</f>
        <v>-0.13295066734408653</v>
      </c>
      <c r="E15" s="30" cm="1">
        <f t="array" ref="E15">IFERROR(_xlfn._xlws.FILTER('03. AvgSummary'!$26:$26,('03. AvgSummary'!$27:$27='04. Summary'!$B15)*('03. AvgSummary'!$28:$28='04. Summary'!$C15)*('03. AvgSummary'!$29:$29='04. Summary'!E$1)),0)</f>
        <v>-0.12785960175041097</v>
      </c>
      <c r="F15" s="30" cm="1">
        <f t="array" ref="F15">IFERROR(_xlfn._xlws.FILTER('03. AvgSummary'!$26:$26,('03. AvgSummary'!$27:$27='04. Summary'!$B15)*('03. AvgSummary'!$28:$28='04. Summary'!$C15)*('03. AvgSummary'!$29:$29='04. Summary'!F$1)),0)</f>
        <v>0.60349742392211292</v>
      </c>
      <c r="G15" s="30" cm="1">
        <f t="array" ref="G15">IFERROR(_xlfn._xlws.FILTER('03. AvgSummary'!$26:$26,('03. AvgSummary'!$27:$27='04. Summary'!$B15)*('03. AvgSummary'!$28:$28='04. Summary'!$C15)*('03. AvgSummary'!$29:$29='04. Summary'!G$1)),0)</f>
        <v>0.65740028144116602</v>
      </c>
      <c r="H15" s="30" cm="1">
        <f t="array" ref="H15">IFERROR(_xlfn._xlws.FILTER('03. AvgSummary'!$26:$26,('03. AvgSummary'!$27:$27='04. Summary'!$B15)*('03. AvgSummary'!$28:$28='04. Summary'!$C15)*('03. AvgSummary'!$29:$29='04. Summary'!H$1)),0)</f>
        <v>-8.7436268781262961E-5</v>
      </c>
      <c r="I15" s="30" cm="1">
        <f t="array" ref="I15">IFERROR(_xlfn._xlws.FILTER('03. AvgSummary'!$26:$26,('03. AvgSummary'!$27:$27='04. Summary'!$B15)*('03. AvgSummary'!$28:$28='04. Summary'!$C15)*('03. AvgSummary'!$29:$29='04. Summary'!I$1)),0)</f>
        <v>0.15118832590892087</v>
      </c>
      <c r="J15" s="30" cm="1">
        <f t="array" ref="J15">IFERROR(_xlfn._xlws.FILTER('03. AvgSummary'!$31:$31,('03. AvgSummary'!$30:$30='04. Summary'!J$1)*('03. AvgSummary'!$28:$28='04. Summary'!$C15)*('03. AvgSummary'!$27:$27='04. Summary'!$B15)),0)</f>
        <v>0.15042161813205565</v>
      </c>
      <c r="K15" s="30" cm="1">
        <f t="array" ref="K15">IFERROR(_xlfn._xlws.FILTER('03. AvgSummary'!$31:$31,('03. AvgSummary'!$30:$30='04. Summary'!K$1)*('03. AvgSummary'!$28:$28='04. Summary'!$C15)*('03. AvgSummary'!$27:$27='04. Summary'!$B15)),0)</f>
        <v>0.29601776701523341</v>
      </c>
      <c r="L15" s="30" cm="1">
        <f t="array" ref="L15">IFERROR(_xlfn._xlws.FILTER('03. AvgSummary'!$31:$31,('03. AvgSummary'!$30:$30='04. Summary'!L$1)*('03. AvgSummary'!$28:$28='04. Summary'!$C15)*('03. AvgSummary'!$27:$27='04. Summary'!$B15)),0)</f>
        <v>0.27232097163319835</v>
      </c>
      <c r="M15" s="30" cm="1">
        <f t="array" ref="M15">IFERROR(_xlfn._xlws.FILTER('03. AvgSummary'!$31:$31,('03. AvgSummary'!$30:$30='04. Summary'!M$1)*('03. AvgSummary'!$28:$28='04. Summary'!$C15)*('03. AvgSummary'!$27:$27='04. Summary'!$B15)),0)</f>
        <v>3.8641286211090975E-2</v>
      </c>
      <c r="N15" s="30" cm="1">
        <f t="array" ref="N15">IFERROR(_xlfn._xlws.FILTER('03. AvgSummary'!$31:$31,('03. AvgSummary'!$30:$30='04. Summary'!N$1)*('03. AvgSummary'!$28:$28='04. Summary'!$C15)*('03. AvgSummary'!$27:$27='04. Summary'!$B15)),0)</f>
        <v>0.30091663837086768</v>
      </c>
      <c r="O15" s="30" cm="1">
        <f t="array" ref="O15">IFERROR(_xlfn._xlws.FILTER('03. AvgSummary'!$31:$31,('03. AvgSummary'!$30:$30='04. Summary'!O$1)*('03. AvgSummary'!$28:$28='04. Summary'!$C15)*('03. AvgSummary'!$27:$27='04. Summary'!$B15)),0)</f>
        <v>0</v>
      </c>
      <c r="P15" s="30" cm="1">
        <f t="array" ref="P15">IFERROR(_xlfn._xlws.FILTER('03. AvgSummary'!$31:$31,('03. AvgSummary'!$30:$30='04. Summary'!P$1)*('03. AvgSummary'!$28:$28='04. Summary'!$C15)*('03. AvgSummary'!$27:$27='04. Summary'!$B15)),0)</f>
        <v>0</v>
      </c>
    </row>
    <row r="16" spans="1:16" x14ac:dyDescent="0.45">
      <c r="A16" s="6">
        <f t="shared" si="0"/>
        <v>15</v>
      </c>
      <c r="B16" t="str">
        <v>ProductType: EDUCATIONAL LOAN EMI</v>
      </c>
      <c r="C16" t="str">
        <v>Stage: 1</v>
      </c>
      <c r="D16" s="30" cm="1">
        <f t="array" ref="D16">IFERROR(_xlfn._xlws.FILTER('03. AvgSummary'!$26:$26,('03. AvgSummary'!$27:$27='04. Summary'!$B16)*('03. AvgSummary'!$28:$28='04. Summary'!$C16)*('03. AvgSummary'!$29:$29='04. Summary'!D$1)),0)</f>
        <v>0</v>
      </c>
      <c r="E16" s="30" cm="1">
        <f t="array" ref="E16">IFERROR(_xlfn._xlws.FILTER('03. AvgSummary'!$26:$26,('03. AvgSummary'!$27:$27='04. Summary'!$B16)*('03. AvgSummary'!$28:$28='04. Summary'!$C16)*('03. AvgSummary'!$29:$29='04. Summary'!E$1)),0)</f>
        <v>0</v>
      </c>
      <c r="F16" s="30" cm="1">
        <f t="array" ref="F16">IFERROR(_xlfn._xlws.FILTER('03. AvgSummary'!$26:$26,('03. AvgSummary'!$27:$27='04. Summary'!$B16)*('03. AvgSummary'!$28:$28='04. Summary'!$C16)*('03. AvgSummary'!$29:$29='04. Summary'!F$1)),0)</f>
        <v>0</v>
      </c>
      <c r="G16" s="30" cm="1">
        <f t="array" ref="G16">IFERROR(_xlfn._xlws.FILTER('03. AvgSummary'!$26:$26,('03. AvgSummary'!$27:$27='04. Summary'!$B16)*('03. AvgSummary'!$28:$28='04. Summary'!$C16)*('03. AvgSummary'!$29:$29='04. Summary'!G$1)),0)</f>
        <v>0</v>
      </c>
      <c r="H16" s="30" cm="1">
        <f t="array" ref="H16">IFERROR(_xlfn._xlws.FILTER('03. AvgSummary'!$26:$26,('03. AvgSummary'!$27:$27='04. Summary'!$B16)*('03. AvgSummary'!$28:$28='04. Summary'!$C16)*('03. AvgSummary'!$29:$29='04. Summary'!H$1)),0)</f>
        <v>0</v>
      </c>
      <c r="I16" s="30" cm="1">
        <f t="array" ref="I16">IFERROR(_xlfn._xlws.FILTER('03. AvgSummary'!$26:$26,('03. AvgSummary'!$27:$27='04. Summary'!$B16)*('03. AvgSummary'!$28:$28='04. Summary'!$C16)*('03. AvgSummary'!$29:$29='04. Summary'!I$1)),0)</f>
        <v>0</v>
      </c>
      <c r="J16" s="30" cm="1">
        <f t="array" ref="J16">IFERROR(_xlfn._xlws.FILTER('03. AvgSummary'!$31:$31,('03. AvgSummary'!$30:$30='04. Summary'!J$1)*('03. AvgSummary'!$28:$28='04. Summary'!$C16)*('03. AvgSummary'!$27:$27='04. Summary'!$B16)),0)</f>
        <v>0</v>
      </c>
      <c r="K16" s="30" cm="1">
        <f t="array" ref="K16">IFERROR(_xlfn._xlws.FILTER('03. AvgSummary'!$31:$31,('03. AvgSummary'!$30:$30='04. Summary'!K$1)*('03. AvgSummary'!$28:$28='04. Summary'!$C16)*('03. AvgSummary'!$27:$27='04. Summary'!$B16)),0)</f>
        <v>0</v>
      </c>
      <c r="L16" s="30" cm="1">
        <f t="array" ref="L16">IFERROR(_xlfn._xlws.FILTER('03. AvgSummary'!$31:$31,('03. AvgSummary'!$30:$30='04. Summary'!L$1)*('03. AvgSummary'!$28:$28='04. Summary'!$C16)*('03. AvgSummary'!$27:$27='04. Summary'!$B16)),0)</f>
        <v>0</v>
      </c>
      <c r="M16" s="30" cm="1">
        <f t="array" ref="M16">IFERROR(_xlfn._xlws.FILTER('03. AvgSummary'!$31:$31,('03. AvgSummary'!$30:$30='04. Summary'!M$1)*('03. AvgSummary'!$28:$28='04. Summary'!$C16)*('03. AvgSummary'!$27:$27='04. Summary'!$B16)),0)</f>
        <v>0</v>
      </c>
      <c r="N16" s="30" cm="1">
        <f t="array" ref="N16">IFERROR(_xlfn._xlws.FILTER('03. AvgSummary'!$31:$31,('03. AvgSummary'!$30:$30='04. Summary'!N$1)*('03. AvgSummary'!$28:$28='04. Summary'!$C16)*('03. AvgSummary'!$27:$27='04. Summary'!$B16)),0)</f>
        <v>0</v>
      </c>
      <c r="O16" s="30" cm="1">
        <f t="array" ref="O16">IFERROR(_xlfn._xlws.FILTER('03. AvgSummary'!$31:$31,('03. AvgSummary'!$30:$30='04. Summary'!O$1)*('03. AvgSummary'!$28:$28='04. Summary'!$C16)*('03. AvgSummary'!$27:$27='04. Summary'!$B16)),0)</f>
        <v>0</v>
      </c>
      <c r="P16" s="30" cm="1">
        <f t="array" ref="P16">IFERROR(_xlfn._xlws.FILTER('03. AvgSummary'!$31:$31,('03. AvgSummary'!$30:$30='04. Summary'!P$1)*('03. AvgSummary'!$28:$28='04. Summary'!$C16)*('03. AvgSummary'!$27:$27='04. Summary'!$B16)),0)</f>
        <v>0</v>
      </c>
    </row>
    <row r="17" spans="1:16" x14ac:dyDescent="0.45">
      <c r="A17" s="6">
        <f t="shared" si="0"/>
        <v>16</v>
      </c>
      <c r="B17" t="str">
        <v>ProductType: EDUCATIONAL LOAN EMI</v>
      </c>
      <c r="C17" t="str">
        <v>Stage: 2</v>
      </c>
      <c r="D17" s="30" cm="1">
        <f t="array" ref="D17">IFERROR(_xlfn._xlws.FILTER('03. AvgSummary'!$26:$26,('03. AvgSummary'!$27:$27='04. Summary'!$B17)*('03. AvgSummary'!$28:$28='04. Summary'!$C17)*('03. AvgSummary'!$29:$29='04. Summary'!D$1)),0)</f>
        <v>0</v>
      </c>
      <c r="E17" s="30" cm="1">
        <f t="array" ref="E17">IFERROR(_xlfn._xlws.FILTER('03. AvgSummary'!$26:$26,('03. AvgSummary'!$27:$27='04. Summary'!$B17)*('03. AvgSummary'!$28:$28='04. Summary'!$C17)*('03. AvgSummary'!$29:$29='04. Summary'!E$1)),0)</f>
        <v>0</v>
      </c>
      <c r="F17" s="30" cm="1">
        <f t="array" ref="F17">IFERROR(_xlfn._xlws.FILTER('03. AvgSummary'!$26:$26,('03. AvgSummary'!$27:$27='04. Summary'!$B17)*('03. AvgSummary'!$28:$28='04. Summary'!$C17)*('03. AvgSummary'!$29:$29='04. Summary'!F$1)),0)</f>
        <v>0</v>
      </c>
      <c r="G17" s="30" cm="1">
        <f t="array" ref="G17">IFERROR(_xlfn._xlws.FILTER('03. AvgSummary'!$26:$26,('03. AvgSummary'!$27:$27='04. Summary'!$B17)*('03. AvgSummary'!$28:$28='04. Summary'!$C17)*('03. AvgSummary'!$29:$29='04. Summary'!G$1)),0)</f>
        <v>0</v>
      </c>
      <c r="H17" s="30" cm="1">
        <f t="array" ref="H17">IFERROR(_xlfn._xlws.FILTER('03. AvgSummary'!$26:$26,('03. AvgSummary'!$27:$27='04. Summary'!$B17)*('03. AvgSummary'!$28:$28='04. Summary'!$C17)*('03. AvgSummary'!$29:$29='04. Summary'!H$1)),0)</f>
        <v>0</v>
      </c>
      <c r="I17" s="30" cm="1">
        <f t="array" ref="I17">IFERROR(_xlfn._xlws.FILTER('03. AvgSummary'!$26:$26,('03. AvgSummary'!$27:$27='04. Summary'!$B17)*('03. AvgSummary'!$28:$28='04. Summary'!$C17)*('03. AvgSummary'!$29:$29='04. Summary'!I$1)),0)</f>
        <v>0</v>
      </c>
      <c r="J17" s="30" cm="1">
        <f t="array" ref="J17">IFERROR(_xlfn._xlws.FILTER('03. AvgSummary'!$31:$31,('03. AvgSummary'!$30:$30='04. Summary'!J$1)*('03. AvgSummary'!$28:$28='04. Summary'!$C17)*('03. AvgSummary'!$27:$27='04. Summary'!$B17)),0)</f>
        <v>0</v>
      </c>
      <c r="K17" s="30" cm="1">
        <f t="array" ref="K17">IFERROR(_xlfn._xlws.FILTER('03. AvgSummary'!$31:$31,('03. AvgSummary'!$30:$30='04. Summary'!K$1)*('03. AvgSummary'!$28:$28='04. Summary'!$C17)*('03. AvgSummary'!$27:$27='04. Summary'!$B17)),0)</f>
        <v>0</v>
      </c>
      <c r="L17" s="30" cm="1">
        <f t="array" ref="L17">IFERROR(_xlfn._xlws.FILTER('03. AvgSummary'!$31:$31,('03. AvgSummary'!$30:$30='04. Summary'!L$1)*('03. AvgSummary'!$28:$28='04. Summary'!$C17)*('03. AvgSummary'!$27:$27='04. Summary'!$B17)),0)</f>
        <v>0</v>
      </c>
      <c r="M17" s="30" cm="1">
        <f t="array" ref="M17">IFERROR(_xlfn._xlws.FILTER('03. AvgSummary'!$31:$31,('03. AvgSummary'!$30:$30='04. Summary'!M$1)*('03. AvgSummary'!$28:$28='04. Summary'!$C17)*('03. AvgSummary'!$27:$27='04. Summary'!$B17)),0)</f>
        <v>0</v>
      </c>
      <c r="N17" s="30" cm="1">
        <f t="array" ref="N17">IFERROR(_xlfn._xlws.FILTER('03. AvgSummary'!$31:$31,('03. AvgSummary'!$30:$30='04. Summary'!N$1)*('03. AvgSummary'!$28:$28='04. Summary'!$C17)*('03. AvgSummary'!$27:$27='04. Summary'!$B17)),0)</f>
        <v>0</v>
      </c>
      <c r="O17" s="30" cm="1">
        <f t="array" ref="O17">IFERROR(_xlfn._xlws.FILTER('03. AvgSummary'!$31:$31,('03. AvgSummary'!$30:$30='04. Summary'!O$1)*('03. AvgSummary'!$28:$28='04. Summary'!$C17)*('03. AvgSummary'!$27:$27='04. Summary'!$B17)),0)</f>
        <v>0</v>
      </c>
      <c r="P17" s="30" cm="1">
        <f t="array" ref="P17">IFERROR(_xlfn._xlws.FILTER('03. AvgSummary'!$31:$31,('03. AvgSummary'!$30:$30='04. Summary'!P$1)*('03. AvgSummary'!$28:$28='04. Summary'!$C17)*('03. AvgSummary'!$27:$27='04. Summary'!$B17)),0)</f>
        <v>0</v>
      </c>
    </row>
    <row r="18" spans="1:16" x14ac:dyDescent="0.45">
      <c r="A18" s="6">
        <f t="shared" si="0"/>
        <v>17</v>
      </c>
      <c r="B18" t="str">
        <v>ProductType: HIRE PURCHASE LOAN</v>
      </c>
      <c r="C18" t="str">
        <v>Stage: 1</v>
      </c>
      <c r="D18" s="30" cm="1">
        <f t="array" ref="D18">IFERROR(_xlfn._xlws.FILTER('03. AvgSummary'!$26:$26,('03. AvgSummary'!$27:$27='04. Summary'!$B18)*('03. AvgSummary'!$28:$28='04. Summary'!$C18)*('03. AvgSummary'!$29:$29='04. Summary'!D$1)),0)</f>
        <v>-0.25002285690315595</v>
      </c>
      <c r="E18" s="30" cm="1">
        <f t="array" ref="E18">IFERROR(_xlfn._xlws.FILTER('03. AvgSummary'!$26:$26,('03. AvgSummary'!$27:$27='04. Summary'!$B18)*('03. AvgSummary'!$28:$28='04. Summary'!$C18)*('03. AvgSummary'!$29:$29='04. Summary'!E$1)),0)</f>
        <v>2.193140420066856E-2</v>
      </c>
      <c r="F18" s="30" cm="1">
        <f t="array" ref="F18">IFERROR(_xlfn._xlws.FILTER('03. AvgSummary'!$26:$26,('03. AvgSummary'!$27:$27='04. Summary'!$B18)*('03. AvgSummary'!$28:$28='04. Summary'!$C18)*('03. AvgSummary'!$29:$29='04. Summary'!F$1)),0)</f>
        <v>0.59664807302601952</v>
      </c>
      <c r="G18" s="30" cm="1">
        <f t="array" ref="G18">IFERROR(_xlfn._xlws.FILTER('03. AvgSummary'!$26:$26,('03. AvgSummary'!$27:$27='04. Summary'!$B18)*('03. AvgSummary'!$28:$28='04. Summary'!$C18)*('03. AvgSummary'!$29:$29='04. Summary'!G$1)),0)</f>
        <v>0.63216289674071591</v>
      </c>
      <c r="H18" s="30" cm="1">
        <f t="array" ref="H18">IFERROR(_xlfn._xlws.FILTER('03. AvgSummary'!$26:$26,('03. AvgSummary'!$27:$27='04. Summary'!$B18)*('03. AvgSummary'!$28:$28='04. Summary'!$C18)*('03. AvgSummary'!$29:$29='04. Summary'!H$1)),0)</f>
        <v>-7.1951706424790824E-4</v>
      </c>
      <c r="I18" s="30" cm="1">
        <f t="array" ref="I18">IFERROR(_xlfn._xlws.FILTER('03. AvgSummary'!$26:$26,('03. AvgSummary'!$27:$27='04. Summary'!$B18)*('03. AvgSummary'!$28:$28='04. Summary'!$C18)*('03. AvgSummary'!$29:$29='04. Summary'!I$1)),0)</f>
        <v>0.21657820866820754</v>
      </c>
      <c r="J18" s="30" cm="1">
        <f t="array" ref="J18">IFERROR(_xlfn._xlws.FILTER('03. AvgSummary'!$31:$31,('03. AvgSummary'!$30:$30='04. Summary'!J$1)*('03. AvgSummary'!$28:$28='04. Summary'!$C18)*('03. AvgSummary'!$27:$27='04. Summary'!$B18)),0)</f>
        <v>0.18678504939702459</v>
      </c>
      <c r="K18" s="30" cm="1">
        <f t="array" ref="K18">IFERROR(_xlfn._xlws.FILTER('03. AvgSummary'!$31:$31,('03. AvgSummary'!$30:$30='04. Summary'!K$1)*('03. AvgSummary'!$28:$28='04. Summary'!$C18)*('03. AvgSummary'!$27:$27='04. Summary'!$B18)),0)</f>
        <v>0.39575425486085847</v>
      </c>
      <c r="L18" s="30" cm="1">
        <f t="array" ref="L18">IFERROR(_xlfn._xlws.FILTER('03. AvgSummary'!$31:$31,('03. AvgSummary'!$30:$30='04. Summary'!L$1)*('03. AvgSummary'!$28:$28='04. Summary'!$C18)*('03. AvgSummary'!$27:$27='04. Summary'!$B18)),0)</f>
        <v>0.26259404041381085</v>
      </c>
      <c r="M18" s="30" cm="1">
        <f t="array" ref="M18">IFERROR(_xlfn._xlws.FILTER('03. AvgSummary'!$31:$31,('03. AvgSummary'!$30:$30='04. Summary'!M$1)*('03. AvgSummary'!$28:$28='04. Summary'!$C18)*('03. AvgSummary'!$27:$27='04. Summary'!$B18)),0)</f>
        <v>0.21330315809056716</v>
      </c>
      <c r="N18" s="30" cm="1">
        <f t="array" ref="N18">IFERROR(_xlfn._xlws.FILTER('03. AvgSummary'!$31:$31,('03. AvgSummary'!$30:$30='04. Summary'!N$1)*('03. AvgSummary'!$28:$28='04. Summary'!$C18)*('03. AvgSummary'!$27:$27='04. Summary'!$B18)),0)</f>
        <v>0.35325458104204666</v>
      </c>
      <c r="O18" s="30" cm="1">
        <f t="array" ref="O18">IFERROR(_xlfn._xlws.FILTER('03. AvgSummary'!$31:$31,('03. AvgSummary'!$30:$30='04. Summary'!O$1)*('03. AvgSummary'!$28:$28='04. Summary'!$C18)*('03. AvgSummary'!$27:$27='04. Summary'!$B18)),0)</f>
        <v>7.7306729082456407E-2</v>
      </c>
      <c r="P18" s="30" cm="1">
        <f t="array" ref="P18">IFERROR(_xlfn._xlws.FILTER('03. AvgSummary'!$31:$31,('03. AvgSummary'!$30:$30='04. Summary'!P$1)*('03. AvgSummary'!$28:$28='04. Summary'!$C18)*('03. AvgSummary'!$27:$27='04. Summary'!$B18)),0)</f>
        <v>2.7049647790688434E-2</v>
      </c>
    </row>
    <row r="19" spans="1:16" x14ac:dyDescent="0.45">
      <c r="A19" s="6">
        <f t="shared" si="0"/>
        <v>18</v>
      </c>
      <c r="B19" t="str">
        <v>ProductType: HIRE PURCHASE LOAN</v>
      </c>
      <c r="C19" t="str">
        <v>Stage: 2</v>
      </c>
      <c r="D19" s="30" cm="1">
        <f t="array" ref="D19">IFERROR(_xlfn._xlws.FILTER('03. AvgSummary'!$26:$26,('03. AvgSummary'!$27:$27='04. Summary'!$B19)*('03. AvgSummary'!$28:$28='04. Summary'!$C19)*('03. AvgSummary'!$29:$29='04. Summary'!D$1)),0)</f>
        <v>-3.7781613807734184E-2</v>
      </c>
      <c r="E19" s="30" cm="1">
        <f t="array" ref="E19">IFERROR(_xlfn._xlws.FILTER('03. AvgSummary'!$26:$26,('03. AvgSummary'!$27:$27='04. Summary'!$B19)*('03. AvgSummary'!$28:$28='04. Summary'!$C19)*('03. AvgSummary'!$29:$29='04. Summary'!E$1)),0)</f>
        <v>8.2366448662059222E-2</v>
      </c>
      <c r="F19" s="30" cm="1">
        <f t="array" ref="F19">IFERROR(_xlfn._xlws.FILTER('03. AvgSummary'!$26:$26,('03. AvgSummary'!$27:$27='04. Summary'!$B19)*('03. AvgSummary'!$28:$28='04. Summary'!$C19)*('03. AvgSummary'!$29:$29='04. Summary'!F$1)),0)</f>
        <v>0.53800086172666417</v>
      </c>
      <c r="G19" s="30" cm="1">
        <f t="array" ref="G19">IFERROR(_xlfn._xlws.FILTER('03. AvgSummary'!$26:$26,('03. AvgSummary'!$27:$27='04. Summary'!$B19)*('03. AvgSummary'!$28:$28='04. Summary'!$C19)*('03. AvgSummary'!$29:$29='04. Summary'!G$1)),0)</f>
        <v>0.41694601945104121</v>
      </c>
      <c r="H19" s="30" cm="1">
        <f t="array" ref="H19">IFERROR(_xlfn._xlws.FILTER('03. AvgSummary'!$26:$26,('03. AvgSummary'!$27:$27='04. Summary'!$B19)*('03. AvgSummary'!$28:$28='04. Summary'!$C19)*('03. AvgSummary'!$29:$29='04. Summary'!H$1)),0)</f>
        <v>4.6828396796962037E-4</v>
      </c>
      <c r="I19" s="30" cm="1">
        <f t="array" ref="I19">IFERROR(_xlfn._xlws.FILTER('03. AvgSummary'!$26:$26,('03. AvgSummary'!$27:$27='04. Summary'!$B19)*('03. AvgSummary'!$28:$28='04. Summary'!$C19)*('03. AvgSummary'!$29:$29='04. Summary'!I$1)),0)</f>
        <v>0.48064463439864308</v>
      </c>
      <c r="J19" s="30" cm="1">
        <f t="array" ref="J19">IFERROR(_xlfn._xlws.FILTER('03. AvgSummary'!$31:$31,('03. AvgSummary'!$30:$30='04. Summary'!J$1)*('03. AvgSummary'!$28:$28='04. Summary'!$C19)*('03. AvgSummary'!$27:$27='04. Summary'!$B19)),0)</f>
        <v>0.31447423074424308</v>
      </c>
      <c r="K19" s="30" cm="1">
        <f t="array" ref="K19">IFERROR(_xlfn._xlws.FILTER('03. AvgSummary'!$31:$31,('03. AvgSummary'!$30:$30='04. Summary'!K$1)*('03. AvgSummary'!$28:$28='04. Summary'!$C19)*('03. AvgSummary'!$27:$27='04. Summary'!$B19)),0)</f>
        <v>0.53412778161485375</v>
      </c>
      <c r="L19" s="30" cm="1">
        <f t="array" ref="L19">IFERROR(_xlfn._xlws.FILTER('03. AvgSummary'!$31:$31,('03. AvgSummary'!$30:$30='04. Summary'!L$1)*('03. AvgSummary'!$28:$28='04. Summary'!$C19)*('03. AvgSummary'!$27:$27='04. Summary'!$B19)),0)</f>
        <v>0.49241431133578589</v>
      </c>
      <c r="M19" s="30" cm="1">
        <f t="array" ref="M19">IFERROR(_xlfn._xlws.FILTER('03. AvgSummary'!$31:$31,('03. AvgSummary'!$30:$30='04. Summary'!M$1)*('03. AvgSummary'!$28:$28='04. Summary'!$C19)*('03. AvgSummary'!$27:$27='04. Summary'!$B19)),0)</f>
        <v>0.48126678709906073</v>
      </c>
      <c r="N19" s="30" cm="1">
        <f t="array" ref="N19">IFERROR(_xlfn._xlws.FILTER('03. AvgSummary'!$31:$31,('03. AvgSummary'!$30:$30='04. Summary'!N$1)*('03. AvgSummary'!$28:$28='04. Summary'!$C19)*('03. AvgSummary'!$27:$27='04. Summary'!$B19)),0)</f>
        <v>0.62335945928239422</v>
      </c>
      <c r="O19" s="30" cm="1">
        <f t="array" ref="O19">IFERROR(_xlfn._xlws.FILTER('03. AvgSummary'!$31:$31,('03. AvgSummary'!$30:$30='04. Summary'!O$1)*('03. AvgSummary'!$28:$28='04. Summary'!$C19)*('03. AvgSummary'!$27:$27='04. Summary'!$B19)),0)</f>
        <v>0.43168403049221232</v>
      </c>
      <c r="P19" s="30" cm="1">
        <f t="array" ref="P19">IFERROR(_xlfn._xlws.FILTER('03. AvgSummary'!$31:$31,('03. AvgSummary'!$30:$30='04. Summary'!P$1)*('03. AvgSummary'!$28:$28='04. Summary'!$C19)*('03. AvgSummary'!$27:$27='04. Summary'!$B19)),0)</f>
        <v>0.48718584022195144</v>
      </c>
    </row>
    <row r="20" spans="1:16" x14ac:dyDescent="0.45">
      <c r="A20" s="6">
        <f t="shared" si="0"/>
        <v>19</v>
      </c>
      <c r="B20" t="str">
        <v>ProductType: HOUSING LOAN</v>
      </c>
      <c r="C20" t="str">
        <v>Stage: 1</v>
      </c>
      <c r="D20" s="30" cm="1">
        <f t="array" ref="D20">IFERROR(_xlfn._xlws.FILTER('03. AvgSummary'!$26:$26,('03. AvgSummary'!$27:$27='04. Summary'!$B20)*('03. AvgSummary'!$28:$28='04. Summary'!$C20)*('03. AvgSummary'!$29:$29='04. Summary'!D$1)),0)</f>
        <v>2.7109646067815182E-2</v>
      </c>
      <c r="E20" s="30" cm="1">
        <f t="array" ref="E20">IFERROR(_xlfn._xlws.FILTER('03. AvgSummary'!$26:$26,('03. AvgSummary'!$27:$27='04. Summary'!$B20)*('03. AvgSummary'!$28:$28='04. Summary'!$C20)*('03. AvgSummary'!$29:$29='04. Summary'!E$1)),0)</f>
        <v>-0.12173379412868317</v>
      </c>
      <c r="F20" s="30" cm="1">
        <f t="array" ref="F20">IFERROR(_xlfn._xlws.FILTER('03. AvgSummary'!$26:$26,('03. AvgSummary'!$27:$27='04. Summary'!$B20)*('03. AvgSummary'!$28:$28='04. Summary'!$C20)*('03. AvgSummary'!$29:$29='04. Summary'!F$1)),0)</f>
        <v>0.60414505227555282</v>
      </c>
      <c r="G20" s="30" cm="1">
        <f t="array" ref="G20">IFERROR(_xlfn._xlws.FILTER('03. AvgSummary'!$26:$26,('03. AvgSummary'!$27:$27='04. Summary'!$B20)*('03. AvgSummary'!$28:$28='04. Summary'!$C20)*('03. AvgSummary'!$29:$29='04. Summary'!G$1)),0)</f>
        <v>0.48994036831921201</v>
      </c>
      <c r="H20" s="30" cm="1">
        <f t="array" ref="H20">IFERROR(_xlfn._xlws.FILTER('03. AvgSummary'!$26:$26,('03. AvgSummary'!$27:$27='04. Summary'!$B20)*('03. AvgSummary'!$28:$28='04. Summary'!$C20)*('03. AvgSummary'!$29:$29='04. Summary'!H$1)),0)</f>
        <v>5.3872746610314124E-4</v>
      </c>
      <c r="I20" s="30" cm="1">
        <f t="array" ref="I20">IFERROR(_xlfn._xlws.FILTER('03. AvgSummary'!$26:$26,('03. AvgSummary'!$27:$27='04. Summary'!$B20)*('03. AvgSummary'!$28:$28='04. Summary'!$C20)*('03. AvgSummary'!$29:$29='04. Summary'!I$1)),0)</f>
        <v>0.12804091365500264</v>
      </c>
      <c r="J20" s="30" cm="1">
        <f t="array" ref="J20">IFERROR(_xlfn._xlws.FILTER('03. AvgSummary'!$31:$31,('03. AvgSummary'!$30:$30='04. Summary'!J$1)*('03. AvgSummary'!$28:$28='04. Summary'!$C20)*('03. AvgSummary'!$27:$27='04. Summary'!$B20)),0)</f>
        <v>6.8734176962897131E-2</v>
      </c>
      <c r="K20" s="30" cm="1">
        <f t="array" ref="K20">IFERROR(_xlfn._xlws.FILTER('03. AvgSummary'!$31:$31,('03. AvgSummary'!$30:$30='04. Summary'!K$1)*('03. AvgSummary'!$28:$28='04. Summary'!$C20)*('03. AvgSummary'!$27:$27='04. Summary'!$B20)),0)</f>
        <v>0.20861299154065782</v>
      </c>
      <c r="L20" s="30" cm="1">
        <f t="array" ref="L20">IFERROR(_xlfn._xlws.FILTER('03. AvgSummary'!$31:$31,('03. AvgSummary'!$30:$30='04. Summary'!L$1)*('03. AvgSummary'!$28:$28='04. Summary'!$C20)*('03. AvgSummary'!$27:$27='04. Summary'!$B20)),0)</f>
        <v>0.10936330741432684</v>
      </c>
      <c r="M20" s="30" cm="1">
        <f t="array" ref="M20">IFERROR(_xlfn._xlws.FILTER('03. AvgSummary'!$31:$31,('03. AvgSummary'!$30:$30='04. Summary'!M$1)*('03. AvgSummary'!$28:$28='04. Summary'!$C20)*('03. AvgSummary'!$27:$27='04. Summary'!$B20)),0)</f>
        <v>8.1108824981693639E-2</v>
      </c>
      <c r="N20" s="30" cm="1">
        <f t="array" ref="N20">IFERROR(_xlfn._xlws.FILTER('03. AvgSummary'!$31:$31,('03. AvgSummary'!$30:$30='04. Summary'!N$1)*('03. AvgSummary'!$28:$28='04. Summary'!$C20)*('03. AvgSummary'!$27:$27='04. Summary'!$B20)),0)</f>
        <v>0.15762866978083007</v>
      </c>
      <c r="O20" s="30" cm="1">
        <f t="array" ref="O20">IFERROR(_xlfn._xlws.FILTER('03. AvgSummary'!$31:$31,('03. AvgSummary'!$30:$30='04. Summary'!O$1)*('03. AvgSummary'!$28:$28='04. Summary'!$C20)*('03. AvgSummary'!$27:$27='04. Summary'!$B20)),0)</f>
        <v>0.11448781997407037</v>
      </c>
      <c r="P20" s="30" cm="1">
        <f t="array" ref="P20">IFERROR(_xlfn._xlws.FILTER('03. AvgSummary'!$31:$31,('03. AvgSummary'!$30:$30='04. Summary'!P$1)*('03. AvgSummary'!$28:$28='04. Summary'!$C20)*('03. AvgSummary'!$27:$27='04. Summary'!$B20)),0)</f>
        <v>0.15635060493054265</v>
      </c>
    </row>
    <row r="21" spans="1:16" x14ac:dyDescent="0.45">
      <c r="A21" s="6">
        <f t="shared" si="0"/>
        <v>20</v>
      </c>
      <c r="B21" t="str">
        <v>ProductType: HOUSING LOAN</v>
      </c>
      <c r="C21" t="str">
        <v>Stage: 2</v>
      </c>
      <c r="D21" s="30" cm="1">
        <f t="array" ref="D21">IFERROR(_xlfn._xlws.FILTER('03. AvgSummary'!$26:$26,('03. AvgSummary'!$27:$27='04. Summary'!$B21)*('03. AvgSummary'!$28:$28='04. Summary'!$C21)*('03. AvgSummary'!$29:$29='04. Summary'!D$1)),0)</f>
        <v>1.3151025761590962E-2</v>
      </c>
      <c r="E21" s="30" cm="1">
        <f t="array" ref="E21">IFERROR(_xlfn._xlws.FILTER('03. AvgSummary'!$26:$26,('03. AvgSummary'!$27:$27='04. Summary'!$B21)*('03. AvgSummary'!$28:$28='04. Summary'!$C21)*('03. AvgSummary'!$29:$29='04. Summary'!E$1)),0)</f>
        <v>-0.17914020942361222</v>
      </c>
      <c r="F21" s="30" cm="1">
        <f t="array" ref="F21">IFERROR(_xlfn._xlws.FILTER('03. AvgSummary'!$26:$26,('03. AvgSummary'!$27:$27='04. Summary'!$B21)*('03. AvgSummary'!$28:$28='04. Summary'!$C21)*('03. AvgSummary'!$29:$29='04. Summary'!F$1)),0)</f>
        <v>0.59932214761161684</v>
      </c>
      <c r="G21" s="30" cm="1">
        <f t="array" ref="G21">IFERROR(_xlfn._xlws.FILTER('03. AvgSummary'!$26:$26,('03. AvgSummary'!$27:$27='04. Summary'!$B21)*('03. AvgSummary'!$28:$28='04. Summary'!$C21)*('03. AvgSummary'!$29:$29='04. Summary'!G$1)),0)</f>
        <v>0.56612665143959706</v>
      </c>
      <c r="H21" s="30" cm="1">
        <f t="array" ref="H21">IFERROR(_xlfn._xlws.FILTER('03. AvgSummary'!$26:$26,('03. AvgSummary'!$27:$27='04. Summary'!$B21)*('03. AvgSummary'!$28:$28='04. Summary'!$C21)*('03. AvgSummary'!$29:$29='04. Summary'!H$1)),0)</f>
        <v>5.4038461080719105E-4</v>
      </c>
      <c r="I21" s="30" cm="1">
        <f t="array" ref="I21">IFERROR(_xlfn._xlws.FILTER('03. AvgSummary'!$26:$26,('03. AvgSummary'!$27:$27='04. Summary'!$B21)*('03. AvgSummary'!$28:$28='04. Summary'!$C21)*('03. AvgSummary'!$29:$29='04. Summary'!I$1)),0)</f>
        <v>0.33860667461482757</v>
      </c>
      <c r="J21" s="30" cm="1">
        <f t="array" ref="J21">IFERROR(_xlfn._xlws.FILTER('03. AvgSummary'!$31:$31,('03. AvgSummary'!$30:$30='04. Summary'!J$1)*('03. AvgSummary'!$28:$28='04. Summary'!$C21)*('03. AvgSummary'!$27:$27='04. Summary'!$B21)),0)</f>
        <v>0.22102807594396157</v>
      </c>
      <c r="K21" s="30" cm="1">
        <f t="array" ref="K21">IFERROR(_xlfn._xlws.FILTER('03. AvgSummary'!$31:$31,('03. AvgSummary'!$30:$30='04. Summary'!K$1)*('03. AvgSummary'!$28:$28='04. Summary'!$C21)*('03. AvgSummary'!$27:$27='04. Summary'!$B21)),0)</f>
        <v>0.39633159927334727</v>
      </c>
      <c r="L21" s="30" cm="1">
        <f t="array" ref="L21">IFERROR(_xlfn._xlws.FILTER('03. AvgSummary'!$31:$31,('03. AvgSummary'!$30:$30='04. Summary'!L$1)*('03. AvgSummary'!$28:$28='04. Summary'!$C21)*('03. AvgSummary'!$27:$27='04. Summary'!$B21)),0)</f>
        <v>0.24271831357470744</v>
      </c>
      <c r="M21" s="30" cm="1">
        <f t="array" ref="M21">IFERROR(_xlfn._xlws.FILTER('03. AvgSummary'!$31:$31,('03. AvgSummary'!$30:$30='04. Summary'!M$1)*('03. AvgSummary'!$28:$28='04. Summary'!$C21)*('03. AvgSummary'!$27:$27='04. Summary'!$B21)),0)</f>
        <v>0.15813216349951448</v>
      </c>
      <c r="N21" s="30" cm="1">
        <f t="array" ref="N21">IFERROR(_xlfn._xlws.FILTER('03. AvgSummary'!$31:$31,('03. AvgSummary'!$30:$30='04. Summary'!N$1)*('03. AvgSummary'!$28:$28='04. Summary'!$C21)*('03. AvgSummary'!$27:$27='04. Summary'!$B21)),0)</f>
        <v>0.52325535424866698</v>
      </c>
      <c r="O21" s="30" cm="1">
        <f t="array" ref="O21">IFERROR(_xlfn._xlws.FILTER('03. AvgSummary'!$31:$31,('03. AvgSummary'!$30:$30='04. Summary'!O$1)*('03. AvgSummary'!$28:$28='04. Summary'!$C21)*('03. AvgSummary'!$27:$27='04. Summary'!$B21)),0)</f>
        <v>0.48931537184993812</v>
      </c>
      <c r="P21" s="30" cm="1">
        <f t="array" ref="P21">IFERROR(_xlfn._xlws.FILTER('03. AvgSummary'!$31:$31,('03. AvgSummary'!$30:$30='04. Summary'!P$1)*('03. AvgSummary'!$28:$28='04. Summary'!$C21)*('03. AvgSummary'!$27:$27='04. Summary'!$B21)),0)</f>
        <v>0.33946584391365742</v>
      </c>
    </row>
    <row r="22" spans="1:16" x14ac:dyDescent="0.45">
      <c r="A22" s="6">
        <f t="shared" si="0"/>
        <v>21</v>
      </c>
      <c r="B22" t="str">
        <v xml:space="preserve">ProductType: INT CAP TERM LOAN </v>
      </c>
      <c r="C22" t="str">
        <v>Stage: 1</v>
      </c>
      <c r="D22" s="30" cm="1">
        <f t="array" ref="D22">IFERROR(_xlfn._xlws.FILTER('03. AvgSummary'!$26:$26,('03. AvgSummary'!$27:$27='04. Summary'!$B22)*('03. AvgSummary'!$28:$28='04. Summary'!$C22)*('03. AvgSummary'!$29:$29='04. Summary'!D$1)),0)</f>
        <v>0</v>
      </c>
      <c r="E22" s="30" cm="1">
        <f t="array" ref="E22">IFERROR(_xlfn._xlws.FILTER('03. AvgSummary'!$26:$26,('03. AvgSummary'!$27:$27='04. Summary'!$B22)*('03. AvgSummary'!$28:$28='04. Summary'!$C22)*('03. AvgSummary'!$29:$29='04. Summary'!E$1)),0)</f>
        <v>0</v>
      </c>
      <c r="F22" s="30" cm="1">
        <f t="array" ref="F22">IFERROR(_xlfn._xlws.FILTER('03. AvgSummary'!$26:$26,('03. AvgSummary'!$27:$27='04. Summary'!$B22)*('03. AvgSummary'!$28:$28='04. Summary'!$C22)*('03. AvgSummary'!$29:$29='04. Summary'!F$1)),0)</f>
        <v>0</v>
      </c>
      <c r="G22" s="30" cm="1">
        <f t="array" ref="G22">IFERROR(_xlfn._xlws.FILTER('03. AvgSummary'!$26:$26,('03. AvgSummary'!$27:$27='04. Summary'!$B22)*('03. AvgSummary'!$28:$28='04. Summary'!$C22)*('03. AvgSummary'!$29:$29='04. Summary'!G$1)),0)</f>
        <v>0</v>
      </c>
      <c r="H22" s="30" cm="1">
        <f t="array" ref="H22">IFERROR(_xlfn._xlws.FILTER('03. AvgSummary'!$26:$26,('03. AvgSummary'!$27:$27='04. Summary'!$B22)*('03. AvgSummary'!$28:$28='04. Summary'!$C22)*('03. AvgSummary'!$29:$29='04. Summary'!H$1)),0)</f>
        <v>0</v>
      </c>
      <c r="I22" s="30" cm="1">
        <f t="array" ref="I22">IFERROR(_xlfn._xlws.FILTER('03. AvgSummary'!$26:$26,('03. AvgSummary'!$27:$27='04. Summary'!$B22)*('03. AvgSummary'!$28:$28='04. Summary'!$C22)*('03. AvgSummary'!$29:$29='04. Summary'!I$1)),0)</f>
        <v>0</v>
      </c>
      <c r="J22" s="30" cm="1">
        <f t="array" ref="J22">IFERROR(_xlfn._xlws.FILTER('03. AvgSummary'!$31:$31,('03. AvgSummary'!$30:$30='04. Summary'!J$1)*('03. AvgSummary'!$28:$28='04. Summary'!$C22)*('03. AvgSummary'!$27:$27='04. Summary'!$B22)),0)</f>
        <v>0</v>
      </c>
      <c r="K22" s="30" cm="1">
        <f t="array" ref="K22">IFERROR(_xlfn._xlws.FILTER('03. AvgSummary'!$31:$31,('03. AvgSummary'!$30:$30='04. Summary'!K$1)*('03. AvgSummary'!$28:$28='04. Summary'!$C22)*('03. AvgSummary'!$27:$27='04. Summary'!$B22)),0)</f>
        <v>0</v>
      </c>
      <c r="L22" s="30" cm="1">
        <f t="array" ref="L22">IFERROR(_xlfn._xlws.FILTER('03. AvgSummary'!$31:$31,('03. AvgSummary'!$30:$30='04. Summary'!L$1)*('03. AvgSummary'!$28:$28='04. Summary'!$C22)*('03. AvgSummary'!$27:$27='04. Summary'!$B22)),0)</f>
        <v>0</v>
      </c>
      <c r="M22" s="30" cm="1">
        <f t="array" ref="M22">IFERROR(_xlfn._xlws.FILTER('03. AvgSummary'!$31:$31,('03. AvgSummary'!$30:$30='04. Summary'!M$1)*('03. AvgSummary'!$28:$28='04. Summary'!$C22)*('03. AvgSummary'!$27:$27='04. Summary'!$B22)),0)</f>
        <v>0</v>
      </c>
      <c r="N22" s="30" cm="1">
        <f t="array" ref="N22">IFERROR(_xlfn._xlws.FILTER('03. AvgSummary'!$31:$31,('03. AvgSummary'!$30:$30='04. Summary'!N$1)*('03. AvgSummary'!$28:$28='04. Summary'!$C22)*('03. AvgSummary'!$27:$27='04. Summary'!$B22)),0)</f>
        <v>0</v>
      </c>
      <c r="O22" s="30" cm="1">
        <f t="array" ref="O22">IFERROR(_xlfn._xlws.FILTER('03. AvgSummary'!$31:$31,('03. AvgSummary'!$30:$30='04. Summary'!O$1)*('03. AvgSummary'!$28:$28='04. Summary'!$C22)*('03. AvgSummary'!$27:$27='04. Summary'!$B22)),0)</f>
        <v>0</v>
      </c>
      <c r="P22" s="30" cm="1">
        <f t="array" ref="P22">IFERROR(_xlfn._xlws.FILTER('03. AvgSummary'!$31:$31,('03. AvgSummary'!$30:$30='04. Summary'!P$1)*('03. AvgSummary'!$28:$28='04. Summary'!$C22)*('03. AvgSummary'!$27:$27='04. Summary'!$B22)),0)</f>
        <v>0</v>
      </c>
    </row>
    <row r="23" spans="1:16" x14ac:dyDescent="0.45">
      <c r="A23" s="6">
        <f t="shared" si="0"/>
        <v>22</v>
      </c>
      <c r="B23" t="str">
        <v xml:space="preserve">ProductType: INT CAP TERM LOAN </v>
      </c>
      <c r="C23" t="str">
        <v>Stage: 2</v>
      </c>
      <c r="D23" s="30" cm="1">
        <f t="array" ref="D23">IFERROR(_xlfn._xlws.FILTER('03. AvgSummary'!$26:$26,('03. AvgSummary'!$27:$27='04. Summary'!$B23)*('03. AvgSummary'!$28:$28='04. Summary'!$C23)*('03. AvgSummary'!$29:$29='04. Summary'!D$1)),0)</f>
        <v>0</v>
      </c>
      <c r="E23" s="30" cm="1">
        <f t="array" ref="E23">IFERROR(_xlfn._xlws.FILTER('03. AvgSummary'!$26:$26,('03. AvgSummary'!$27:$27='04. Summary'!$B23)*('03. AvgSummary'!$28:$28='04. Summary'!$C23)*('03. AvgSummary'!$29:$29='04. Summary'!E$1)),0)</f>
        <v>0</v>
      </c>
      <c r="F23" s="30" cm="1">
        <f t="array" ref="F23">IFERROR(_xlfn._xlws.FILTER('03. AvgSummary'!$26:$26,('03. AvgSummary'!$27:$27='04. Summary'!$B23)*('03. AvgSummary'!$28:$28='04. Summary'!$C23)*('03. AvgSummary'!$29:$29='04. Summary'!F$1)),0)</f>
        <v>0</v>
      </c>
      <c r="G23" s="30" cm="1">
        <f t="array" ref="G23">IFERROR(_xlfn._xlws.FILTER('03. AvgSummary'!$26:$26,('03. AvgSummary'!$27:$27='04. Summary'!$B23)*('03. AvgSummary'!$28:$28='04. Summary'!$C23)*('03. AvgSummary'!$29:$29='04. Summary'!G$1)),0)</f>
        <v>0</v>
      </c>
      <c r="H23" s="30" cm="1">
        <f t="array" ref="H23">IFERROR(_xlfn._xlws.FILTER('03. AvgSummary'!$26:$26,('03. AvgSummary'!$27:$27='04. Summary'!$B23)*('03. AvgSummary'!$28:$28='04. Summary'!$C23)*('03. AvgSummary'!$29:$29='04. Summary'!H$1)),0)</f>
        <v>0</v>
      </c>
      <c r="I23" s="30" cm="1">
        <f t="array" ref="I23">IFERROR(_xlfn._xlws.FILTER('03. AvgSummary'!$26:$26,('03. AvgSummary'!$27:$27='04. Summary'!$B23)*('03. AvgSummary'!$28:$28='04. Summary'!$C23)*('03. AvgSummary'!$29:$29='04. Summary'!I$1)),0)</f>
        <v>0</v>
      </c>
      <c r="J23" s="30" cm="1">
        <f t="array" ref="J23">IFERROR(_xlfn._xlws.FILTER('03. AvgSummary'!$31:$31,('03. AvgSummary'!$30:$30='04. Summary'!J$1)*('03. AvgSummary'!$28:$28='04. Summary'!$C23)*('03. AvgSummary'!$27:$27='04. Summary'!$B23)),0)</f>
        <v>0</v>
      </c>
      <c r="K23" s="30" cm="1">
        <f t="array" ref="K23">IFERROR(_xlfn._xlws.FILTER('03. AvgSummary'!$31:$31,('03. AvgSummary'!$30:$30='04. Summary'!K$1)*('03. AvgSummary'!$28:$28='04. Summary'!$C23)*('03. AvgSummary'!$27:$27='04. Summary'!$B23)),0)</f>
        <v>0</v>
      </c>
      <c r="L23" s="30" cm="1">
        <f t="array" ref="L23">IFERROR(_xlfn._xlws.FILTER('03. AvgSummary'!$31:$31,('03. AvgSummary'!$30:$30='04. Summary'!L$1)*('03. AvgSummary'!$28:$28='04. Summary'!$C23)*('03. AvgSummary'!$27:$27='04. Summary'!$B23)),0)</f>
        <v>0</v>
      </c>
      <c r="M23" s="30" cm="1">
        <f t="array" ref="M23">IFERROR(_xlfn._xlws.FILTER('03. AvgSummary'!$31:$31,('03. AvgSummary'!$30:$30='04. Summary'!M$1)*('03. AvgSummary'!$28:$28='04. Summary'!$C23)*('03. AvgSummary'!$27:$27='04. Summary'!$B23)),0)</f>
        <v>0</v>
      </c>
      <c r="N23" s="30" cm="1">
        <f t="array" ref="N23">IFERROR(_xlfn._xlws.FILTER('03. AvgSummary'!$31:$31,('03. AvgSummary'!$30:$30='04. Summary'!N$1)*('03. AvgSummary'!$28:$28='04. Summary'!$C23)*('03. AvgSummary'!$27:$27='04. Summary'!$B23)),0)</f>
        <v>0</v>
      </c>
      <c r="O23" s="30" cm="1">
        <f t="array" ref="O23">IFERROR(_xlfn._xlws.FILTER('03. AvgSummary'!$31:$31,('03. AvgSummary'!$30:$30='04. Summary'!O$1)*('03. AvgSummary'!$28:$28='04. Summary'!$C23)*('03. AvgSummary'!$27:$27='04. Summary'!$B23)),0)</f>
        <v>0</v>
      </c>
      <c r="P23" s="30" cm="1">
        <f t="array" ref="P23">IFERROR(_xlfn._xlws.FILTER('03. AvgSummary'!$31:$31,('03. AvgSummary'!$30:$30='04. Summary'!P$1)*('03. AvgSummary'!$28:$28='04. Summary'!$C23)*('03. AvgSummary'!$27:$27='04. Summary'!$B23)),0)</f>
        <v>0</v>
      </c>
    </row>
    <row r="24" spans="1:16" x14ac:dyDescent="0.45">
      <c r="A24" s="6">
        <f t="shared" si="0"/>
        <v>23</v>
      </c>
      <c r="B24" t="str">
        <v>ProductType: LOAN AGAINST FDR</v>
      </c>
      <c r="C24" t="str">
        <v>Stage: 1</v>
      </c>
      <c r="D24" s="30" cm="1">
        <f t="array" ref="D24">IFERROR(_xlfn._xlws.FILTER('03. AvgSummary'!$26:$26,('03. AvgSummary'!$27:$27='04. Summary'!$B24)*('03. AvgSummary'!$28:$28='04. Summary'!$C24)*('03. AvgSummary'!$29:$29='04. Summary'!D$1)),0)</f>
        <v>0</v>
      </c>
      <c r="E24" s="30" cm="1">
        <f t="array" ref="E24">IFERROR(_xlfn._xlws.FILTER('03. AvgSummary'!$26:$26,('03. AvgSummary'!$27:$27='04. Summary'!$B24)*('03. AvgSummary'!$28:$28='04. Summary'!$C24)*('03. AvgSummary'!$29:$29='04. Summary'!E$1)),0)</f>
        <v>0</v>
      </c>
      <c r="F24" s="30" cm="1">
        <f t="array" ref="F24">IFERROR(_xlfn._xlws.FILTER('03. AvgSummary'!$26:$26,('03. AvgSummary'!$27:$27='04. Summary'!$B24)*('03. AvgSummary'!$28:$28='04. Summary'!$C24)*('03. AvgSummary'!$29:$29='04. Summary'!F$1)),0)</f>
        <v>0</v>
      </c>
      <c r="G24" s="30" cm="1">
        <f t="array" ref="G24">IFERROR(_xlfn._xlws.FILTER('03. AvgSummary'!$26:$26,('03. AvgSummary'!$27:$27='04. Summary'!$B24)*('03. AvgSummary'!$28:$28='04. Summary'!$C24)*('03. AvgSummary'!$29:$29='04. Summary'!G$1)),0)</f>
        <v>0</v>
      </c>
      <c r="H24" s="30" cm="1">
        <f t="array" ref="H24">IFERROR(_xlfn._xlws.FILTER('03. AvgSummary'!$26:$26,('03. AvgSummary'!$27:$27='04. Summary'!$B24)*('03. AvgSummary'!$28:$28='04. Summary'!$C24)*('03. AvgSummary'!$29:$29='04. Summary'!H$1)),0)</f>
        <v>0</v>
      </c>
      <c r="I24" s="30" cm="1">
        <f t="array" ref="I24">IFERROR(_xlfn._xlws.FILTER('03. AvgSummary'!$26:$26,('03. AvgSummary'!$27:$27='04. Summary'!$B24)*('03. AvgSummary'!$28:$28='04. Summary'!$C24)*('03. AvgSummary'!$29:$29='04. Summary'!I$1)),0)</f>
        <v>0</v>
      </c>
      <c r="J24" s="30" cm="1">
        <f t="array" ref="J24">IFERROR(_xlfn._xlws.FILTER('03. AvgSummary'!$31:$31,('03. AvgSummary'!$30:$30='04. Summary'!J$1)*('03. AvgSummary'!$28:$28='04. Summary'!$C24)*('03. AvgSummary'!$27:$27='04. Summary'!$B24)),0)</f>
        <v>0</v>
      </c>
      <c r="K24" s="30" cm="1">
        <f t="array" ref="K24">IFERROR(_xlfn._xlws.FILTER('03. AvgSummary'!$31:$31,('03. AvgSummary'!$30:$30='04. Summary'!K$1)*('03. AvgSummary'!$28:$28='04. Summary'!$C24)*('03. AvgSummary'!$27:$27='04. Summary'!$B24)),0)</f>
        <v>0</v>
      </c>
      <c r="L24" s="30" cm="1">
        <f t="array" ref="L24">IFERROR(_xlfn._xlws.FILTER('03. AvgSummary'!$31:$31,('03. AvgSummary'!$30:$30='04. Summary'!L$1)*('03. AvgSummary'!$28:$28='04. Summary'!$C24)*('03. AvgSummary'!$27:$27='04. Summary'!$B24)),0)</f>
        <v>0</v>
      </c>
      <c r="M24" s="30" cm="1">
        <f t="array" ref="M24">IFERROR(_xlfn._xlws.FILTER('03. AvgSummary'!$31:$31,('03. AvgSummary'!$30:$30='04. Summary'!M$1)*('03. AvgSummary'!$28:$28='04. Summary'!$C24)*('03. AvgSummary'!$27:$27='04. Summary'!$B24)),0)</f>
        <v>0</v>
      </c>
      <c r="N24" s="30" cm="1">
        <f t="array" ref="N24">IFERROR(_xlfn._xlws.FILTER('03. AvgSummary'!$31:$31,('03. AvgSummary'!$30:$30='04. Summary'!N$1)*('03. AvgSummary'!$28:$28='04. Summary'!$C24)*('03. AvgSummary'!$27:$27='04. Summary'!$B24)),0)</f>
        <v>0</v>
      </c>
      <c r="O24" s="30" cm="1">
        <f t="array" ref="O24">IFERROR(_xlfn._xlws.FILTER('03. AvgSummary'!$31:$31,('03. AvgSummary'!$30:$30='04. Summary'!O$1)*('03. AvgSummary'!$28:$28='04. Summary'!$C24)*('03. AvgSummary'!$27:$27='04. Summary'!$B24)),0)</f>
        <v>0</v>
      </c>
      <c r="P24" s="30" cm="1">
        <f t="array" ref="P24">IFERROR(_xlfn._xlws.FILTER('03. AvgSummary'!$31:$31,('03. AvgSummary'!$30:$30='04. Summary'!P$1)*('03. AvgSummary'!$28:$28='04. Summary'!$C24)*('03. AvgSummary'!$27:$27='04. Summary'!$B24)),0)</f>
        <v>0</v>
      </c>
    </row>
    <row r="25" spans="1:16" x14ac:dyDescent="0.45">
      <c r="A25" s="6">
        <f t="shared" si="0"/>
        <v>24</v>
      </c>
      <c r="B25" t="str">
        <v>ProductType: LOAN AGAINST FDR</v>
      </c>
      <c r="C25" t="str">
        <v>Stage: 2</v>
      </c>
      <c r="D25" s="30" cm="1">
        <f t="array" ref="D25">IFERROR(_xlfn._xlws.FILTER('03. AvgSummary'!$26:$26,('03. AvgSummary'!$27:$27='04. Summary'!$B25)*('03. AvgSummary'!$28:$28='04. Summary'!$C25)*('03. AvgSummary'!$29:$29='04. Summary'!D$1)),0)</f>
        <v>0</v>
      </c>
      <c r="E25" s="30" cm="1">
        <f t="array" ref="E25">IFERROR(_xlfn._xlws.FILTER('03. AvgSummary'!$26:$26,('03. AvgSummary'!$27:$27='04. Summary'!$B25)*('03. AvgSummary'!$28:$28='04. Summary'!$C25)*('03. AvgSummary'!$29:$29='04. Summary'!E$1)),0)</f>
        <v>0</v>
      </c>
      <c r="F25" s="30" cm="1">
        <f t="array" ref="F25">IFERROR(_xlfn._xlws.FILTER('03. AvgSummary'!$26:$26,('03. AvgSummary'!$27:$27='04. Summary'!$B25)*('03. AvgSummary'!$28:$28='04. Summary'!$C25)*('03. AvgSummary'!$29:$29='04. Summary'!F$1)),0)</f>
        <v>0</v>
      </c>
      <c r="G25" s="30" cm="1">
        <f t="array" ref="G25">IFERROR(_xlfn._xlws.FILTER('03. AvgSummary'!$26:$26,('03. AvgSummary'!$27:$27='04. Summary'!$B25)*('03. AvgSummary'!$28:$28='04. Summary'!$C25)*('03. AvgSummary'!$29:$29='04. Summary'!G$1)),0)</f>
        <v>0</v>
      </c>
      <c r="H25" s="30" cm="1">
        <f t="array" ref="H25">IFERROR(_xlfn._xlws.FILTER('03. AvgSummary'!$26:$26,('03. AvgSummary'!$27:$27='04. Summary'!$B25)*('03. AvgSummary'!$28:$28='04. Summary'!$C25)*('03. AvgSummary'!$29:$29='04. Summary'!H$1)),0)</f>
        <v>0</v>
      </c>
      <c r="I25" s="30" cm="1">
        <f t="array" ref="I25">IFERROR(_xlfn._xlws.FILTER('03. AvgSummary'!$26:$26,('03. AvgSummary'!$27:$27='04. Summary'!$B25)*('03. AvgSummary'!$28:$28='04. Summary'!$C25)*('03. AvgSummary'!$29:$29='04. Summary'!I$1)),0)</f>
        <v>0</v>
      </c>
      <c r="J25" s="30" cm="1">
        <f t="array" ref="J25">IFERROR(_xlfn._xlws.FILTER('03. AvgSummary'!$31:$31,('03. AvgSummary'!$30:$30='04. Summary'!J$1)*('03. AvgSummary'!$28:$28='04. Summary'!$C25)*('03. AvgSummary'!$27:$27='04. Summary'!$B25)),0)</f>
        <v>0</v>
      </c>
      <c r="K25" s="30" cm="1">
        <f t="array" ref="K25">IFERROR(_xlfn._xlws.FILTER('03. AvgSummary'!$31:$31,('03. AvgSummary'!$30:$30='04. Summary'!K$1)*('03. AvgSummary'!$28:$28='04. Summary'!$C25)*('03. AvgSummary'!$27:$27='04. Summary'!$B25)),0)</f>
        <v>0</v>
      </c>
      <c r="L25" s="30" cm="1">
        <f t="array" ref="L25">IFERROR(_xlfn._xlws.FILTER('03. AvgSummary'!$31:$31,('03. AvgSummary'!$30:$30='04. Summary'!L$1)*('03. AvgSummary'!$28:$28='04. Summary'!$C25)*('03. AvgSummary'!$27:$27='04. Summary'!$B25)),0)</f>
        <v>0</v>
      </c>
      <c r="M25" s="30" cm="1">
        <f t="array" ref="M25">IFERROR(_xlfn._xlws.FILTER('03. AvgSummary'!$31:$31,('03. AvgSummary'!$30:$30='04. Summary'!M$1)*('03. AvgSummary'!$28:$28='04. Summary'!$C25)*('03. AvgSummary'!$27:$27='04. Summary'!$B25)),0)</f>
        <v>0</v>
      </c>
      <c r="N25" s="30" cm="1">
        <f t="array" ref="N25">IFERROR(_xlfn._xlws.FILTER('03. AvgSummary'!$31:$31,('03. AvgSummary'!$30:$30='04. Summary'!N$1)*('03. AvgSummary'!$28:$28='04. Summary'!$C25)*('03. AvgSummary'!$27:$27='04. Summary'!$B25)),0)</f>
        <v>0</v>
      </c>
      <c r="O25" s="30" cm="1">
        <f t="array" ref="O25">IFERROR(_xlfn._xlws.FILTER('03. AvgSummary'!$31:$31,('03. AvgSummary'!$30:$30='04. Summary'!O$1)*('03. AvgSummary'!$28:$28='04. Summary'!$C25)*('03. AvgSummary'!$27:$27='04. Summary'!$B25)),0)</f>
        <v>0</v>
      </c>
      <c r="P25" s="30" cm="1">
        <f t="array" ref="P25">IFERROR(_xlfn._xlws.FILTER('03. AvgSummary'!$31:$31,('03. AvgSummary'!$30:$30='04. Summary'!P$1)*('03. AvgSummary'!$28:$28='04. Summary'!$C25)*('03. AvgSummary'!$27:$27='04. Summary'!$B25)),0)</f>
        <v>0</v>
      </c>
    </row>
    <row r="26" spans="1:16" x14ac:dyDescent="0.45">
      <c r="A26" s="6">
        <f t="shared" si="0"/>
        <v>25</v>
      </c>
      <c r="B26" t="str">
        <v>ProductType: MARGIN NATURE LOAN</v>
      </c>
      <c r="C26" t="str">
        <v>Stage: 1</v>
      </c>
      <c r="D26" s="30" cm="1">
        <f t="array" ref="D26">IFERROR(_xlfn._xlws.FILTER('03. AvgSummary'!$26:$26,('03. AvgSummary'!$27:$27='04. Summary'!$B26)*('03. AvgSummary'!$28:$28='04. Summary'!$C26)*('03. AvgSummary'!$29:$29='04. Summary'!D$1)),0)</f>
        <v>-1.212259348870506</v>
      </c>
      <c r="E26" s="30" cm="1">
        <f t="array" ref="E26">IFERROR(_xlfn._xlws.FILTER('03. AvgSummary'!$26:$26,('03. AvgSummary'!$27:$27='04. Summary'!$B26)*('03. AvgSummary'!$28:$28='04. Summary'!$C26)*('03. AvgSummary'!$29:$29='04. Summary'!E$1)),0)</f>
        <v>-2.0903743754018178</v>
      </c>
      <c r="F26" s="30" cm="1">
        <f t="array" ref="F26">IFERROR(_xlfn._xlws.FILTER('03. AvgSummary'!$26:$26,('03. AvgSummary'!$27:$27='04. Summary'!$B26)*('03. AvgSummary'!$28:$28='04. Summary'!$C26)*('03. AvgSummary'!$29:$29='04. Summary'!F$1)),0)</f>
        <v>-0.49068446919588399</v>
      </c>
      <c r="G26" s="30" cm="1">
        <f t="array" ref="G26">IFERROR(_xlfn._xlws.FILTER('03. AvgSummary'!$26:$26,('03. AvgSummary'!$27:$27='04. Summary'!$B26)*('03. AvgSummary'!$28:$28='04. Summary'!$C26)*('03. AvgSummary'!$29:$29='04. Summary'!G$1)),0)</f>
        <v>4.7905316076979929</v>
      </c>
      <c r="H26" s="30" cm="1">
        <f t="array" ref="H26">IFERROR(_xlfn._xlws.FILTER('03. AvgSummary'!$26:$26,('03. AvgSummary'!$27:$27='04. Summary'!$B26)*('03. AvgSummary'!$28:$28='04. Summary'!$C26)*('03. AvgSummary'!$29:$29='04. Summary'!H$1)),0)</f>
        <v>2.7865857702144481E-3</v>
      </c>
      <c r="I26" s="30" cm="1">
        <f t="array" ref="I26">IFERROR(_xlfn._xlws.FILTER('03. AvgSummary'!$26:$26,('03. AvgSummary'!$27:$27='04. Summary'!$B26)*('03. AvgSummary'!$28:$28='04. Summary'!$C26)*('03. AvgSummary'!$29:$29='04. Summary'!I$1)),0)</f>
        <v>1.1118803402551978E-2</v>
      </c>
      <c r="J26" s="30" cm="1">
        <f t="array" ref="J26">IFERROR(_xlfn._xlws.FILTER('03. AvgSummary'!$31:$31,('03. AvgSummary'!$30:$30='04. Summary'!J$1)*('03. AvgSummary'!$28:$28='04. Summary'!$C26)*('03. AvgSummary'!$27:$27='04. Summary'!$B26)),0)</f>
        <v>0</v>
      </c>
      <c r="K26" s="30" cm="1">
        <f t="array" ref="K26">IFERROR(_xlfn._xlws.FILTER('03. AvgSummary'!$31:$31,('03. AvgSummary'!$30:$30='04. Summary'!K$1)*('03. AvgSummary'!$28:$28='04. Summary'!$C26)*('03. AvgSummary'!$27:$27='04. Summary'!$B26)),0)</f>
        <v>7.7831623817863849E-2</v>
      </c>
      <c r="L26" s="30" cm="1">
        <f t="array" ref="L26">IFERROR(_xlfn._xlws.FILTER('03. AvgSummary'!$31:$31,('03. AvgSummary'!$30:$30='04. Summary'!L$1)*('03. AvgSummary'!$28:$28='04. Summary'!$C26)*('03. AvgSummary'!$27:$27='04. Summary'!$B26)),0)</f>
        <v>0</v>
      </c>
      <c r="M26" s="30" cm="1">
        <f t="array" ref="M26">IFERROR(_xlfn._xlws.FILTER('03. AvgSummary'!$31:$31,('03. AvgSummary'!$30:$30='04. Summary'!M$1)*('03. AvgSummary'!$28:$28='04. Summary'!$C26)*('03. AvgSummary'!$27:$27='04. Summary'!$B26)),0)</f>
        <v>0</v>
      </c>
      <c r="N26" s="30" cm="1">
        <f t="array" ref="N26">IFERROR(_xlfn._xlws.FILTER('03. AvgSummary'!$31:$31,('03. AvgSummary'!$30:$30='04. Summary'!N$1)*('03. AvgSummary'!$28:$28='04. Summary'!$C26)*('03. AvgSummary'!$27:$27='04. Summary'!$B26)),0)</f>
        <v>0</v>
      </c>
      <c r="O26" s="30" cm="1">
        <f t="array" ref="O26">IFERROR(_xlfn._xlws.FILTER('03. AvgSummary'!$31:$31,('03. AvgSummary'!$30:$30='04. Summary'!O$1)*('03. AvgSummary'!$28:$28='04. Summary'!$C26)*('03. AvgSummary'!$27:$27='04. Summary'!$B26)),0)</f>
        <v>0</v>
      </c>
      <c r="P26" s="30" cm="1">
        <f t="array" ref="P26">IFERROR(_xlfn._xlws.FILTER('03. AvgSummary'!$31:$31,('03. AvgSummary'!$30:$30='04. Summary'!P$1)*('03. AvgSummary'!$28:$28='04. Summary'!$C26)*('03. AvgSummary'!$27:$27='04. Summary'!$B26)),0)</f>
        <v>0</v>
      </c>
    </row>
    <row r="27" spans="1:16" x14ac:dyDescent="0.45">
      <c r="A27" s="6">
        <f t="shared" si="0"/>
        <v>26</v>
      </c>
      <c r="B27" t="str">
        <v>ProductType: MARGIN NATURE LOAN</v>
      </c>
      <c r="C27" t="str">
        <v>Stage: 2</v>
      </c>
      <c r="D27" s="30" cm="1">
        <f t="array" ref="D27">IFERROR(_xlfn._xlws.FILTER('03. AvgSummary'!$26:$26,('03. AvgSummary'!$27:$27='04. Summary'!$B27)*('03. AvgSummary'!$28:$28='04. Summary'!$C27)*('03. AvgSummary'!$29:$29='04. Summary'!D$1)),0)</f>
        <v>-1.212259348870476</v>
      </c>
      <c r="E27" s="30" cm="1">
        <f t="array" ref="E27">IFERROR(_xlfn._xlws.FILTER('03. AvgSummary'!$26:$26,('03. AvgSummary'!$27:$27='04. Summary'!$B27)*('03. AvgSummary'!$28:$28='04. Summary'!$C27)*('03. AvgSummary'!$29:$29='04. Summary'!E$1)),0)</f>
        <v>-2.0903743754017712</v>
      </c>
      <c r="F27" s="30" cm="1">
        <f t="array" ref="F27">IFERROR(_xlfn._xlws.FILTER('03. AvgSummary'!$26:$26,('03. AvgSummary'!$27:$27='04. Summary'!$B27)*('03. AvgSummary'!$28:$28='04. Summary'!$C27)*('03. AvgSummary'!$29:$29='04. Summary'!F$1)),0)</f>
        <v>-0.49068446919585695</v>
      </c>
      <c r="G27" s="30" cm="1">
        <f t="array" ref="G27">IFERROR(_xlfn._xlws.FILTER('03. AvgSummary'!$26:$26,('03. AvgSummary'!$27:$27='04. Summary'!$B27)*('03. AvgSummary'!$28:$28='04. Summary'!$C27)*('03. AvgSummary'!$29:$29='04. Summary'!G$1)),0)</f>
        <v>4.7905316076978899</v>
      </c>
      <c r="H27" s="30" cm="1">
        <f t="array" ref="H27">IFERROR(_xlfn._xlws.FILTER('03. AvgSummary'!$26:$26,('03. AvgSummary'!$27:$27='04. Summary'!$B27)*('03. AvgSummary'!$28:$28='04. Summary'!$C27)*('03. AvgSummary'!$29:$29='04. Summary'!H$1)),0)</f>
        <v>2.7865857702143934E-3</v>
      </c>
      <c r="I27" s="30" cm="1">
        <f t="array" ref="I27">IFERROR(_xlfn._xlws.FILTER('03. AvgSummary'!$26:$26,('03. AvgSummary'!$27:$27='04. Summary'!$B27)*('03. AvgSummary'!$28:$28='04. Summary'!$C27)*('03. AvgSummary'!$29:$29='04. Summary'!I$1)),0)</f>
        <v>3.6122472149606587E-2</v>
      </c>
      <c r="J27" s="30" cm="1">
        <f t="array" ref="J27">IFERROR(_xlfn._xlws.FILTER('03. AvgSummary'!$31:$31,('03. AvgSummary'!$30:$30='04. Summary'!J$1)*('03. AvgSummary'!$28:$28='04. Summary'!$C27)*('03. AvgSummary'!$27:$27='04. Summary'!$B27)),0)</f>
        <v>0</v>
      </c>
      <c r="K27" s="30" cm="1">
        <f t="array" ref="K27">IFERROR(_xlfn._xlws.FILTER('03. AvgSummary'!$31:$31,('03. AvgSummary'!$30:$30='04. Summary'!K$1)*('03. AvgSummary'!$28:$28='04. Summary'!$C27)*('03. AvgSummary'!$27:$27='04. Summary'!$B27)),0)</f>
        <v>0.25285730504724613</v>
      </c>
      <c r="L27" s="30" cm="1">
        <f t="array" ref="L27">IFERROR(_xlfn._xlws.FILTER('03. AvgSummary'!$31:$31,('03. AvgSummary'!$30:$30='04. Summary'!L$1)*('03. AvgSummary'!$28:$28='04. Summary'!$C27)*('03. AvgSummary'!$27:$27='04. Summary'!$B27)),0)</f>
        <v>0</v>
      </c>
      <c r="M27" s="30" cm="1">
        <f t="array" ref="M27">IFERROR(_xlfn._xlws.FILTER('03. AvgSummary'!$31:$31,('03. AvgSummary'!$30:$30='04. Summary'!M$1)*('03. AvgSummary'!$28:$28='04. Summary'!$C27)*('03. AvgSummary'!$27:$27='04. Summary'!$B27)),0)</f>
        <v>0</v>
      </c>
      <c r="N27" s="30" cm="1">
        <f t="array" ref="N27">IFERROR(_xlfn._xlws.FILTER('03. AvgSummary'!$31:$31,('03. AvgSummary'!$30:$30='04. Summary'!N$1)*('03. AvgSummary'!$28:$28='04. Summary'!$C27)*('03. AvgSummary'!$27:$27='04. Summary'!$B27)),0)</f>
        <v>0</v>
      </c>
      <c r="O27" s="30" cm="1">
        <f t="array" ref="O27">IFERROR(_xlfn._xlws.FILTER('03. AvgSummary'!$31:$31,('03. AvgSummary'!$30:$30='04. Summary'!O$1)*('03. AvgSummary'!$28:$28='04. Summary'!$C27)*('03. AvgSummary'!$27:$27='04. Summary'!$B27)),0)</f>
        <v>0</v>
      </c>
      <c r="P27" s="30" cm="1">
        <f t="array" ref="P27">IFERROR(_xlfn._xlws.FILTER('03. AvgSummary'!$31:$31,('03. AvgSummary'!$30:$30='04. Summary'!P$1)*('03. AvgSummary'!$28:$28='04. Summary'!$C27)*('03. AvgSummary'!$27:$27='04. Summary'!$B27)),0)</f>
        <v>0</v>
      </c>
    </row>
    <row r="28" spans="1:16" x14ac:dyDescent="0.45">
      <c r="A28" s="6">
        <f t="shared" si="0"/>
        <v>27</v>
      </c>
      <c r="B28" t="str">
        <v>ProductType: MORTGAGE LOAN</v>
      </c>
      <c r="C28" t="str">
        <v>Stage: 1</v>
      </c>
      <c r="D28" s="30" cm="1">
        <f t="array" ref="D28">IFERROR(_xlfn._xlws.FILTER('03. AvgSummary'!$26:$26,('03. AvgSummary'!$27:$27='04. Summary'!$B28)*('03. AvgSummary'!$28:$28='04. Summary'!$C28)*('03. AvgSummary'!$29:$29='04. Summary'!D$1)),0)</f>
        <v>5.321519659778523E-2</v>
      </c>
      <c r="E28" s="30" cm="1">
        <f t="array" ref="E28">IFERROR(_xlfn._xlws.FILTER('03. AvgSummary'!$26:$26,('03. AvgSummary'!$27:$27='04. Summary'!$B28)*('03. AvgSummary'!$28:$28='04. Summary'!$C28)*('03. AvgSummary'!$29:$29='04. Summary'!E$1)),0)</f>
        <v>-0.17374990706668772</v>
      </c>
      <c r="F28" s="30" cm="1">
        <f t="array" ref="F28">IFERROR(_xlfn._xlws.FILTER('03. AvgSummary'!$26:$26,('03. AvgSummary'!$27:$27='04. Summary'!$B28)*('03. AvgSummary'!$28:$28='04. Summary'!$C28)*('03. AvgSummary'!$29:$29='04. Summary'!F$1)),0)</f>
        <v>0.57315540724833836</v>
      </c>
      <c r="G28" s="30" cm="1">
        <f t="array" ref="G28">IFERROR(_xlfn._xlws.FILTER('03. AvgSummary'!$26:$26,('03. AvgSummary'!$27:$27='04. Summary'!$B28)*('03. AvgSummary'!$28:$28='04. Summary'!$C28)*('03. AvgSummary'!$29:$29='04. Summary'!G$1)),0)</f>
        <v>0.54659931119115379</v>
      </c>
      <c r="H28" s="30" cm="1">
        <f t="array" ref="H28">IFERROR(_xlfn._xlws.FILTER('03. AvgSummary'!$26:$26,('03. AvgSummary'!$27:$27='04. Summary'!$B28)*('03. AvgSummary'!$28:$28='04. Summary'!$C28)*('03. AvgSummary'!$29:$29='04. Summary'!H$1)),0)</f>
        <v>7.7999202941037319E-4</v>
      </c>
      <c r="I28" s="30" cm="1">
        <f t="array" ref="I28">IFERROR(_xlfn._xlws.FILTER('03. AvgSummary'!$26:$26,('03. AvgSummary'!$27:$27='04. Summary'!$B28)*('03. AvgSummary'!$28:$28='04. Summary'!$C28)*('03. AvgSummary'!$29:$29='04. Summary'!I$1)),0)</f>
        <v>5.3093682066865891E-2</v>
      </c>
      <c r="J28" s="30" cm="1">
        <f t="array" ref="J28">IFERROR(_xlfn._xlws.FILTER('03. AvgSummary'!$31:$31,('03. AvgSummary'!$30:$30='04. Summary'!J$1)*('03. AvgSummary'!$28:$28='04. Summary'!$C28)*('03. AvgSummary'!$27:$27='04. Summary'!$B28)),0)</f>
        <v>0</v>
      </c>
      <c r="K28" s="30" cm="1">
        <f t="array" ref="K28">IFERROR(_xlfn._xlws.FILTER('03. AvgSummary'!$31:$31,('03. AvgSummary'!$30:$30='04. Summary'!K$1)*('03. AvgSummary'!$28:$28='04. Summary'!$C28)*('03. AvgSummary'!$27:$27='04. Summary'!$B28)),0)</f>
        <v>0</v>
      </c>
      <c r="L28" s="30" cm="1">
        <f t="array" ref="L28">IFERROR(_xlfn._xlws.FILTER('03. AvgSummary'!$31:$31,('03. AvgSummary'!$30:$30='04. Summary'!L$1)*('03. AvgSummary'!$28:$28='04. Summary'!$C28)*('03. AvgSummary'!$27:$27='04. Summary'!$B28)),0)</f>
        <v>0</v>
      </c>
      <c r="M28" s="30" cm="1">
        <f t="array" ref="M28">IFERROR(_xlfn._xlws.FILTER('03. AvgSummary'!$31:$31,('03. AvgSummary'!$30:$30='04. Summary'!M$1)*('03. AvgSummary'!$28:$28='04. Summary'!$C28)*('03. AvgSummary'!$27:$27='04. Summary'!$B28)),0)</f>
        <v>3.4377632563245504E-2</v>
      </c>
      <c r="N28" s="30" cm="1">
        <f t="array" ref="N28">IFERROR(_xlfn._xlws.FILTER('03. AvgSummary'!$31:$31,('03. AvgSummary'!$30:$30='04. Summary'!N$1)*('03. AvgSummary'!$28:$28='04. Summary'!$C28)*('03. AvgSummary'!$27:$27='04. Summary'!$B28)),0)</f>
        <v>0.16408023497465682</v>
      </c>
      <c r="O28" s="30" cm="1">
        <f t="array" ref="O28">IFERROR(_xlfn._xlws.FILTER('03. AvgSummary'!$31:$31,('03. AvgSummary'!$30:$30='04. Summary'!O$1)*('03. AvgSummary'!$28:$28='04. Summary'!$C28)*('03. AvgSummary'!$27:$27='04. Summary'!$B28)),0)</f>
        <v>0.1514574738640263</v>
      </c>
      <c r="P28" s="30" cm="1">
        <f t="array" ref="P28">IFERROR(_xlfn._xlws.FILTER('03. AvgSummary'!$31:$31,('03. AvgSummary'!$30:$30='04. Summary'!P$1)*('03. AvgSummary'!$28:$28='04. Summary'!$C28)*('03. AvgSummary'!$27:$27='04. Summary'!$B28)),0)</f>
        <v>2.1740433066132665E-2</v>
      </c>
    </row>
    <row r="29" spans="1:16" x14ac:dyDescent="0.45">
      <c r="A29" s="6">
        <f t="shared" si="0"/>
        <v>28</v>
      </c>
      <c r="B29" t="str">
        <v>ProductType: MORTGAGE LOAN</v>
      </c>
      <c r="C29" t="str">
        <v>Stage: 2</v>
      </c>
      <c r="D29" s="30" cm="1">
        <f t="array" ref="D29">IFERROR(_xlfn._xlws.FILTER('03. AvgSummary'!$26:$26,('03. AvgSummary'!$27:$27='04. Summary'!$B29)*('03. AvgSummary'!$28:$28='04. Summary'!$C29)*('03. AvgSummary'!$29:$29='04. Summary'!D$1)),0)</f>
        <v>0.4002535168672855</v>
      </c>
      <c r="E29" s="30" cm="1">
        <f t="array" ref="E29">IFERROR(_xlfn._xlws.FILTER('03. AvgSummary'!$26:$26,('03. AvgSummary'!$27:$27='04. Summary'!$B29)*('03. AvgSummary'!$28:$28='04. Summary'!$C29)*('03. AvgSummary'!$29:$29='04. Summary'!E$1)),0)</f>
        <v>-0.25805133140701936</v>
      </c>
      <c r="F29" s="30" cm="1">
        <f t="array" ref="F29">IFERROR(_xlfn._xlws.FILTER('03. AvgSummary'!$26:$26,('03. AvgSummary'!$27:$27='04. Summary'!$B29)*('03. AvgSummary'!$28:$28='04. Summary'!$C29)*('03. AvgSummary'!$29:$29='04. Summary'!F$1)),0)</f>
        <v>0.52634529080121906</v>
      </c>
      <c r="G29" s="30" cm="1">
        <f t="array" ref="G29">IFERROR(_xlfn._xlws.FILTER('03. AvgSummary'!$26:$26,('03. AvgSummary'!$27:$27='04. Summary'!$B29)*('03. AvgSummary'!$28:$28='04. Summary'!$C29)*('03. AvgSummary'!$29:$29='04. Summary'!G$1)),0)</f>
        <v>0.32902294831488527</v>
      </c>
      <c r="H29" s="30" cm="1">
        <f t="array" ref="H29">IFERROR(_xlfn._xlws.FILTER('03. AvgSummary'!$26:$26,('03. AvgSummary'!$27:$27='04. Summary'!$B29)*('03. AvgSummary'!$28:$28='04. Summary'!$C29)*('03. AvgSummary'!$29:$29='04. Summary'!H$1)),0)</f>
        <v>2.4295754236294824E-3</v>
      </c>
      <c r="I29" s="30" cm="1">
        <f t="array" ref="I29">IFERROR(_xlfn._xlws.FILTER('03. AvgSummary'!$26:$26,('03. AvgSummary'!$27:$27='04. Summary'!$B29)*('03. AvgSummary'!$28:$28='04. Summary'!$C29)*('03. AvgSummary'!$29:$29='04. Summary'!I$1)),0)</f>
        <v>0.11145297874833736</v>
      </c>
      <c r="J29" s="30" cm="1">
        <f t="array" ref="J29">IFERROR(_xlfn._xlws.FILTER('03. AvgSummary'!$31:$31,('03. AvgSummary'!$30:$30='04. Summary'!J$1)*('03. AvgSummary'!$28:$28='04. Summary'!$C29)*('03. AvgSummary'!$27:$27='04. Summary'!$B29)),0)</f>
        <v>0</v>
      </c>
      <c r="K29" s="30" cm="1">
        <f t="array" ref="K29">IFERROR(_xlfn._xlws.FILTER('03. AvgSummary'!$31:$31,('03. AvgSummary'!$30:$30='04. Summary'!K$1)*('03. AvgSummary'!$28:$28='04. Summary'!$C29)*('03. AvgSummary'!$27:$27='04. Summary'!$B29)),0)</f>
        <v>0</v>
      </c>
      <c r="L29" s="30" cm="1">
        <f t="array" ref="L29">IFERROR(_xlfn._xlws.FILTER('03. AvgSummary'!$31:$31,('03. AvgSummary'!$30:$30='04. Summary'!L$1)*('03. AvgSummary'!$28:$28='04. Summary'!$C29)*('03. AvgSummary'!$27:$27='04. Summary'!$B29)),0)</f>
        <v>0</v>
      </c>
      <c r="M29" s="30" cm="1">
        <f t="array" ref="M29">IFERROR(_xlfn._xlws.FILTER('03. AvgSummary'!$31:$31,('03. AvgSummary'!$30:$30='04. Summary'!M$1)*('03. AvgSummary'!$28:$28='04. Summary'!$C29)*('03. AvgSummary'!$27:$27='04. Summary'!$B29)),0)</f>
        <v>9.3288931472851513E-2</v>
      </c>
      <c r="N29" s="30" cm="1">
        <f t="array" ref="N29">IFERROR(_xlfn._xlws.FILTER('03. AvgSummary'!$31:$31,('03. AvgSummary'!$30:$30='04. Summary'!N$1)*('03. AvgSummary'!$28:$28='04. Summary'!$C29)*('03. AvgSummary'!$27:$27='04. Summary'!$B29)),0)</f>
        <v>0.22086483351147168</v>
      </c>
      <c r="O29" s="30" cm="1">
        <f t="array" ref="O29">IFERROR(_xlfn._xlws.FILTER('03. AvgSummary'!$31:$31,('03. AvgSummary'!$30:$30='04. Summary'!O$1)*('03. AvgSummary'!$28:$28='04. Summary'!$C29)*('03. AvgSummary'!$27:$27='04. Summary'!$B29)),0)</f>
        <v>0.28153672462552592</v>
      </c>
      <c r="P29" s="30" cm="1">
        <f t="array" ref="P29">IFERROR(_xlfn._xlws.FILTER('03. AvgSummary'!$31:$31,('03. AvgSummary'!$30:$30='04. Summary'!P$1)*('03. AvgSummary'!$28:$28='04. Summary'!$C29)*('03. AvgSummary'!$27:$27='04. Summary'!$B29)),0)</f>
        <v>0.18448036162851236</v>
      </c>
    </row>
    <row r="30" spans="1:16" x14ac:dyDescent="0.45">
      <c r="A30" s="6">
        <f t="shared" si="0"/>
        <v>29</v>
      </c>
      <c r="B30" t="str">
        <v>ProductType: OD BUSINESS LOAN</v>
      </c>
      <c r="C30" t="str">
        <v>Stage: 1</v>
      </c>
      <c r="D30" s="30" cm="1">
        <f t="array" ref="D30">IFERROR(_xlfn._xlws.FILTER('03. AvgSummary'!$26:$26,('03. AvgSummary'!$27:$27='04. Summary'!$B30)*('03. AvgSummary'!$28:$28='04. Summary'!$C30)*('03. AvgSummary'!$29:$29='04. Summary'!D$1)),0)</f>
        <v>0.17855305357296061</v>
      </c>
      <c r="E30" s="30" cm="1">
        <f t="array" ref="E30">IFERROR(_xlfn._xlws.FILTER('03. AvgSummary'!$26:$26,('03. AvgSummary'!$27:$27='04. Summary'!$B30)*('03. AvgSummary'!$28:$28='04. Summary'!$C30)*('03. AvgSummary'!$29:$29='04. Summary'!E$1)),0)</f>
        <v>-0.26425811047351966</v>
      </c>
      <c r="F30" s="30" cm="1">
        <f t="array" ref="F30">IFERROR(_xlfn._xlws.FILTER('03. AvgSummary'!$26:$26,('03. AvgSummary'!$27:$27='04. Summary'!$B30)*('03. AvgSummary'!$28:$28='04. Summary'!$C30)*('03. AvgSummary'!$29:$29='04. Summary'!F$1)),0)</f>
        <v>0.58138149402632122</v>
      </c>
      <c r="G30" s="30" cm="1">
        <f t="array" ref="G30">IFERROR(_xlfn._xlws.FILTER('03. AvgSummary'!$26:$26,('03. AvgSummary'!$27:$27='04. Summary'!$B30)*('03. AvgSummary'!$28:$28='04. Summary'!$C30)*('03. AvgSummary'!$29:$29='04. Summary'!G$1)),0)</f>
        <v>0.50295260251421681</v>
      </c>
      <c r="H30" s="30" cm="1">
        <f t="array" ref="H30">IFERROR(_xlfn._xlws.FILTER('03. AvgSummary'!$26:$26,('03. AvgSummary'!$27:$27='04. Summary'!$B30)*('03. AvgSummary'!$28:$28='04. Summary'!$C30)*('03. AvgSummary'!$29:$29='04. Summary'!H$1)),0)</f>
        <v>1.3709603600210293E-3</v>
      </c>
      <c r="I30" s="30" cm="1">
        <f t="array" ref="I30">IFERROR(_xlfn._xlws.FILTER('03. AvgSummary'!$26:$26,('03. AvgSummary'!$27:$27='04. Summary'!$B30)*('03. AvgSummary'!$28:$28='04. Summary'!$C30)*('03. AvgSummary'!$29:$29='04. Summary'!I$1)),0)</f>
        <v>7.95223067917947E-2</v>
      </c>
      <c r="J30" s="30" cm="1">
        <f t="array" ref="J30">IFERROR(_xlfn._xlws.FILTER('03. AvgSummary'!$31:$31,('03. AvgSummary'!$30:$30='04. Summary'!J$1)*('03. AvgSummary'!$28:$28='04. Summary'!$C30)*('03. AvgSummary'!$27:$27='04. Summary'!$B30)),0)</f>
        <v>0</v>
      </c>
      <c r="K30" s="30" cm="1">
        <f t="array" ref="K30">IFERROR(_xlfn._xlws.FILTER('03. AvgSummary'!$31:$31,('03. AvgSummary'!$30:$30='04. Summary'!K$1)*('03. AvgSummary'!$28:$28='04. Summary'!$C30)*('03. AvgSummary'!$27:$27='04. Summary'!$B30)),0)</f>
        <v>0</v>
      </c>
      <c r="L30" s="30" cm="1">
        <f t="array" ref="L30">IFERROR(_xlfn._xlws.FILTER('03. AvgSummary'!$31:$31,('03. AvgSummary'!$30:$30='04. Summary'!L$1)*('03. AvgSummary'!$28:$28='04. Summary'!$C30)*('03. AvgSummary'!$27:$27='04. Summary'!$B30)),0)</f>
        <v>0</v>
      </c>
      <c r="M30" s="30" cm="1">
        <f t="array" ref="M30">IFERROR(_xlfn._xlws.FILTER('03. AvgSummary'!$31:$31,('03. AvgSummary'!$30:$30='04. Summary'!M$1)*('03. AvgSummary'!$28:$28='04. Summary'!$C30)*('03. AvgSummary'!$27:$27='04. Summary'!$B30)),0)</f>
        <v>3.4643669420382495E-3</v>
      </c>
      <c r="N30" s="30" cm="1">
        <f t="array" ref="N30">IFERROR(_xlfn._xlws.FILTER('03. AvgSummary'!$31:$31,('03. AvgSummary'!$30:$30='04. Summary'!N$1)*('03. AvgSummary'!$28:$28='04. Summary'!$C30)*('03. AvgSummary'!$27:$27='04. Summary'!$B30)),0)</f>
        <v>0.11600526455979068</v>
      </c>
      <c r="O30" s="30" cm="1">
        <f t="array" ref="O30">IFERROR(_xlfn._xlws.FILTER('03. AvgSummary'!$31:$31,('03. AvgSummary'!$30:$30='04. Summary'!O$1)*('03. AvgSummary'!$28:$28='04. Summary'!$C30)*('03. AvgSummary'!$27:$27='04. Summary'!$B30)),0)</f>
        <v>0.19909285648082933</v>
      </c>
      <c r="P30" s="30" cm="1">
        <f t="array" ref="P30">IFERROR(_xlfn._xlws.FILTER('03. AvgSummary'!$31:$31,('03. AvgSummary'!$30:$30='04. Summary'!P$1)*('03. AvgSummary'!$28:$28='04. Summary'!$C30)*('03. AvgSummary'!$27:$27='04. Summary'!$B30)),0)</f>
        <v>0.23809365955990458</v>
      </c>
    </row>
    <row r="31" spans="1:16" x14ac:dyDescent="0.45">
      <c r="A31" s="6">
        <f t="shared" si="0"/>
        <v>30</v>
      </c>
      <c r="B31" t="str">
        <v>ProductType: OD BUSINESS LOAN</v>
      </c>
      <c r="C31" t="str">
        <v>Stage: 2</v>
      </c>
      <c r="D31" s="30" cm="1">
        <f t="array" ref="D31">IFERROR(_xlfn._xlws.FILTER('03. AvgSummary'!$26:$26,('03. AvgSummary'!$27:$27='04. Summary'!$B31)*('03. AvgSummary'!$28:$28='04. Summary'!$C31)*('03. AvgSummary'!$29:$29='04. Summary'!D$1)),0)</f>
        <v>0.13107723512819253</v>
      </c>
      <c r="E31" s="30" cm="1">
        <f t="array" ref="E31">IFERROR(_xlfn._xlws.FILTER('03. AvgSummary'!$26:$26,('03. AvgSummary'!$27:$27='04. Summary'!$B31)*('03. AvgSummary'!$28:$28='04. Summary'!$C31)*('03. AvgSummary'!$29:$29='04. Summary'!E$1)),0)</f>
        <v>-0.24789768049055264</v>
      </c>
      <c r="F31" s="30" cm="1">
        <f t="array" ref="F31">IFERROR(_xlfn._xlws.FILTER('03. AvgSummary'!$26:$26,('03. AvgSummary'!$27:$27='04. Summary'!$B31)*('03. AvgSummary'!$28:$28='04. Summary'!$C31)*('03. AvgSummary'!$29:$29='04. Summary'!F$1)),0)</f>
        <v>0.61143130213605545</v>
      </c>
      <c r="G31" s="30" cm="1">
        <f t="array" ref="G31">IFERROR(_xlfn._xlws.FILTER('03. AvgSummary'!$26:$26,('03. AvgSummary'!$27:$27='04. Summary'!$B31)*('03. AvgSummary'!$28:$28='04. Summary'!$C31)*('03. AvgSummary'!$29:$29='04. Summary'!G$1)),0)</f>
        <v>0.50431539840421225</v>
      </c>
      <c r="H31" s="30" cm="1">
        <f t="array" ref="H31">IFERROR(_xlfn._xlws.FILTER('03. AvgSummary'!$26:$26,('03. AvgSummary'!$27:$27='04. Summary'!$B31)*('03. AvgSummary'!$28:$28='04. Summary'!$C31)*('03. AvgSummary'!$29:$29='04. Summary'!H$1)),0)</f>
        <v>1.0737448220923935E-3</v>
      </c>
      <c r="I31" s="30" cm="1">
        <f t="array" ref="I31">IFERROR(_xlfn._xlws.FILTER('03. AvgSummary'!$26:$26,('03. AvgSummary'!$27:$27='04. Summary'!$B31)*('03. AvgSummary'!$28:$28='04. Summary'!$C31)*('03. AvgSummary'!$29:$29='04. Summary'!I$1)),0)</f>
        <v>0.12405420280156999</v>
      </c>
      <c r="J31" s="30" cm="1">
        <f t="array" ref="J31">IFERROR(_xlfn._xlws.FILTER('03. AvgSummary'!$31:$31,('03. AvgSummary'!$30:$30='04. Summary'!J$1)*('03. AvgSummary'!$28:$28='04. Summary'!$C31)*('03. AvgSummary'!$27:$27='04. Summary'!$B31)),0)</f>
        <v>0</v>
      </c>
      <c r="K31" s="30" cm="1">
        <f t="array" ref="K31">IFERROR(_xlfn._xlws.FILTER('03. AvgSummary'!$31:$31,('03. AvgSummary'!$30:$30='04. Summary'!K$1)*('03. AvgSummary'!$28:$28='04. Summary'!$C31)*('03. AvgSummary'!$27:$27='04. Summary'!$B31)),0)</f>
        <v>0</v>
      </c>
      <c r="L31" s="30" cm="1">
        <f t="array" ref="L31">IFERROR(_xlfn._xlws.FILTER('03. AvgSummary'!$31:$31,('03. AvgSummary'!$30:$30='04. Summary'!L$1)*('03. AvgSummary'!$28:$28='04. Summary'!$C31)*('03. AvgSummary'!$27:$27='04. Summary'!$B31)),0)</f>
        <v>0</v>
      </c>
      <c r="M31" s="30" cm="1">
        <f t="array" ref="M31">IFERROR(_xlfn._xlws.FILTER('03. AvgSummary'!$31:$31,('03. AvgSummary'!$30:$30='04. Summary'!M$1)*('03. AvgSummary'!$28:$28='04. Summary'!$C31)*('03. AvgSummary'!$27:$27='04. Summary'!$B31)),0)</f>
        <v>6.0484636443921937E-3</v>
      </c>
      <c r="N31" s="30" cm="1">
        <f t="array" ref="N31">IFERROR(_xlfn._xlws.FILTER('03. AvgSummary'!$31:$31,('03. AvgSummary'!$30:$30='04. Summary'!N$1)*('03. AvgSummary'!$28:$28='04. Summary'!$C31)*('03. AvgSummary'!$27:$27='04. Summary'!$B31)),0)</f>
        <v>0.28438303108585788</v>
      </c>
      <c r="O31" s="30" cm="1">
        <f t="array" ref="O31">IFERROR(_xlfn._xlws.FILTER('03. AvgSummary'!$31:$31,('03. AvgSummary'!$30:$30='04. Summary'!O$1)*('03. AvgSummary'!$28:$28='04. Summary'!$C31)*('03. AvgSummary'!$27:$27='04. Summary'!$B31)),0)</f>
        <v>0.57794792488073987</v>
      </c>
      <c r="P31" s="30" cm="1">
        <f t="array" ref="P31">IFERROR(_xlfn._xlws.FILTER('03. AvgSummary'!$31:$31,('03. AvgSummary'!$30:$30='04. Summary'!P$1)*('03. AvgSummary'!$28:$28='04. Summary'!$C31)*('03. AvgSummary'!$27:$27='04. Summary'!$B31)),0)</f>
        <v>0</v>
      </c>
    </row>
    <row r="32" spans="1:16" x14ac:dyDescent="0.45">
      <c r="A32" s="6">
        <f t="shared" si="0"/>
        <v>31</v>
      </c>
      <c r="B32" t="str">
        <v>ProductType: OD PERSONAL LOAN</v>
      </c>
      <c r="C32" t="str">
        <v>Stage: 1</v>
      </c>
      <c r="D32" s="30" cm="1">
        <f t="array" ref="D32">IFERROR(_xlfn._xlws.FILTER('03. AvgSummary'!$26:$26,('03. AvgSummary'!$27:$27='04. Summary'!$B32)*('03. AvgSummary'!$28:$28='04. Summary'!$C32)*('03. AvgSummary'!$29:$29='04. Summary'!D$1)),0)</f>
        <v>0.13194828151945484</v>
      </c>
      <c r="E32" s="30" cm="1">
        <f t="array" ref="E32">IFERROR(_xlfn._xlws.FILTER('03. AvgSummary'!$26:$26,('03. AvgSummary'!$27:$27='04. Summary'!$B32)*('03. AvgSummary'!$28:$28='04. Summary'!$C32)*('03. AvgSummary'!$29:$29='04. Summary'!E$1)),0)</f>
        <v>-0.24346783704489314</v>
      </c>
      <c r="F32" s="30" cm="1">
        <f t="array" ref="F32">IFERROR(_xlfn._xlws.FILTER('03. AvgSummary'!$26:$26,('03. AvgSummary'!$27:$27='04. Summary'!$B32)*('03. AvgSummary'!$28:$28='04. Summary'!$C32)*('03. AvgSummary'!$29:$29='04. Summary'!F$1)),0)</f>
        <v>0.59450418542147376</v>
      </c>
      <c r="G32" s="30" cm="1">
        <f t="array" ref="G32">IFERROR(_xlfn._xlws.FILTER('03. AvgSummary'!$26:$26,('03. AvgSummary'!$27:$27='04. Summary'!$B32)*('03. AvgSummary'!$28:$28='04. Summary'!$C32)*('03. AvgSummary'!$29:$29='04. Summary'!G$1)),0)</f>
        <v>0.51588996293937173</v>
      </c>
      <c r="H32" s="30" cm="1">
        <f t="array" ref="H32">IFERROR(_xlfn._xlws.FILTER('03. AvgSummary'!$26:$26,('03. AvgSummary'!$27:$27='04. Summary'!$B32)*('03. AvgSummary'!$28:$28='04. Summary'!$C32)*('03. AvgSummary'!$29:$29='04. Summary'!H$1)),0)</f>
        <v>1.1254071645929061E-3</v>
      </c>
      <c r="I32" s="30" cm="1">
        <f t="array" ref="I32">IFERROR(_xlfn._xlws.FILTER('03. AvgSummary'!$26:$26,('03. AvgSummary'!$27:$27='04. Summary'!$B32)*('03. AvgSummary'!$28:$28='04. Summary'!$C32)*('03. AvgSummary'!$29:$29='04. Summary'!I$1)),0)</f>
        <v>7.0793972007425654E-2</v>
      </c>
      <c r="J32" s="30" cm="1">
        <f t="array" ref="J32">IFERROR(_xlfn._xlws.FILTER('03. AvgSummary'!$31:$31,('03. AvgSummary'!$30:$30='04. Summary'!J$1)*('03. AvgSummary'!$28:$28='04. Summary'!$C32)*('03. AvgSummary'!$27:$27='04. Summary'!$B32)),0)</f>
        <v>0</v>
      </c>
      <c r="K32" s="30" cm="1">
        <f t="array" ref="K32">IFERROR(_xlfn._xlws.FILTER('03. AvgSummary'!$31:$31,('03. AvgSummary'!$30:$30='04. Summary'!K$1)*('03. AvgSummary'!$28:$28='04. Summary'!$C32)*('03. AvgSummary'!$27:$27='04. Summary'!$B32)),0)</f>
        <v>0</v>
      </c>
      <c r="L32" s="30" cm="1">
        <f t="array" ref="L32">IFERROR(_xlfn._xlws.FILTER('03. AvgSummary'!$31:$31,('03. AvgSummary'!$30:$30='04. Summary'!L$1)*('03. AvgSummary'!$28:$28='04. Summary'!$C32)*('03. AvgSummary'!$27:$27='04. Summary'!$B32)),0)</f>
        <v>5.0463891798771818E-3</v>
      </c>
      <c r="M32" s="30" cm="1">
        <f t="array" ref="M32">IFERROR(_xlfn._xlws.FILTER('03. AvgSummary'!$31:$31,('03. AvgSummary'!$30:$30='04. Summary'!M$1)*('03. AvgSummary'!$28:$28='04. Summary'!$C32)*('03. AvgSummary'!$27:$27='04. Summary'!$B32)),0)</f>
        <v>6.4146002141382205E-3</v>
      </c>
      <c r="N32" s="30" cm="1">
        <f t="array" ref="N32">IFERROR(_xlfn._xlws.FILTER('03. AvgSummary'!$31:$31,('03. AvgSummary'!$30:$30='04. Summary'!N$1)*('03. AvgSummary'!$28:$28='04. Summary'!$C32)*('03. AvgSummary'!$27:$27='04. Summary'!$B32)),0)</f>
        <v>0.13915048905235808</v>
      </c>
      <c r="O32" s="30" cm="1">
        <f t="array" ref="O32">IFERROR(_xlfn._xlws.FILTER('03. AvgSummary'!$31:$31,('03. AvgSummary'!$30:$30='04. Summary'!O$1)*('03. AvgSummary'!$28:$28='04. Summary'!$C32)*('03. AvgSummary'!$27:$27='04. Summary'!$B32)),0)</f>
        <v>0.23705698516232154</v>
      </c>
      <c r="P32" s="30" cm="1">
        <f t="array" ref="P32">IFERROR(_xlfn._xlws.FILTER('03. AvgSummary'!$31:$31,('03. AvgSummary'!$30:$30='04. Summary'!P$1)*('03. AvgSummary'!$28:$28='04. Summary'!$C32)*('03. AvgSummary'!$27:$27='04. Summary'!$B32)),0)</f>
        <v>0.1078893404432846</v>
      </c>
    </row>
    <row r="33" spans="1:16" x14ac:dyDescent="0.45">
      <c r="A33" s="6">
        <f t="shared" si="0"/>
        <v>32</v>
      </c>
      <c r="B33" t="str">
        <v>ProductType: OD PERSONAL LOAN</v>
      </c>
      <c r="C33" t="str">
        <v>Stage: 2</v>
      </c>
      <c r="D33" s="30" cm="1">
        <f t="array" ref="D33">IFERROR(_xlfn._xlws.FILTER('03. AvgSummary'!$26:$26,('03. AvgSummary'!$27:$27='04. Summary'!$B33)*('03. AvgSummary'!$28:$28='04. Summary'!$C33)*('03. AvgSummary'!$29:$29='04. Summary'!D$1)),0)</f>
        <v>0.14431004914591242</v>
      </c>
      <c r="E33" s="30" cm="1">
        <f t="array" ref="E33">IFERROR(_xlfn._xlws.FILTER('03. AvgSummary'!$26:$26,('03. AvgSummary'!$27:$27='04. Summary'!$B33)*('03. AvgSummary'!$28:$28='04. Summary'!$C33)*('03. AvgSummary'!$29:$29='04. Summary'!E$1)),0)</f>
        <v>-0.25021463832361379</v>
      </c>
      <c r="F33" s="30" cm="1">
        <f t="array" ref="F33">IFERROR(_xlfn._xlws.FILTER('03. AvgSummary'!$26:$26,('03. AvgSummary'!$27:$27='04. Summary'!$B33)*('03. AvgSummary'!$28:$28='04. Summary'!$C33)*('03. AvgSummary'!$29:$29='04. Summary'!F$1)),0)</f>
        <v>0.59789706136997278</v>
      </c>
      <c r="G33" s="30" cm="1">
        <f t="array" ref="G33">IFERROR(_xlfn._xlws.FILTER('03. AvgSummary'!$26:$26,('03. AvgSummary'!$27:$27='04. Summary'!$B33)*('03. AvgSummary'!$28:$28='04. Summary'!$C33)*('03. AvgSummary'!$29:$29='04. Summary'!G$1)),0)</f>
        <v>0.50683893447618722</v>
      </c>
      <c r="H33" s="30" cm="1">
        <f t="array" ref="H33">IFERROR(_xlfn._xlws.FILTER('03. AvgSummary'!$26:$26,('03. AvgSummary'!$27:$27='04. Summary'!$B33)*('03. AvgSummary'!$28:$28='04. Summary'!$C33)*('03. AvgSummary'!$29:$29='04. Summary'!H$1)),0)</f>
        <v>1.1685933315413852E-3</v>
      </c>
      <c r="I33" s="30" cm="1">
        <f t="array" ref="I33">IFERROR(_xlfn._xlws.FILTER('03. AvgSummary'!$26:$26,('03. AvgSummary'!$27:$27='04. Summary'!$B33)*('03. AvgSummary'!$28:$28='04. Summary'!$C33)*('03. AvgSummary'!$29:$29='04. Summary'!I$1)),0)</f>
        <v>0.17478567855993407</v>
      </c>
      <c r="J33" s="30" cm="1">
        <f t="array" ref="J33">IFERROR(_xlfn._xlws.FILTER('03. AvgSummary'!$31:$31,('03. AvgSummary'!$30:$30='04. Summary'!J$1)*('03. AvgSummary'!$28:$28='04. Summary'!$C33)*('03. AvgSummary'!$27:$27='04. Summary'!$B33)),0)</f>
        <v>0</v>
      </c>
      <c r="K33" s="30" cm="1">
        <f t="array" ref="K33">IFERROR(_xlfn._xlws.FILTER('03. AvgSummary'!$31:$31,('03. AvgSummary'!$30:$30='04. Summary'!K$1)*('03. AvgSummary'!$28:$28='04. Summary'!$C33)*('03. AvgSummary'!$27:$27='04. Summary'!$B33)),0)</f>
        <v>0</v>
      </c>
      <c r="L33" s="30" cm="1">
        <f t="array" ref="L33">IFERROR(_xlfn._xlws.FILTER('03. AvgSummary'!$31:$31,('03. AvgSummary'!$30:$30='04. Summary'!L$1)*('03. AvgSummary'!$28:$28='04. Summary'!$C33)*('03. AvgSummary'!$27:$27='04. Summary'!$B33)),0)</f>
        <v>0</v>
      </c>
      <c r="M33" s="30" cm="1">
        <f t="array" ref="M33">IFERROR(_xlfn._xlws.FILTER('03. AvgSummary'!$31:$31,('03. AvgSummary'!$30:$30='04. Summary'!M$1)*('03. AvgSummary'!$28:$28='04. Summary'!$C33)*('03. AvgSummary'!$27:$27='04. Summary'!$B33)),0)</f>
        <v>1.1806758290707629E-2</v>
      </c>
      <c r="N33" s="30" cm="1">
        <f t="array" ref="N33">IFERROR(_xlfn._xlws.FILTER('03. AvgSummary'!$31:$31,('03. AvgSummary'!$30:$30='04. Summary'!N$1)*('03. AvgSummary'!$28:$28='04. Summary'!$C33)*('03. AvgSummary'!$27:$27='04. Summary'!$B33)),0)</f>
        <v>0.34247266955111461</v>
      </c>
      <c r="O33" s="30" cm="1">
        <f t="array" ref="O33">IFERROR(_xlfn._xlws.FILTER('03. AvgSummary'!$31:$31,('03. AvgSummary'!$30:$30='04. Summary'!O$1)*('03. AvgSummary'!$28:$28='04. Summary'!$C33)*('03. AvgSummary'!$27:$27='04. Summary'!$B33)),0)</f>
        <v>0.6311266625178118</v>
      </c>
      <c r="P33" s="30" cm="1">
        <f t="array" ref="P33">IFERROR(_xlfn._xlws.FILTER('03. AvgSummary'!$31:$31,('03. AvgSummary'!$30:$30='04. Summary'!P$1)*('03. AvgSummary'!$28:$28='04. Summary'!$C33)*('03. AvgSummary'!$27:$27='04. Summary'!$B33)),0)</f>
        <v>0.23809365955990458</v>
      </c>
    </row>
    <row r="34" spans="1:16" x14ac:dyDescent="0.45">
      <c r="A34" s="6">
        <f t="shared" si="0"/>
        <v>33</v>
      </c>
      <c r="B34" t="str">
        <v>ProductType: OD STAFF LOAN</v>
      </c>
      <c r="C34" t="str">
        <v>Stage: 1</v>
      </c>
      <c r="D34" s="30" cm="1">
        <f t="array" ref="D34">IFERROR(_xlfn._xlws.FILTER('03. AvgSummary'!$26:$26,('03. AvgSummary'!$27:$27='04. Summary'!$B34)*('03. AvgSummary'!$28:$28='04. Summary'!$C34)*('03. AvgSummary'!$29:$29='04. Summary'!D$1)),0)</f>
        <v>0</v>
      </c>
      <c r="E34" s="30" cm="1">
        <f t="array" ref="E34">IFERROR(_xlfn._xlws.FILTER('03. AvgSummary'!$26:$26,('03. AvgSummary'!$27:$27='04. Summary'!$B34)*('03. AvgSummary'!$28:$28='04. Summary'!$C34)*('03. AvgSummary'!$29:$29='04. Summary'!E$1)),0)</f>
        <v>0</v>
      </c>
      <c r="F34" s="30" cm="1">
        <f t="array" ref="F34">IFERROR(_xlfn._xlws.FILTER('03. AvgSummary'!$26:$26,('03. AvgSummary'!$27:$27='04. Summary'!$B34)*('03. AvgSummary'!$28:$28='04. Summary'!$C34)*('03. AvgSummary'!$29:$29='04. Summary'!F$1)),0)</f>
        <v>0</v>
      </c>
      <c r="G34" s="30" cm="1">
        <f t="array" ref="G34">IFERROR(_xlfn._xlws.FILTER('03. AvgSummary'!$26:$26,('03. AvgSummary'!$27:$27='04. Summary'!$B34)*('03. AvgSummary'!$28:$28='04. Summary'!$C34)*('03. AvgSummary'!$29:$29='04. Summary'!G$1)),0)</f>
        <v>0</v>
      </c>
      <c r="H34" s="30" cm="1">
        <f t="array" ref="H34">IFERROR(_xlfn._xlws.FILTER('03. AvgSummary'!$26:$26,('03. AvgSummary'!$27:$27='04. Summary'!$B34)*('03. AvgSummary'!$28:$28='04. Summary'!$C34)*('03. AvgSummary'!$29:$29='04. Summary'!H$1)),0)</f>
        <v>0</v>
      </c>
      <c r="I34" s="30" cm="1">
        <f t="array" ref="I34">IFERROR(_xlfn._xlws.FILTER('03. AvgSummary'!$26:$26,('03. AvgSummary'!$27:$27='04. Summary'!$B34)*('03. AvgSummary'!$28:$28='04. Summary'!$C34)*('03. AvgSummary'!$29:$29='04. Summary'!I$1)),0)</f>
        <v>0</v>
      </c>
      <c r="J34" s="30" cm="1">
        <f t="array" ref="J34">IFERROR(_xlfn._xlws.FILTER('03. AvgSummary'!$31:$31,('03. AvgSummary'!$30:$30='04. Summary'!J$1)*('03. AvgSummary'!$28:$28='04. Summary'!$C34)*('03. AvgSummary'!$27:$27='04. Summary'!$B34)),0)</f>
        <v>0</v>
      </c>
      <c r="K34" s="30" cm="1">
        <f t="array" ref="K34">IFERROR(_xlfn._xlws.FILTER('03. AvgSummary'!$31:$31,('03. AvgSummary'!$30:$30='04. Summary'!K$1)*('03. AvgSummary'!$28:$28='04. Summary'!$C34)*('03. AvgSummary'!$27:$27='04. Summary'!$B34)),0)</f>
        <v>0</v>
      </c>
      <c r="L34" s="30" cm="1">
        <f t="array" ref="L34">IFERROR(_xlfn._xlws.FILTER('03. AvgSummary'!$31:$31,('03. AvgSummary'!$30:$30='04. Summary'!L$1)*('03. AvgSummary'!$28:$28='04. Summary'!$C34)*('03. AvgSummary'!$27:$27='04. Summary'!$B34)),0)</f>
        <v>0</v>
      </c>
      <c r="M34" s="30" cm="1">
        <f t="array" ref="M34">IFERROR(_xlfn._xlws.FILTER('03. AvgSummary'!$31:$31,('03. AvgSummary'!$30:$30='04. Summary'!M$1)*('03. AvgSummary'!$28:$28='04. Summary'!$C34)*('03. AvgSummary'!$27:$27='04. Summary'!$B34)),0)</f>
        <v>0</v>
      </c>
      <c r="N34" s="30" cm="1">
        <f t="array" ref="N34">IFERROR(_xlfn._xlws.FILTER('03. AvgSummary'!$31:$31,('03. AvgSummary'!$30:$30='04. Summary'!N$1)*('03. AvgSummary'!$28:$28='04. Summary'!$C34)*('03. AvgSummary'!$27:$27='04. Summary'!$B34)),0)</f>
        <v>0</v>
      </c>
      <c r="O34" s="30" cm="1">
        <f t="array" ref="O34">IFERROR(_xlfn._xlws.FILTER('03. AvgSummary'!$31:$31,('03. AvgSummary'!$30:$30='04. Summary'!O$1)*('03. AvgSummary'!$28:$28='04. Summary'!$C34)*('03. AvgSummary'!$27:$27='04. Summary'!$B34)),0)</f>
        <v>0</v>
      </c>
      <c r="P34" s="30" cm="1">
        <f t="array" ref="P34">IFERROR(_xlfn._xlws.FILTER('03. AvgSummary'!$31:$31,('03. AvgSummary'!$30:$30='04. Summary'!P$1)*('03. AvgSummary'!$28:$28='04. Summary'!$C34)*('03. AvgSummary'!$27:$27='04. Summary'!$B34)),0)</f>
        <v>0</v>
      </c>
    </row>
    <row r="35" spans="1:16" x14ac:dyDescent="0.45">
      <c r="A35" s="6">
        <f t="shared" si="0"/>
        <v>34</v>
      </c>
      <c r="B35" t="str">
        <v>ProductType: OD STAFF LOAN</v>
      </c>
      <c r="C35" t="str">
        <v>Stage: 2</v>
      </c>
      <c r="D35" s="30" cm="1">
        <f t="array" ref="D35">IFERROR(_xlfn._xlws.FILTER('03. AvgSummary'!$26:$26,('03. AvgSummary'!$27:$27='04. Summary'!$B35)*('03. AvgSummary'!$28:$28='04. Summary'!$C35)*('03. AvgSummary'!$29:$29='04. Summary'!D$1)),0)</f>
        <v>0</v>
      </c>
      <c r="E35" s="30" cm="1">
        <f t="array" ref="E35">IFERROR(_xlfn._xlws.FILTER('03. AvgSummary'!$26:$26,('03. AvgSummary'!$27:$27='04. Summary'!$B35)*('03. AvgSummary'!$28:$28='04. Summary'!$C35)*('03. AvgSummary'!$29:$29='04. Summary'!E$1)),0)</f>
        <v>0</v>
      </c>
      <c r="F35" s="30" cm="1">
        <f t="array" ref="F35">IFERROR(_xlfn._xlws.FILTER('03. AvgSummary'!$26:$26,('03. AvgSummary'!$27:$27='04. Summary'!$B35)*('03. AvgSummary'!$28:$28='04. Summary'!$C35)*('03. AvgSummary'!$29:$29='04. Summary'!F$1)),0)</f>
        <v>0</v>
      </c>
      <c r="G35" s="30" cm="1">
        <f t="array" ref="G35">IFERROR(_xlfn._xlws.FILTER('03. AvgSummary'!$26:$26,('03. AvgSummary'!$27:$27='04. Summary'!$B35)*('03. AvgSummary'!$28:$28='04. Summary'!$C35)*('03. AvgSummary'!$29:$29='04. Summary'!G$1)),0)</f>
        <v>0</v>
      </c>
      <c r="H35" s="30" cm="1">
        <f t="array" ref="H35">IFERROR(_xlfn._xlws.FILTER('03. AvgSummary'!$26:$26,('03. AvgSummary'!$27:$27='04. Summary'!$B35)*('03. AvgSummary'!$28:$28='04. Summary'!$C35)*('03. AvgSummary'!$29:$29='04. Summary'!H$1)),0)</f>
        <v>0</v>
      </c>
      <c r="I35" s="30" cm="1">
        <f t="array" ref="I35">IFERROR(_xlfn._xlws.FILTER('03. AvgSummary'!$26:$26,('03. AvgSummary'!$27:$27='04. Summary'!$B35)*('03. AvgSummary'!$28:$28='04. Summary'!$C35)*('03. AvgSummary'!$29:$29='04. Summary'!I$1)),0)</f>
        <v>0</v>
      </c>
      <c r="J35" s="30" cm="1">
        <f t="array" ref="J35">IFERROR(_xlfn._xlws.FILTER('03. AvgSummary'!$31:$31,('03. AvgSummary'!$30:$30='04. Summary'!J$1)*('03. AvgSummary'!$28:$28='04. Summary'!$C35)*('03. AvgSummary'!$27:$27='04. Summary'!$B35)),0)</f>
        <v>0</v>
      </c>
      <c r="K35" s="30" cm="1">
        <f t="array" ref="K35">IFERROR(_xlfn._xlws.FILTER('03. AvgSummary'!$31:$31,('03. AvgSummary'!$30:$30='04. Summary'!K$1)*('03. AvgSummary'!$28:$28='04. Summary'!$C35)*('03. AvgSummary'!$27:$27='04. Summary'!$B35)),0)</f>
        <v>0</v>
      </c>
      <c r="L35" s="30" cm="1">
        <f t="array" ref="L35">IFERROR(_xlfn._xlws.FILTER('03. AvgSummary'!$31:$31,('03. AvgSummary'!$30:$30='04. Summary'!L$1)*('03. AvgSummary'!$28:$28='04. Summary'!$C35)*('03. AvgSummary'!$27:$27='04. Summary'!$B35)),0)</f>
        <v>0</v>
      </c>
      <c r="M35" s="30" cm="1">
        <f t="array" ref="M35">IFERROR(_xlfn._xlws.FILTER('03. AvgSummary'!$31:$31,('03. AvgSummary'!$30:$30='04. Summary'!M$1)*('03. AvgSummary'!$28:$28='04. Summary'!$C35)*('03. AvgSummary'!$27:$27='04. Summary'!$B35)),0)</f>
        <v>0</v>
      </c>
      <c r="N35" s="30" cm="1">
        <f t="array" ref="N35">IFERROR(_xlfn._xlws.FILTER('03. AvgSummary'!$31:$31,('03. AvgSummary'!$30:$30='04. Summary'!N$1)*('03. AvgSummary'!$28:$28='04. Summary'!$C35)*('03. AvgSummary'!$27:$27='04. Summary'!$B35)),0)</f>
        <v>0</v>
      </c>
      <c r="O35" s="30" cm="1">
        <f t="array" ref="O35">IFERROR(_xlfn._xlws.FILTER('03. AvgSummary'!$31:$31,('03. AvgSummary'!$30:$30='04. Summary'!O$1)*('03. AvgSummary'!$28:$28='04. Summary'!$C35)*('03. AvgSummary'!$27:$27='04. Summary'!$B35)),0)</f>
        <v>0</v>
      </c>
      <c r="P35" s="30" cm="1">
        <f t="array" ref="P35">IFERROR(_xlfn._xlws.FILTER('03. AvgSummary'!$31:$31,('03. AvgSummary'!$30:$30='04. Summary'!P$1)*('03. AvgSummary'!$28:$28='04. Summary'!$C35)*('03. AvgSummary'!$27:$27='04. Summary'!$B35)),0)</f>
        <v>0</v>
      </c>
    </row>
    <row r="36" spans="1:16" x14ac:dyDescent="0.45">
      <c r="A36" s="6">
        <f t="shared" si="0"/>
        <v>35</v>
      </c>
      <c r="B36" t="str">
        <v>ProductType: OVERDRAFT PROFESSION</v>
      </c>
      <c r="C36" t="str">
        <v>Stage: 1</v>
      </c>
      <c r="D36" s="30" cm="1">
        <f t="array" ref="D36">IFERROR(_xlfn._xlws.FILTER('03. AvgSummary'!$26:$26,('03. AvgSummary'!$27:$27='04. Summary'!$B36)*('03. AvgSummary'!$28:$28='04. Summary'!$C36)*('03. AvgSummary'!$29:$29='04. Summary'!D$1)),0)</f>
        <v>0</v>
      </c>
      <c r="E36" s="30" cm="1">
        <f t="array" ref="E36">IFERROR(_xlfn._xlws.FILTER('03. AvgSummary'!$26:$26,('03. AvgSummary'!$27:$27='04. Summary'!$B36)*('03. AvgSummary'!$28:$28='04. Summary'!$C36)*('03. AvgSummary'!$29:$29='04. Summary'!E$1)),0)</f>
        <v>0</v>
      </c>
      <c r="F36" s="30" cm="1">
        <f t="array" ref="F36">IFERROR(_xlfn._xlws.FILTER('03. AvgSummary'!$26:$26,('03. AvgSummary'!$27:$27='04. Summary'!$B36)*('03. AvgSummary'!$28:$28='04. Summary'!$C36)*('03. AvgSummary'!$29:$29='04. Summary'!F$1)),0)</f>
        <v>0</v>
      </c>
      <c r="G36" s="30" cm="1">
        <f t="array" ref="G36">IFERROR(_xlfn._xlws.FILTER('03. AvgSummary'!$26:$26,('03. AvgSummary'!$27:$27='04. Summary'!$B36)*('03. AvgSummary'!$28:$28='04. Summary'!$C36)*('03. AvgSummary'!$29:$29='04. Summary'!G$1)),0)</f>
        <v>0</v>
      </c>
      <c r="H36" s="30" cm="1">
        <f t="array" ref="H36">IFERROR(_xlfn._xlws.FILTER('03. AvgSummary'!$26:$26,('03. AvgSummary'!$27:$27='04. Summary'!$B36)*('03. AvgSummary'!$28:$28='04. Summary'!$C36)*('03. AvgSummary'!$29:$29='04. Summary'!H$1)),0)</f>
        <v>0</v>
      </c>
      <c r="I36" s="30" cm="1">
        <f t="array" ref="I36">IFERROR(_xlfn._xlws.FILTER('03. AvgSummary'!$26:$26,('03. AvgSummary'!$27:$27='04. Summary'!$B36)*('03. AvgSummary'!$28:$28='04. Summary'!$C36)*('03. AvgSummary'!$29:$29='04. Summary'!I$1)),0)</f>
        <v>0</v>
      </c>
      <c r="J36" s="30" cm="1">
        <f t="array" ref="J36">IFERROR(_xlfn._xlws.FILTER('03. AvgSummary'!$31:$31,('03. AvgSummary'!$30:$30='04. Summary'!J$1)*('03. AvgSummary'!$28:$28='04. Summary'!$C36)*('03. AvgSummary'!$27:$27='04. Summary'!$B36)),0)</f>
        <v>0</v>
      </c>
      <c r="K36" s="30" cm="1">
        <f t="array" ref="K36">IFERROR(_xlfn._xlws.FILTER('03. AvgSummary'!$31:$31,('03. AvgSummary'!$30:$30='04. Summary'!K$1)*('03. AvgSummary'!$28:$28='04. Summary'!$C36)*('03. AvgSummary'!$27:$27='04. Summary'!$B36)),0)</f>
        <v>0</v>
      </c>
      <c r="L36" s="30" cm="1">
        <f t="array" ref="L36">IFERROR(_xlfn._xlws.FILTER('03. AvgSummary'!$31:$31,('03. AvgSummary'!$30:$30='04. Summary'!L$1)*('03. AvgSummary'!$28:$28='04. Summary'!$C36)*('03. AvgSummary'!$27:$27='04. Summary'!$B36)),0)</f>
        <v>0</v>
      </c>
      <c r="M36" s="30" cm="1">
        <f t="array" ref="M36">IFERROR(_xlfn._xlws.FILTER('03. AvgSummary'!$31:$31,('03. AvgSummary'!$30:$30='04. Summary'!M$1)*('03. AvgSummary'!$28:$28='04. Summary'!$C36)*('03. AvgSummary'!$27:$27='04. Summary'!$B36)),0)</f>
        <v>0</v>
      </c>
      <c r="N36" s="30" cm="1">
        <f t="array" ref="N36">IFERROR(_xlfn._xlws.FILTER('03. AvgSummary'!$31:$31,('03. AvgSummary'!$30:$30='04. Summary'!N$1)*('03. AvgSummary'!$28:$28='04. Summary'!$C36)*('03. AvgSummary'!$27:$27='04. Summary'!$B36)),0)</f>
        <v>0</v>
      </c>
      <c r="O36" s="30" cm="1">
        <f t="array" ref="O36">IFERROR(_xlfn._xlws.FILTER('03. AvgSummary'!$31:$31,('03. AvgSummary'!$30:$30='04. Summary'!O$1)*('03. AvgSummary'!$28:$28='04. Summary'!$C36)*('03. AvgSummary'!$27:$27='04. Summary'!$B36)),0)</f>
        <v>0</v>
      </c>
      <c r="P36" s="30" cm="1">
        <f t="array" ref="P36">IFERROR(_xlfn._xlws.FILTER('03. AvgSummary'!$31:$31,('03. AvgSummary'!$30:$30='04. Summary'!P$1)*('03. AvgSummary'!$28:$28='04. Summary'!$C36)*('03. AvgSummary'!$27:$27='04. Summary'!$B36)),0)</f>
        <v>0</v>
      </c>
    </row>
    <row r="37" spans="1:16" x14ac:dyDescent="0.45">
      <c r="A37" s="6">
        <f t="shared" si="0"/>
        <v>36</v>
      </c>
      <c r="B37" t="str">
        <v>ProductType: OVERDRAFT PROFESSION</v>
      </c>
      <c r="C37" t="str">
        <v>Stage: 2</v>
      </c>
      <c r="D37" s="30" cm="1">
        <f t="array" ref="D37">IFERROR(_xlfn._xlws.FILTER('03. AvgSummary'!$26:$26,('03. AvgSummary'!$27:$27='04. Summary'!$B37)*('03. AvgSummary'!$28:$28='04. Summary'!$C37)*('03. AvgSummary'!$29:$29='04. Summary'!D$1)),0)</f>
        <v>0</v>
      </c>
      <c r="E37" s="30" cm="1">
        <f t="array" ref="E37">IFERROR(_xlfn._xlws.FILTER('03. AvgSummary'!$26:$26,('03. AvgSummary'!$27:$27='04. Summary'!$B37)*('03. AvgSummary'!$28:$28='04. Summary'!$C37)*('03. AvgSummary'!$29:$29='04. Summary'!E$1)),0)</f>
        <v>0</v>
      </c>
      <c r="F37" s="30" cm="1">
        <f t="array" ref="F37">IFERROR(_xlfn._xlws.FILTER('03. AvgSummary'!$26:$26,('03. AvgSummary'!$27:$27='04. Summary'!$B37)*('03. AvgSummary'!$28:$28='04. Summary'!$C37)*('03. AvgSummary'!$29:$29='04. Summary'!F$1)),0)</f>
        <v>0</v>
      </c>
      <c r="G37" s="30" cm="1">
        <f t="array" ref="G37">IFERROR(_xlfn._xlws.FILTER('03. AvgSummary'!$26:$26,('03. AvgSummary'!$27:$27='04. Summary'!$B37)*('03. AvgSummary'!$28:$28='04. Summary'!$C37)*('03. AvgSummary'!$29:$29='04. Summary'!G$1)),0)</f>
        <v>0</v>
      </c>
      <c r="H37" s="30" cm="1">
        <f t="array" ref="H37">IFERROR(_xlfn._xlws.FILTER('03. AvgSummary'!$26:$26,('03. AvgSummary'!$27:$27='04. Summary'!$B37)*('03. AvgSummary'!$28:$28='04. Summary'!$C37)*('03. AvgSummary'!$29:$29='04. Summary'!H$1)),0)</f>
        <v>0</v>
      </c>
      <c r="I37" s="30" cm="1">
        <f t="array" ref="I37">IFERROR(_xlfn._xlws.FILTER('03. AvgSummary'!$26:$26,('03. AvgSummary'!$27:$27='04. Summary'!$B37)*('03. AvgSummary'!$28:$28='04. Summary'!$C37)*('03. AvgSummary'!$29:$29='04. Summary'!I$1)),0)</f>
        <v>0</v>
      </c>
      <c r="J37" s="30" cm="1">
        <f t="array" ref="J37">IFERROR(_xlfn._xlws.FILTER('03. AvgSummary'!$31:$31,('03. AvgSummary'!$30:$30='04. Summary'!J$1)*('03. AvgSummary'!$28:$28='04. Summary'!$C37)*('03. AvgSummary'!$27:$27='04. Summary'!$B37)),0)</f>
        <v>0</v>
      </c>
      <c r="K37" s="30" cm="1">
        <f t="array" ref="K37">IFERROR(_xlfn._xlws.FILTER('03. AvgSummary'!$31:$31,('03. AvgSummary'!$30:$30='04. Summary'!K$1)*('03. AvgSummary'!$28:$28='04. Summary'!$C37)*('03. AvgSummary'!$27:$27='04. Summary'!$B37)),0)</f>
        <v>0</v>
      </c>
      <c r="L37" s="30" cm="1">
        <f t="array" ref="L37">IFERROR(_xlfn._xlws.FILTER('03. AvgSummary'!$31:$31,('03. AvgSummary'!$30:$30='04. Summary'!L$1)*('03. AvgSummary'!$28:$28='04. Summary'!$C37)*('03. AvgSummary'!$27:$27='04. Summary'!$B37)),0)</f>
        <v>0</v>
      </c>
      <c r="M37" s="30" cm="1">
        <f t="array" ref="M37">IFERROR(_xlfn._xlws.FILTER('03. AvgSummary'!$31:$31,('03. AvgSummary'!$30:$30='04. Summary'!M$1)*('03. AvgSummary'!$28:$28='04. Summary'!$C37)*('03. AvgSummary'!$27:$27='04. Summary'!$B37)),0)</f>
        <v>0</v>
      </c>
      <c r="N37" s="30" cm="1">
        <f t="array" ref="N37">IFERROR(_xlfn._xlws.FILTER('03. AvgSummary'!$31:$31,('03. AvgSummary'!$30:$30='04. Summary'!N$1)*('03. AvgSummary'!$28:$28='04. Summary'!$C37)*('03. AvgSummary'!$27:$27='04. Summary'!$B37)),0)</f>
        <v>0</v>
      </c>
      <c r="O37" s="30" cm="1">
        <f t="array" ref="O37">IFERROR(_xlfn._xlws.FILTER('03. AvgSummary'!$31:$31,('03. AvgSummary'!$30:$30='04. Summary'!O$1)*('03. AvgSummary'!$28:$28='04. Summary'!$C37)*('03. AvgSummary'!$27:$27='04. Summary'!$B37)),0)</f>
        <v>0</v>
      </c>
      <c r="P37" s="30" cm="1">
        <f t="array" ref="P37">IFERROR(_xlfn._xlws.FILTER('03. AvgSummary'!$31:$31,('03. AvgSummary'!$30:$30='04. Summary'!P$1)*('03. AvgSummary'!$28:$28='04. Summary'!$C37)*('03. AvgSummary'!$27:$27='04. Summary'!$B37)),0)</f>
        <v>0</v>
      </c>
    </row>
    <row r="38" spans="1:16" x14ac:dyDescent="0.45">
      <c r="A38" s="6">
        <f t="shared" si="0"/>
        <v>37</v>
      </c>
      <c r="B38" t="str">
        <v>ProductType: PERSONAL LOAN</v>
      </c>
      <c r="C38" t="str">
        <v>Stage: 1</v>
      </c>
      <c r="D38" s="30" cm="1">
        <f t="array" ref="D38">IFERROR(_xlfn._xlws.FILTER('03. AvgSummary'!$26:$26,('03. AvgSummary'!$27:$27='04. Summary'!$B38)*('03. AvgSummary'!$28:$28='04. Summary'!$C38)*('03. AvgSummary'!$29:$29='04. Summary'!D$1)),0)</f>
        <v>0.12135463562645672</v>
      </c>
      <c r="E38" s="30" cm="1">
        <f t="array" ref="E38">IFERROR(_xlfn._xlws.FILTER('03. AvgSummary'!$26:$26,('03. AvgSummary'!$27:$27='04. Summary'!$B38)*('03. AvgSummary'!$28:$28='04. Summary'!$C38)*('03. AvgSummary'!$29:$29='04. Summary'!E$1)),0)</f>
        <v>-0.15739097675522146</v>
      </c>
      <c r="F38" s="30" cm="1">
        <f t="array" ref="F38">IFERROR(_xlfn._xlws.FILTER('03. AvgSummary'!$26:$26,('03. AvgSummary'!$27:$27='04. Summary'!$B38)*('03. AvgSummary'!$28:$28='04. Summary'!$C38)*('03. AvgSummary'!$29:$29='04. Summary'!F$1)),0)</f>
        <v>0.61383398269840017</v>
      </c>
      <c r="G38" s="30" cm="1">
        <f t="array" ref="G38">IFERROR(_xlfn._xlws.FILTER('03. AvgSummary'!$26:$26,('03. AvgSummary'!$27:$27='04. Summary'!$B38)*('03. AvgSummary'!$28:$28='04. Summary'!$C38)*('03. AvgSummary'!$29:$29='04. Summary'!G$1)),0)</f>
        <v>0.42130081022014465</v>
      </c>
      <c r="H38" s="30" cm="1">
        <f t="array" ref="H38">IFERROR(_xlfn._xlws.FILTER('03. AvgSummary'!$26:$26,('03. AvgSummary'!$27:$27='04. Summary'!$B38)*('03. AvgSummary'!$28:$28='04. Summary'!$C38)*('03. AvgSummary'!$29:$29='04. Summary'!H$1)),0)</f>
        <v>9.0154821022002548E-4</v>
      </c>
      <c r="I38" s="30" cm="1">
        <f t="array" ref="I38">IFERROR(_xlfn._xlws.FILTER('03. AvgSummary'!$26:$26,('03. AvgSummary'!$27:$27='04. Summary'!$B38)*('03. AvgSummary'!$28:$28='04. Summary'!$C38)*('03. AvgSummary'!$29:$29='04. Summary'!I$1)),0)</f>
        <v>0.10130621614211455</v>
      </c>
      <c r="J38" s="30" cm="1">
        <f t="array" ref="J38">IFERROR(_xlfn._xlws.FILTER('03. AvgSummary'!$31:$31,('03. AvgSummary'!$30:$30='04. Summary'!J$1)*('03. AvgSummary'!$28:$28='04. Summary'!$C38)*('03. AvgSummary'!$27:$27='04. Summary'!$B38)),0)</f>
        <v>5.3840010414532201E-2</v>
      </c>
      <c r="K38" s="30" cm="1">
        <f t="array" ref="K38">IFERROR(_xlfn._xlws.FILTER('03. AvgSummary'!$31:$31,('03. AvgSummary'!$30:$30='04. Summary'!K$1)*('03. AvgSummary'!$28:$28='04. Summary'!$C38)*('03. AvgSummary'!$27:$27='04. Summary'!$B38)),0)</f>
        <v>0.13402171451810785</v>
      </c>
      <c r="L38" s="30" cm="1">
        <f t="array" ref="L38">IFERROR(_xlfn._xlws.FILTER('03. AvgSummary'!$31:$31,('03. AvgSummary'!$30:$30='04. Summary'!L$1)*('03. AvgSummary'!$28:$28='04. Summary'!$C38)*('03. AvgSummary'!$27:$27='04. Summary'!$B38)),0)</f>
        <v>6.3399393675220489E-2</v>
      </c>
      <c r="M38" s="30" cm="1">
        <f t="array" ref="M38">IFERROR(_xlfn._xlws.FILTER('03. AvgSummary'!$31:$31,('03. AvgSummary'!$30:$30='04. Summary'!M$1)*('03. AvgSummary'!$28:$28='04. Summary'!$C38)*('03. AvgSummary'!$27:$27='04. Summary'!$B38)),0)</f>
        <v>7.3911887364684264E-2</v>
      </c>
      <c r="N38" s="30" cm="1">
        <f t="array" ref="N38">IFERROR(_xlfn._xlws.FILTER('03. AvgSummary'!$31:$31,('03. AvgSummary'!$30:$30='04. Summary'!N$1)*('03. AvgSummary'!$28:$28='04. Summary'!$C38)*('03. AvgSummary'!$27:$27='04. Summary'!$B38)),0)</f>
        <v>0.1475339489113062</v>
      </c>
      <c r="O38" s="30" cm="1">
        <f t="array" ref="O38">IFERROR(_xlfn._xlws.FILTER('03. AvgSummary'!$31:$31,('03. AvgSummary'!$30:$30='04. Summary'!O$1)*('03. AvgSummary'!$28:$28='04. Summary'!$C38)*('03. AvgSummary'!$27:$27='04. Summary'!$B38)),0)</f>
        <v>0.17373071336420828</v>
      </c>
      <c r="P38" s="30" cm="1">
        <f t="array" ref="P38">IFERROR(_xlfn._xlws.FILTER('03. AvgSummary'!$31:$31,('03. AvgSummary'!$30:$30='04. Summary'!P$1)*('03. AvgSummary'!$28:$28='04. Summary'!$C38)*('03. AvgSummary'!$27:$27='04. Summary'!$B38)),0)</f>
        <v>6.270584474674247E-2</v>
      </c>
    </row>
    <row r="39" spans="1:16" x14ac:dyDescent="0.45">
      <c r="A39" s="6">
        <f t="shared" si="0"/>
        <v>38</v>
      </c>
      <c r="B39" t="str">
        <v>ProductType: PERSONAL LOAN</v>
      </c>
      <c r="C39" t="str">
        <v>Stage: 2</v>
      </c>
      <c r="D39" s="30" cm="1">
        <f t="array" ref="D39">IFERROR(_xlfn._xlws.FILTER('03. AvgSummary'!$26:$26,('03. AvgSummary'!$27:$27='04. Summary'!$B39)*('03. AvgSummary'!$28:$28='04. Summary'!$C39)*('03. AvgSummary'!$29:$29='04. Summary'!D$1)),0)</f>
        <v>7.5076537008819375E-2</v>
      </c>
      <c r="E39" s="30" cm="1">
        <f t="array" ref="E39">IFERROR(_xlfn._xlws.FILTER('03. AvgSummary'!$26:$26,('03. AvgSummary'!$27:$27='04. Summary'!$B39)*('03. AvgSummary'!$28:$28='04. Summary'!$C39)*('03. AvgSummary'!$29:$29='04. Summary'!E$1)),0)</f>
        <v>-0.19180200676651421</v>
      </c>
      <c r="F39" s="30" cm="1">
        <f t="array" ref="F39">IFERROR(_xlfn._xlws.FILTER('03. AvgSummary'!$26:$26,('03. AvgSummary'!$27:$27='04. Summary'!$B39)*('03. AvgSummary'!$28:$28='04. Summary'!$C39)*('03. AvgSummary'!$29:$29='04. Summary'!F$1)),0)</f>
        <v>0.60529767423175163</v>
      </c>
      <c r="G39" s="30" cm="1">
        <f t="array" ref="G39">IFERROR(_xlfn._xlws.FILTER('03. AvgSummary'!$26:$26,('03. AvgSummary'!$27:$27='04. Summary'!$B39)*('03. AvgSummary'!$28:$28='04. Summary'!$C39)*('03. AvgSummary'!$29:$29='04. Summary'!G$1)),0)</f>
        <v>0.51059047841359495</v>
      </c>
      <c r="H39" s="30" cm="1">
        <f t="array" ref="H39">IFERROR(_xlfn._xlws.FILTER('03. AvgSummary'!$26:$26,('03. AvgSummary'!$27:$27='04. Summary'!$B39)*('03. AvgSummary'!$28:$28='04. Summary'!$C39)*('03. AvgSummary'!$29:$29='04. Summary'!H$1)),0)</f>
        <v>8.3731711234823832E-4</v>
      </c>
      <c r="I39" s="30" cm="1">
        <f t="array" ref="I39">IFERROR(_xlfn._xlws.FILTER('03. AvgSummary'!$26:$26,('03. AvgSummary'!$27:$27='04. Summary'!$B39)*('03. AvgSummary'!$28:$28='04. Summary'!$C39)*('03. AvgSummary'!$29:$29='04. Summary'!I$1)),0)</f>
        <v>0.2046957609122397</v>
      </c>
      <c r="J39" s="30" cm="1">
        <f t="array" ref="J39">IFERROR(_xlfn._xlws.FILTER('03. AvgSummary'!$31:$31,('03. AvgSummary'!$30:$30='04. Summary'!J$1)*('03. AvgSummary'!$28:$28='04. Summary'!$C39)*('03. AvgSummary'!$27:$27='04. Summary'!$B39)),0)</f>
        <v>6.70136608004996E-2</v>
      </c>
      <c r="K39" s="30" cm="1">
        <f t="array" ref="K39">IFERROR(_xlfn._xlws.FILTER('03. AvgSummary'!$31:$31,('03. AvgSummary'!$30:$30='04. Summary'!K$1)*('03. AvgSummary'!$28:$28='04. Summary'!$C39)*('03. AvgSummary'!$27:$27='04. Summary'!$B39)),0)</f>
        <v>0.19109988985846119</v>
      </c>
      <c r="L39" s="30" cm="1">
        <f t="array" ref="L39">IFERROR(_xlfn._xlws.FILTER('03. AvgSummary'!$31:$31,('03. AvgSummary'!$30:$30='04. Summary'!L$1)*('03. AvgSummary'!$28:$28='04. Summary'!$C39)*('03. AvgSummary'!$27:$27='04. Summary'!$B39)),0)</f>
        <v>0.15344718241788033</v>
      </c>
      <c r="M39" s="30" cm="1">
        <f t="array" ref="M39">IFERROR(_xlfn._xlws.FILTER('03. AvgSummary'!$31:$31,('03. AvgSummary'!$30:$30='04. Summary'!M$1)*('03. AvgSummary'!$28:$28='04. Summary'!$C39)*('03. AvgSummary'!$27:$27='04. Summary'!$B39)),0)</f>
        <v>0.10838519974134581</v>
      </c>
      <c r="N39" s="30" cm="1">
        <f t="array" ref="N39">IFERROR(_xlfn._xlws.FILTER('03. AvgSummary'!$31:$31,('03. AvgSummary'!$30:$30='04. Summary'!N$1)*('03. AvgSummary'!$28:$28='04. Summary'!$C39)*('03. AvgSummary'!$27:$27='04. Summary'!$B39)),0)</f>
        <v>0.33138982303237929</v>
      </c>
      <c r="O39" s="30" cm="1">
        <f t="array" ref="O39">IFERROR(_xlfn._xlws.FILTER('03. AvgSummary'!$31:$31,('03. AvgSummary'!$30:$30='04. Summary'!O$1)*('03. AvgSummary'!$28:$28='04. Summary'!$C39)*('03. AvgSummary'!$27:$27='04. Summary'!$B39)),0)</f>
        <v>0.4175555528023065</v>
      </c>
      <c r="P39" s="30" cm="1">
        <f t="array" ref="P39">IFERROR(_xlfn._xlws.FILTER('03. AvgSummary'!$31:$31,('03. AvgSummary'!$30:$30='04. Summary'!P$1)*('03. AvgSummary'!$28:$28='04. Summary'!$C39)*('03. AvgSummary'!$27:$27='04. Summary'!$B39)),0)</f>
        <v>0.16397901773280521</v>
      </c>
    </row>
    <row r="40" spans="1:16" x14ac:dyDescent="0.45">
      <c r="A40" s="6">
        <f t="shared" si="0"/>
        <v>39</v>
      </c>
      <c r="B40" t="str">
        <v>ProductType: RECEIVABLE LOAN</v>
      </c>
      <c r="C40" t="str">
        <v>Stage: 1</v>
      </c>
      <c r="D40" s="30" cm="1">
        <f t="array" ref="D40">IFERROR(_xlfn._xlws.FILTER('03. AvgSummary'!$26:$26,('03. AvgSummary'!$27:$27='04. Summary'!$B40)*('03. AvgSummary'!$28:$28='04. Summary'!$C40)*('03. AvgSummary'!$29:$29='04. Summary'!D$1)),0)</f>
        <v>-0.2850259026504916</v>
      </c>
      <c r="E40" s="30" cm="1">
        <f t="array" ref="E40">IFERROR(_xlfn._xlws.FILTER('03. AvgSummary'!$26:$26,('03. AvgSummary'!$27:$27='04. Summary'!$B40)*('03. AvgSummary'!$28:$28='04. Summary'!$C40)*('03. AvgSummary'!$29:$29='04. Summary'!E$1)),0)</f>
        <v>-0.21437268130230333</v>
      </c>
      <c r="F40" s="30" cm="1">
        <f t="array" ref="F40">IFERROR(_xlfn._xlws.FILTER('03. AvgSummary'!$26:$26,('03. AvgSummary'!$27:$27='04. Summary'!$B40)*('03. AvgSummary'!$28:$28='04. Summary'!$C40)*('03. AvgSummary'!$29:$29='04. Summary'!F$1)),0)</f>
        <v>0.69536331945883134</v>
      </c>
      <c r="G40" s="30" cm="1">
        <f t="array" ref="G40">IFERROR(_xlfn._xlws.FILTER('03. AvgSummary'!$26:$26,('03. AvgSummary'!$27:$27='04. Summary'!$B40)*('03. AvgSummary'!$28:$28='04. Summary'!$C40)*('03. AvgSummary'!$29:$29='04. Summary'!G$1)),0)</f>
        <v>0.80435075176908555</v>
      </c>
      <c r="H40" s="30" cm="1">
        <f t="array" ref="H40">IFERROR(_xlfn._xlws.FILTER('03. AvgSummary'!$26:$26,('03. AvgSummary'!$27:$27='04. Summary'!$B40)*('03. AvgSummary'!$28:$28='04. Summary'!$C40)*('03. AvgSummary'!$29:$29='04. Summary'!H$1)),0)</f>
        <v>-3.1548727512201727E-4</v>
      </c>
      <c r="I40" s="30" cm="1">
        <f t="array" ref="I40">IFERROR(_xlfn._xlws.FILTER('03. AvgSummary'!$26:$26,('03. AvgSummary'!$27:$27='04. Summary'!$B40)*('03. AvgSummary'!$28:$28='04. Summary'!$C40)*('03. AvgSummary'!$29:$29='04. Summary'!I$1)),0)</f>
        <v>3.8473850030831591E-2</v>
      </c>
      <c r="J40" s="30" cm="1">
        <f t="array" ref="J40">IFERROR(_xlfn._xlws.FILTER('03. AvgSummary'!$31:$31,('03. AvgSummary'!$30:$30='04. Summary'!J$1)*('03. AvgSummary'!$28:$28='04. Summary'!$C40)*('03. AvgSummary'!$27:$27='04. Summary'!$B40)),0)</f>
        <v>0</v>
      </c>
      <c r="K40" s="30" cm="1">
        <f t="array" ref="K40">IFERROR(_xlfn._xlws.FILTER('03. AvgSummary'!$31:$31,('03. AvgSummary'!$30:$30='04. Summary'!K$1)*('03. AvgSummary'!$28:$28='04. Summary'!$C40)*('03. AvgSummary'!$27:$27='04. Summary'!$B40)),0)</f>
        <v>0</v>
      </c>
      <c r="L40" s="30" cm="1">
        <f t="array" ref="L40">IFERROR(_xlfn._xlws.FILTER('03. AvgSummary'!$31:$31,('03. AvgSummary'!$30:$30='04. Summary'!L$1)*('03. AvgSummary'!$28:$28='04. Summary'!$C40)*('03. AvgSummary'!$27:$27='04. Summary'!$B40)),0)</f>
        <v>0.22056528002100295</v>
      </c>
      <c r="M40" s="30" cm="1">
        <f t="array" ref="M40">IFERROR(_xlfn._xlws.FILTER('03. AvgSummary'!$31:$31,('03. AvgSummary'!$30:$30='04. Summary'!M$1)*('03. AvgSummary'!$28:$28='04. Summary'!$C40)*('03. AvgSummary'!$27:$27='04. Summary'!$B40)),0)</f>
        <v>0</v>
      </c>
      <c r="N40" s="30" cm="1">
        <f t="array" ref="N40">IFERROR(_xlfn._xlws.FILTER('03. AvgSummary'!$31:$31,('03. AvgSummary'!$30:$30='04. Summary'!N$1)*('03. AvgSummary'!$28:$28='04. Summary'!$C40)*('03. AvgSummary'!$27:$27='04. Summary'!$B40)),0)</f>
        <v>0</v>
      </c>
      <c r="O40" s="30" cm="1">
        <f t="array" ref="O40">IFERROR(_xlfn._xlws.FILTER('03. AvgSummary'!$31:$31,('03. AvgSummary'!$30:$30='04. Summary'!O$1)*('03. AvgSummary'!$28:$28='04. Summary'!$C40)*('03. AvgSummary'!$27:$27='04. Summary'!$B40)),0)</f>
        <v>4.8751670194818186E-2</v>
      </c>
      <c r="P40" s="30" cm="1">
        <f t="array" ref="P40">IFERROR(_xlfn._xlws.FILTER('03. AvgSummary'!$31:$31,('03. AvgSummary'!$30:$30='04. Summary'!P$1)*('03. AvgSummary'!$28:$28='04. Summary'!$C40)*('03. AvgSummary'!$27:$27='04. Summary'!$B40)),0)</f>
        <v>0</v>
      </c>
    </row>
    <row r="41" spans="1:16" x14ac:dyDescent="0.45">
      <c r="A41" s="6">
        <f t="shared" si="0"/>
        <v>40</v>
      </c>
      <c r="B41" t="str">
        <v>ProductType: RECEIVABLE LOAN</v>
      </c>
      <c r="C41" t="str">
        <v>Stage: 2</v>
      </c>
      <c r="D41" s="30" cm="1">
        <f t="array" ref="D41">IFERROR(_xlfn._xlws.FILTER('03. AvgSummary'!$26:$26,('03. AvgSummary'!$27:$27='04. Summary'!$B41)*('03. AvgSummary'!$28:$28='04. Summary'!$C41)*('03. AvgSummary'!$29:$29='04. Summary'!D$1)),0)</f>
        <v>-0.35583823319143648</v>
      </c>
      <c r="E41" s="30" cm="1">
        <f t="array" ref="E41">IFERROR(_xlfn._xlws.FILTER('03. AvgSummary'!$26:$26,('03. AvgSummary'!$27:$27='04. Summary'!$B41)*('03. AvgSummary'!$28:$28='04. Summary'!$C41)*('03. AvgSummary'!$29:$29='04. Summary'!E$1)),0)</f>
        <v>-0.16576106659536941</v>
      </c>
      <c r="F41" s="30" cm="1">
        <f t="array" ref="F41">IFERROR(_xlfn._xlws.FILTER('03. AvgSummary'!$26:$26,('03. AvgSummary'!$27:$27='04. Summary'!$B41)*('03. AvgSummary'!$28:$28='04. Summary'!$C41)*('03. AvgSummary'!$29:$29='04. Summary'!F$1)),0)</f>
        <v>0.67416003114184719</v>
      </c>
      <c r="G41" s="30" cm="1">
        <f t="array" ref="G41">IFERROR(_xlfn._xlws.FILTER('03. AvgSummary'!$26:$26,('03. AvgSummary'!$27:$27='04. Summary'!$B41)*('03. AvgSummary'!$28:$28='04. Summary'!$C41)*('03. AvgSummary'!$29:$29='04. Summary'!G$1)),0)</f>
        <v>0.84806367582316311</v>
      </c>
      <c r="H41" s="30" cm="1">
        <f t="array" ref="H41">IFERROR(_xlfn._xlws.FILTER('03. AvgSummary'!$26:$26,('03. AvgSummary'!$27:$27='04. Summary'!$B41)*('03. AvgSummary'!$28:$28='04. Summary'!$C41)*('03. AvgSummary'!$29:$29='04. Summary'!H$1)),0)</f>
        <v>-6.2440717820447429E-4</v>
      </c>
      <c r="I41" s="30" cm="1">
        <f t="array" ref="I41">IFERROR(_xlfn._xlws.FILTER('03. AvgSummary'!$26:$26,('03. AvgSummary'!$27:$27='04. Summary'!$B41)*('03. AvgSummary'!$28:$28='04. Summary'!$C41)*('03. AvgSummary'!$29:$29='04. Summary'!I$1)),0)</f>
        <v>3.5714285714285712E-2</v>
      </c>
      <c r="J41" s="30" cm="1">
        <f t="array" ref="J41">IFERROR(_xlfn._xlws.FILTER('03. AvgSummary'!$31:$31,('03. AvgSummary'!$30:$30='04. Summary'!J$1)*('03. AvgSummary'!$28:$28='04. Summary'!$C41)*('03. AvgSummary'!$27:$27='04. Summary'!$B41)),0)</f>
        <v>0</v>
      </c>
      <c r="K41" s="30" cm="1">
        <f t="array" ref="K41">IFERROR(_xlfn._xlws.FILTER('03. AvgSummary'!$31:$31,('03. AvgSummary'!$30:$30='04. Summary'!K$1)*('03. AvgSummary'!$28:$28='04. Summary'!$C41)*('03. AvgSummary'!$27:$27='04. Summary'!$B41)),0)</f>
        <v>0</v>
      </c>
      <c r="L41" s="30" cm="1">
        <f t="array" ref="L41">IFERROR(_xlfn._xlws.FILTER('03. AvgSummary'!$31:$31,('03. AvgSummary'!$30:$30='04. Summary'!L$1)*('03. AvgSummary'!$28:$28='04. Summary'!$C41)*('03. AvgSummary'!$27:$27='04. Summary'!$B41)),0)</f>
        <v>0.25</v>
      </c>
      <c r="M41" s="30" cm="1">
        <f t="array" ref="M41">IFERROR(_xlfn._xlws.FILTER('03. AvgSummary'!$31:$31,('03. AvgSummary'!$30:$30='04. Summary'!M$1)*('03. AvgSummary'!$28:$28='04. Summary'!$C41)*('03. AvgSummary'!$27:$27='04. Summary'!$B41)),0)</f>
        <v>0</v>
      </c>
      <c r="N41" s="30" cm="1">
        <f t="array" ref="N41">IFERROR(_xlfn._xlws.FILTER('03. AvgSummary'!$31:$31,('03. AvgSummary'!$30:$30='04. Summary'!N$1)*('03. AvgSummary'!$28:$28='04. Summary'!$C41)*('03. AvgSummary'!$27:$27='04. Summary'!$B41)),0)</f>
        <v>0</v>
      </c>
      <c r="O41" s="30" cm="1">
        <f t="array" ref="O41">IFERROR(_xlfn._xlws.FILTER('03. AvgSummary'!$31:$31,('03. AvgSummary'!$30:$30='04. Summary'!O$1)*('03. AvgSummary'!$28:$28='04. Summary'!$C41)*('03. AvgSummary'!$27:$27='04. Summary'!$B41)),0)</f>
        <v>0</v>
      </c>
      <c r="P41" s="30" cm="1">
        <f t="array" ref="P41">IFERROR(_xlfn._xlws.FILTER('03. AvgSummary'!$31:$31,('03. AvgSummary'!$30:$30='04. Summary'!P$1)*('03. AvgSummary'!$28:$28='04. Summary'!$C41)*('03. AvgSummary'!$27:$27='04. Summary'!$B41)),0)</f>
        <v>0</v>
      </c>
    </row>
    <row r="42" spans="1:16" x14ac:dyDescent="0.45">
      <c r="A42" s="6">
        <f t="shared" si="0"/>
        <v>41</v>
      </c>
      <c r="B42" t="str">
        <v>ProductType: RESI PER.HOME-EMI</v>
      </c>
      <c r="C42" t="str">
        <v>Stage: 1</v>
      </c>
      <c r="D42" s="30" cm="1">
        <f t="array" ref="D42">IFERROR(_xlfn._xlws.FILTER('03. AvgSummary'!$26:$26,('03. AvgSummary'!$27:$27='04. Summary'!$B42)*('03. AvgSummary'!$28:$28='04. Summary'!$C42)*('03. AvgSummary'!$29:$29='04. Summary'!D$1)),0)</f>
        <v>-1.0147801200650244</v>
      </c>
      <c r="E42" s="30" cm="1">
        <f t="array" ref="E42">IFERROR(_xlfn._xlws.FILTER('03. AvgSummary'!$26:$26,('03. AvgSummary'!$27:$27='04. Summary'!$B42)*('03. AvgSummary'!$28:$28='04. Summary'!$C42)*('03. AvgSummary'!$29:$29='04. Summary'!E$1)),0)</f>
        <v>-0.66823930625238703</v>
      </c>
      <c r="F42" s="30" cm="1">
        <f t="array" ref="F42">IFERROR(_xlfn._xlws.FILTER('03. AvgSummary'!$26:$26,('03. AvgSummary'!$27:$27='04. Summary'!$B42)*('03. AvgSummary'!$28:$28='04. Summary'!$C42)*('03. AvgSummary'!$29:$29='04. Summary'!F$1)),0)</f>
        <v>0.48454882906933511</v>
      </c>
      <c r="G42" s="30" cm="1">
        <f t="array" ref="G42">IFERROR(_xlfn._xlws.FILTER('03. AvgSummary'!$26:$26,('03. AvgSummary'!$27:$27='04. Summary'!$B42)*('03. AvgSummary'!$28:$28='04. Summary'!$C42)*('03. AvgSummary'!$29:$29='04. Summary'!G$1)),0)</f>
        <v>2.201174133577795</v>
      </c>
      <c r="H42" s="30" cm="1">
        <f t="array" ref="H42">IFERROR(_xlfn._xlws.FILTER('03. AvgSummary'!$26:$26,('03. AvgSummary'!$27:$27='04. Summary'!$B42)*('03. AvgSummary'!$28:$28='04. Summary'!$C42)*('03. AvgSummary'!$29:$29='04. Summary'!H$1)),0)</f>
        <v>-2.7035363297188038E-3</v>
      </c>
      <c r="I42" s="30" cm="1">
        <f t="array" ref="I42">IFERROR(_xlfn._xlws.FILTER('03. AvgSummary'!$26:$26,('03. AvgSummary'!$27:$27='04. Summary'!$B42)*('03. AvgSummary'!$28:$28='04. Summary'!$C42)*('03. AvgSummary'!$29:$29='04. Summary'!I$1)),0)</f>
        <v>0.12229733027345002</v>
      </c>
      <c r="J42" s="30" cm="1">
        <f t="array" ref="J42">IFERROR(_xlfn._xlws.FILTER('03. AvgSummary'!$31:$31,('03. AvgSummary'!$30:$30='04. Summary'!J$1)*('03. AvgSummary'!$28:$28='04. Summary'!$C42)*('03. AvgSummary'!$27:$27='04. Summary'!$B42)),0)</f>
        <v>2.5386848493703274E-3</v>
      </c>
      <c r="K42" s="30" cm="1">
        <f t="array" ref="K42">IFERROR(_xlfn._xlws.FILTER('03. AvgSummary'!$31:$31,('03. AvgSummary'!$30:$30='04. Summary'!K$1)*('03. AvgSummary'!$28:$28='04. Summary'!$C42)*('03. AvgSummary'!$27:$27='04. Summary'!$B42)),0)</f>
        <v>0.29137996931886523</v>
      </c>
      <c r="L42" s="30" cm="1">
        <f t="array" ref="L42">IFERROR(_xlfn._xlws.FILTER('03. AvgSummary'!$31:$31,('03. AvgSummary'!$30:$30='04. Summary'!L$1)*('03. AvgSummary'!$28:$28='04. Summary'!$C42)*('03. AvgSummary'!$27:$27='04. Summary'!$B42)),0)</f>
        <v>6.0307130875190379E-2</v>
      </c>
      <c r="M42" s="30" cm="1">
        <f t="array" ref="M42">IFERROR(_xlfn._xlws.FILTER('03. AvgSummary'!$31:$31,('03. AvgSummary'!$30:$30='04. Summary'!M$1)*('03. AvgSummary'!$28:$28='04. Summary'!$C42)*('03. AvgSummary'!$27:$27='04. Summary'!$B42)),0)</f>
        <v>9.4047143050713711E-2</v>
      </c>
      <c r="N42" s="30" cm="1">
        <f t="array" ref="N42">IFERROR(_xlfn._xlws.FILTER('03. AvgSummary'!$31:$31,('03. AvgSummary'!$30:$30='04. Summary'!N$1)*('03. AvgSummary'!$28:$28='04. Summary'!$C42)*('03. AvgSummary'!$27:$27='04. Summary'!$B42)),0)</f>
        <v>0.12710994441446352</v>
      </c>
      <c r="O42" s="30" cm="1">
        <f t="array" ref="O42">IFERROR(_xlfn._xlws.FILTER('03. AvgSummary'!$31:$31,('03. AvgSummary'!$30:$30='04. Summary'!O$1)*('03. AvgSummary'!$28:$28='04. Summary'!$C42)*('03. AvgSummary'!$27:$27='04. Summary'!$B42)),0)</f>
        <v>0.13688965686439636</v>
      </c>
      <c r="P42" s="30" cm="1">
        <f t="array" ref="P42">IFERROR(_xlfn._xlws.FILTER('03. AvgSummary'!$31:$31,('03. AvgSummary'!$30:$30='04. Summary'!P$1)*('03. AvgSummary'!$28:$28='04. Summary'!$C42)*('03. AvgSummary'!$27:$27='04. Summary'!$B42)),0)</f>
        <v>0.14380878254115054</v>
      </c>
    </row>
    <row r="43" spans="1:16" x14ac:dyDescent="0.45">
      <c r="A43" s="6">
        <f t="shared" si="0"/>
        <v>42</v>
      </c>
      <c r="B43" t="str">
        <v>ProductType: RESI PER.HOME-EMI</v>
      </c>
      <c r="C43" t="str">
        <v>Stage: 2</v>
      </c>
      <c r="D43" s="30" cm="1">
        <f t="array" ref="D43">IFERROR(_xlfn._xlws.FILTER('03. AvgSummary'!$26:$26,('03. AvgSummary'!$27:$27='04. Summary'!$B43)*('03. AvgSummary'!$28:$28='04. Summary'!$C43)*('03. AvgSummary'!$29:$29='04. Summary'!D$1)),0)</f>
        <v>-0.36887283440357915</v>
      </c>
      <c r="E43" s="30" cm="1">
        <f t="array" ref="E43">IFERROR(_xlfn._xlws.FILTER('03. AvgSummary'!$26:$26,('03. AvgSummary'!$27:$27='04. Summary'!$B43)*('03. AvgSummary'!$28:$28='04. Summary'!$C43)*('03. AvgSummary'!$29:$29='04. Summary'!E$1)),0)</f>
        <v>-0.45040354534700955</v>
      </c>
      <c r="F43" s="30" cm="1">
        <f t="array" ref="F43">IFERROR(_xlfn._xlws.FILTER('03. AvgSummary'!$26:$26,('03. AvgSummary'!$27:$27='04. Summary'!$B43)*('03. AvgSummary'!$28:$28='04. Summary'!$C43)*('03. AvgSummary'!$29:$29='04. Summary'!F$1)),0)</f>
        <v>0.56357199968232485</v>
      </c>
      <c r="G43" s="30" cm="1">
        <f t="array" ref="G43">IFERROR(_xlfn._xlws.FILTER('03. AvgSummary'!$26:$26,('03. AvgSummary'!$27:$27='04. Summary'!$B43)*('03. AvgSummary'!$28:$28='04. Summary'!$C43)*('03. AvgSummary'!$29:$29='04. Summary'!G$1)),0)</f>
        <v>1.2564673141274114</v>
      </c>
      <c r="H43" s="30" cm="1">
        <f t="array" ref="H43">IFERROR(_xlfn._xlws.FILTER('03. AvgSummary'!$26:$26,('03. AvgSummary'!$27:$27='04. Summary'!$B43)*('03. AvgSummary'!$28:$28='04. Summary'!$C43)*('03. AvgSummary'!$29:$29='04. Summary'!H$1)),0)</f>
        <v>-7.6293405914744806E-4</v>
      </c>
      <c r="I43" s="30" cm="1">
        <f t="array" ref="I43">IFERROR(_xlfn._xlws.FILTER('03. AvgSummary'!$26:$26,('03. AvgSummary'!$27:$27='04. Summary'!$B43)*('03. AvgSummary'!$28:$28='04. Summary'!$C43)*('03. AvgSummary'!$29:$29='04. Summary'!I$1)),0)</f>
        <v>0.28874067671905956</v>
      </c>
      <c r="J43" s="30" cm="1">
        <f t="array" ref="J43">IFERROR(_xlfn._xlws.FILTER('03. AvgSummary'!$31:$31,('03. AvgSummary'!$30:$30='04. Summary'!J$1)*('03. AvgSummary'!$28:$28='04. Summary'!$C43)*('03. AvgSummary'!$27:$27='04. Summary'!$B43)),0)</f>
        <v>2.1918734659204745E-3</v>
      </c>
      <c r="K43" s="30" cm="1">
        <f t="array" ref="K43">IFERROR(_xlfn._xlws.FILTER('03. AvgSummary'!$31:$31,('03. AvgSummary'!$30:$30='04. Summary'!K$1)*('03. AvgSummary'!$28:$28='04. Summary'!$C43)*('03. AvgSummary'!$27:$27='04. Summary'!$B43)),0)</f>
        <v>0.57934763824409696</v>
      </c>
      <c r="L43" s="30" cm="1">
        <f t="array" ref="L43">IFERROR(_xlfn._xlws.FILTER('03. AvgSummary'!$31:$31,('03. AvgSummary'!$30:$30='04. Summary'!L$1)*('03. AvgSummary'!$28:$28='04. Summary'!$C43)*('03. AvgSummary'!$27:$27='04. Summary'!$B43)),0)</f>
        <v>0.22678849418139013</v>
      </c>
      <c r="M43" s="30" cm="1">
        <f t="array" ref="M43">IFERROR(_xlfn._xlws.FILTER('03. AvgSummary'!$31:$31,('03. AvgSummary'!$30:$30='04. Summary'!M$1)*('03. AvgSummary'!$28:$28='04. Summary'!$C43)*('03. AvgSummary'!$27:$27='04. Summary'!$B43)),0)</f>
        <v>0.27418479449281574</v>
      </c>
      <c r="N43" s="30" cm="1">
        <f t="array" ref="N43">IFERROR(_xlfn._xlws.FILTER('03. AvgSummary'!$31:$31,('03. AvgSummary'!$30:$30='04. Summary'!N$1)*('03. AvgSummary'!$28:$28='04. Summary'!$C43)*('03. AvgSummary'!$27:$27='04. Summary'!$B43)),0)</f>
        <v>0.33406641678691501</v>
      </c>
      <c r="O43" s="30" cm="1">
        <f t="array" ref="O43">IFERROR(_xlfn._xlws.FILTER('03. AvgSummary'!$31:$31,('03. AvgSummary'!$30:$30='04. Summary'!O$1)*('03. AvgSummary'!$28:$28='04. Summary'!$C43)*('03. AvgSummary'!$27:$27='04. Summary'!$B43)),0)</f>
        <v>0.32025210685065009</v>
      </c>
      <c r="P43" s="30" cm="1">
        <f t="array" ref="P43">IFERROR(_xlfn._xlws.FILTER('03. AvgSummary'!$31:$31,('03. AvgSummary'!$30:$30='04. Summary'!P$1)*('03. AvgSummary'!$28:$28='04. Summary'!$C43)*('03. AvgSummary'!$27:$27='04. Summary'!$B43)),0)</f>
        <v>0.28435341301162842</v>
      </c>
    </row>
    <row r="44" spans="1:16" x14ac:dyDescent="0.45">
      <c r="A44" s="6">
        <f t="shared" si="0"/>
        <v>43</v>
      </c>
      <c r="B44" t="str">
        <v>ProductType: RESI REAL EST LOAN</v>
      </c>
      <c r="C44" t="str">
        <v>Stage: 1</v>
      </c>
      <c r="D44" s="30" cm="1">
        <f t="array" ref="D44">IFERROR(_xlfn._xlws.FILTER('03. AvgSummary'!$26:$26,('03. AvgSummary'!$27:$27='04. Summary'!$B44)*('03. AvgSummary'!$28:$28='04. Summary'!$C44)*('03. AvgSummary'!$29:$29='04. Summary'!D$1)),0)</f>
        <v>-8.0251852638690085E-2</v>
      </c>
      <c r="E44" s="30" cm="1">
        <f t="array" ref="E44">IFERROR(_xlfn._xlws.FILTER('03. AvgSummary'!$26:$26,('03. AvgSummary'!$27:$27='04. Summary'!$B44)*('03. AvgSummary'!$28:$28='04. Summary'!$C44)*('03. AvgSummary'!$29:$29='04. Summary'!E$1)),0)</f>
        <v>-0.19226561239483225</v>
      </c>
      <c r="F44" s="30" cm="1">
        <f t="array" ref="F44">IFERROR(_xlfn._xlws.FILTER('03. AvgSummary'!$26:$26,('03. AvgSummary'!$27:$27='04. Summary'!$B44)*('03. AvgSummary'!$28:$28='04. Summary'!$C44)*('03. AvgSummary'!$29:$29='04. Summary'!F$1)),0)</f>
        <v>0.55546766196225994</v>
      </c>
      <c r="G44" s="30" cm="1">
        <f t="array" ref="G44">IFERROR(_xlfn._xlws.FILTER('03. AvgSummary'!$26:$26,('03. AvgSummary'!$27:$27='04. Summary'!$B44)*('03. AvgSummary'!$28:$28='04. Summary'!$C44)*('03. AvgSummary'!$29:$29='04. Summary'!G$1)),0)</f>
        <v>0.71677820493997235</v>
      </c>
      <c r="H44" s="30" cm="1">
        <f t="array" ref="H44">IFERROR(_xlfn._xlws.FILTER('03. AvgSummary'!$26:$26,('03. AvgSummary'!$27:$27='04. Summary'!$B44)*('03. AvgSummary'!$28:$28='04. Summary'!$C44)*('03. AvgSummary'!$29:$29='04. Summary'!H$1)),0)</f>
        <v>2.7159813129018024E-4</v>
      </c>
      <c r="I44" s="30" cm="1">
        <f t="array" ref="I44">IFERROR(_xlfn._xlws.FILTER('03. AvgSummary'!$26:$26,('03. AvgSummary'!$27:$27='04. Summary'!$B44)*('03. AvgSummary'!$28:$28='04. Summary'!$C44)*('03. AvgSummary'!$29:$29='04. Summary'!I$1)),0)</f>
        <v>6.6852237044921617E-2</v>
      </c>
      <c r="J44" s="30" cm="1">
        <f t="array" ref="J44">IFERROR(_xlfn._xlws.FILTER('03. AvgSummary'!$31:$31,('03. AvgSummary'!$30:$30='04. Summary'!J$1)*('03. AvgSummary'!$28:$28='04. Summary'!$C44)*('03. AvgSummary'!$27:$27='04. Summary'!$B44)),0)</f>
        <v>3.6477118096634724E-2</v>
      </c>
      <c r="K44" s="30" cm="1">
        <f t="array" ref="K44">IFERROR(_xlfn._xlws.FILTER('03. AvgSummary'!$31:$31,('03. AvgSummary'!$30:$30='04. Summary'!K$1)*('03. AvgSummary'!$28:$28='04. Summary'!$C44)*('03. AvgSummary'!$27:$27='04. Summary'!$B44)),0)</f>
        <v>0.13826086829635212</v>
      </c>
      <c r="L44" s="30" cm="1">
        <f t="array" ref="L44">IFERROR(_xlfn._xlws.FILTER('03. AvgSummary'!$31:$31,('03. AvgSummary'!$30:$30='04. Summary'!L$1)*('03. AvgSummary'!$28:$28='04. Summary'!$C44)*('03. AvgSummary'!$27:$27='04. Summary'!$B44)),0)</f>
        <v>8.2358504235901769E-2</v>
      </c>
      <c r="M44" s="30" cm="1">
        <f t="array" ref="M44">IFERROR(_xlfn._xlws.FILTER('03. AvgSummary'!$31:$31,('03. AvgSummary'!$30:$30='04. Summary'!M$1)*('03. AvgSummary'!$28:$28='04. Summary'!$C44)*('03. AvgSummary'!$27:$27='04. Summary'!$B44)),0)</f>
        <v>8.2274959810250875E-2</v>
      </c>
      <c r="N44" s="30" cm="1">
        <f t="array" ref="N44">IFERROR(_xlfn._xlws.FILTER('03. AvgSummary'!$31:$31,('03. AvgSummary'!$30:$30='04. Summary'!N$1)*('03. AvgSummary'!$28:$28='04. Summary'!$C44)*('03. AvgSummary'!$27:$27='04. Summary'!$B44)),0)</f>
        <v>1.6926832705674869E-2</v>
      </c>
      <c r="O44" s="30" cm="1">
        <f t="array" ref="O44">IFERROR(_xlfn._xlws.FILTER('03. AvgSummary'!$31:$31,('03. AvgSummary'!$30:$30='04. Summary'!O$1)*('03. AvgSummary'!$28:$28='04. Summary'!$C44)*('03. AvgSummary'!$27:$27='04. Summary'!$B44)),0)</f>
        <v>0.11166737616963696</v>
      </c>
      <c r="P44" s="30" cm="1">
        <f t="array" ref="P44">IFERROR(_xlfn._xlws.FILTER('03. AvgSummary'!$31:$31,('03. AvgSummary'!$30:$30='04. Summary'!P$1)*('03. AvgSummary'!$28:$28='04. Summary'!$C44)*('03. AvgSummary'!$27:$27='04. Summary'!$B44)),0)</f>
        <v>0</v>
      </c>
    </row>
    <row r="45" spans="1:16" x14ac:dyDescent="0.45">
      <c r="A45" s="6">
        <f t="shared" si="0"/>
        <v>44</v>
      </c>
      <c r="B45" t="str">
        <v>ProductType: RESI REAL EST LOAN</v>
      </c>
      <c r="C45" t="str">
        <v>Stage: 2</v>
      </c>
      <c r="D45" s="30" cm="1">
        <f t="array" ref="D45">IFERROR(_xlfn._xlws.FILTER('03. AvgSummary'!$26:$26,('03. AvgSummary'!$27:$27='04. Summary'!$B45)*('03. AvgSummary'!$28:$28='04. Summary'!$C45)*('03. AvgSummary'!$29:$29='04. Summary'!D$1)),0)</f>
        <v>15.474784414706573</v>
      </c>
      <c r="E45" s="30" cm="1">
        <f t="array" ref="E45">IFERROR(_xlfn._xlws.FILTER('03. AvgSummary'!$26:$26,('03. AvgSummary'!$27:$27='04. Summary'!$B45)*('03. AvgSummary'!$28:$28='04. Summary'!$C45)*('03. AvgSummary'!$29:$29='04. Summary'!E$1)),0)</f>
        <v>-7.0886382009266118</v>
      </c>
      <c r="F45" s="30" cm="1">
        <f t="array" ref="F45">IFERROR(_xlfn._xlws.FILTER('03. AvgSummary'!$26:$26,('03. AvgSummary'!$27:$27='04. Summary'!$B45)*('03. AvgSummary'!$28:$28='04. Summary'!$C45)*('03. AvgSummary'!$29:$29='04. Summary'!F$1)),0)</f>
        <v>11.406533211754473</v>
      </c>
      <c r="G45" s="30" cm="1">
        <f t="array" ref="G45">IFERROR(_xlfn._xlws.FILTER('03. AvgSummary'!$26:$26,('03. AvgSummary'!$27:$27='04. Summary'!$B45)*('03. AvgSummary'!$28:$28='04. Summary'!$C45)*('03. AvgSummary'!$29:$29='04. Summary'!G$1)),0)</f>
        <v>-18.796851764280831</v>
      </c>
      <c r="H45" s="30" cm="1">
        <f t="array" ref="H45">IFERROR(_xlfn._xlws.FILTER('03. AvgSummary'!$26:$26,('03. AvgSummary'!$27:$27='04. Summary'!$B45)*('03. AvgSummary'!$28:$28='04. Summary'!$C45)*('03. AvgSummary'!$29:$29='04. Summary'!H$1)),0)</f>
        <v>4.1723387463943398E-3</v>
      </c>
      <c r="I45" s="30" cm="1">
        <f t="array" ref="I45">IFERROR(_xlfn._xlws.FILTER('03. AvgSummary'!$26:$26,('03. AvgSummary'!$27:$27='04. Summary'!$B45)*('03. AvgSummary'!$28:$28='04. Summary'!$C45)*('03. AvgSummary'!$29:$29='04. Summary'!I$1)),0)</f>
        <v>0.21131520123183531</v>
      </c>
      <c r="J45" s="30" cm="1">
        <f t="array" ref="J45">IFERROR(_xlfn._xlws.FILTER('03. AvgSummary'!$31:$31,('03. AvgSummary'!$30:$30='04. Summary'!J$1)*('03. AvgSummary'!$28:$28='04. Summary'!$C45)*('03. AvgSummary'!$27:$27='04. Summary'!$B45)),0)</f>
        <v>0.32119980488436273</v>
      </c>
      <c r="K45" s="30" cm="1">
        <f t="array" ref="K45">IFERROR(_xlfn._xlws.FILTER('03. AvgSummary'!$31:$31,('03. AvgSummary'!$30:$30='04. Summary'!K$1)*('03. AvgSummary'!$28:$28='04. Summary'!$C45)*('03. AvgSummary'!$27:$27='04. Summary'!$B45)),0)</f>
        <v>0.508726363165101</v>
      </c>
      <c r="L45" s="30" cm="1">
        <f t="array" ref="L45">IFERROR(_xlfn._xlws.FILTER('03. AvgSummary'!$31:$31,('03. AvgSummary'!$30:$30='04. Summary'!L$1)*('03. AvgSummary'!$28:$28='04. Summary'!$C45)*('03. AvgSummary'!$27:$27='04. Summary'!$B45)),0)</f>
        <v>5.2189690635747417E-2</v>
      </c>
      <c r="M45" s="30" cm="1">
        <f t="array" ref="M45">IFERROR(_xlfn._xlws.FILTER('03. AvgSummary'!$31:$31,('03. AvgSummary'!$30:$30='04. Summary'!M$1)*('03. AvgSummary'!$28:$28='04. Summary'!$C45)*('03. AvgSummary'!$27:$27='04. Summary'!$B45)),0)</f>
        <v>0.13202482000137494</v>
      </c>
      <c r="N45" s="30" cm="1">
        <f t="array" ref="N45">IFERROR(_xlfn._xlws.FILTER('03. AvgSummary'!$31:$31,('03. AvgSummary'!$30:$30='04. Summary'!N$1)*('03. AvgSummary'!$28:$28='04. Summary'!$C45)*('03. AvgSummary'!$27:$27='04. Summary'!$B45)),0)</f>
        <v>9.6535853797813237E-2</v>
      </c>
      <c r="O45" s="30" cm="1">
        <f t="array" ref="O45">IFERROR(_xlfn._xlws.FILTER('03. AvgSummary'!$31:$31,('03. AvgSummary'!$30:$30='04. Summary'!O$1)*('03. AvgSummary'!$28:$28='04. Summary'!$C45)*('03. AvgSummary'!$27:$27='04. Summary'!$B45)),0)</f>
        <v>0.36852987613844795</v>
      </c>
      <c r="P45" s="30" cm="1">
        <f t="array" ref="P45">IFERROR(_xlfn._xlws.FILTER('03. AvgSummary'!$31:$31,('03. AvgSummary'!$30:$30='04. Summary'!P$1)*('03. AvgSummary'!$28:$28='04. Summary'!$C45)*('03. AvgSummary'!$27:$27='04. Summary'!$B45)),0)</f>
        <v>0</v>
      </c>
    </row>
    <row r="46" spans="1:16" x14ac:dyDescent="0.45">
      <c r="A46" s="6">
        <f t="shared" si="0"/>
        <v>45</v>
      </c>
      <c r="B46" t="str">
        <v>ProductType: SME LOAN</v>
      </c>
      <c r="C46" t="str">
        <v>Stage: 1</v>
      </c>
      <c r="D46" s="30" cm="1">
        <f t="array" ref="D46">IFERROR(_xlfn._xlws.FILTER('03. AvgSummary'!$26:$26,('03. AvgSummary'!$27:$27='04. Summary'!$B46)*('03. AvgSummary'!$28:$28='04. Summary'!$C46)*('03. AvgSummary'!$29:$29='04. Summary'!D$1)),0)</f>
        <v>-5.75410262531003E-2</v>
      </c>
      <c r="E46" s="30" cm="1">
        <f t="array" ref="E46">IFERROR(_xlfn._xlws.FILTER('03. AvgSummary'!$26:$26,('03. AvgSummary'!$27:$27='04. Summary'!$B46)*('03. AvgSummary'!$28:$28='04. Summary'!$C46)*('03. AvgSummary'!$29:$29='04. Summary'!E$1)),0)</f>
        <v>-0.10417798616766882</v>
      </c>
      <c r="F46" s="30" cm="1">
        <f t="array" ref="F46">IFERROR(_xlfn._xlws.FILTER('03. AvgSummary'!$26:$26,('03. AvgSummary'!$27:$27='04. Summary'!$B46)*('03. AvgSummary'!$28:$28='04. Summary'!$C46)*('03. AvgSummary'!$29:$29='04. Summary'!F$1)),0)</f>
        <v>0.58670421698966613</v>
      </c>
      <c r="G46" s="30" cm="1">
        <f t="array" ref="G46">IFERROR(_xlfn._xlws.FILTER('03. AvgSummary'!$26:$26,('03. AvgSummary'!$27:$27='04. Summary'!$B46)*('03. AvgSummary'!$28:$28='04. Summary'!$C46)*('03. AvgSummary'!$29:$29='04. Summary'!G$1)),0)</f>
        <v>0.57483533804870723</v>
      </c>
      <c r="H46" s="30" cm="1">
        <f t="array" ref="H46">IFERROR(_xlfn._xlws.FILTER('03. AvgSummary'!$26:$26,('03. AvgSummary'!$27:$27='04. Summary'!$B46)*('03. AvgSummary'!$28:$28='04. Summary'!$C46)*('03. AvgSummary'!$29:$29='04. Summary'!H$1)),0)</f>
        <v>1.794573823957069E-4</v>
      </c>
      <c r="I46" s="30" cm="1">
        <f t="array" ref="I46">IFERROR(_xlfn._xlws.FILTER('03. AvgSummary'!$26:$26,('03. AvgSummary'!$27:$27='04. Summary'!$B46)*('03. AvgSummary'!$28:$28='04. Summary'!$C46)*('03. AvgSummary'!$29:$29='04. Summary'!I$1)),0)</f>
        <v>6.720174014664447E-2</v>
      </c>
      <c r="J46" s="30" cm="1">
        <f t="array" ref="J46">IFERROR(_xlfn._xlws.FILTER('03. AvgSummary'!$31:$31,('03. AvgSummary'!$30:$30='04. Summary'!J$1)*('03. AvgSummary'!$28:$28='04. Summary'!$C46)*('03. AvgSummary'!$27:$27='04. Summary'!$B46)),0)</f>
        <v>0</v>
      </c>
      <c r="K46" s="30" cm="1">
        <f t="array" ref="K46">IFERROR(_xlfn._xlws.FILTER('03. AvgSummary'!$31:$31,('03. AvgSummary'!$30:$30='04. Summary'!K$1)*('03. AvgSummary'!$28:$28='04. Summary'!$C46)*('03. AvgSummary'!$27:$27='04. Summary'!$B46)),0)</f>
        <v>0.22041218102651125</v>
      </c>
      <c r="L46" s="30" cm="1">
        <f t="array" ref="L46">IFERROR(_xlfn._xlws.FILTER('03. AvgSummary'!$31:$31,('03. AvgSummary'!$30:$30='04. Summary'!L$1)*('03. AvgSummary'!$28:$28='04. Summary'!$C46)*('03. AvgSummary'!$27:$27='04. Summary'!$B46)),0)</f>
        <v>0</v>
      </c>
      <c r="M46" s="30" cm="1">
        <f t="array" ref="M46">IFERROR(_xlfn._xlws.FILTER('03. AvgSummary'!$31:$31,('03. AvgSummary'!$30:$30='04. Summary'!M$1)*('03. AvgSummary'!$28:$28='04. Summary'!$C46)*('03. AvgSummary'!$27:$27='04. Summary'!$B46)),0)</f>
        <v>0</v>
      </c>
      <c r="N46" s="30" cm="1">
        <f t="array" ref="N46">IFERROR(_xlfn._xlws.FILTER('03. AvgSummary'!$31:$31,('03. AvgSummary'!$30:$30='04. Summary'!N$1)*('03. AvgSummary'!$28:$28='04. Summary'!$C46)*('03. AvgSummary'!$27:$27='04. Summary'!$B46)),0)</f>
        <v>0.25</v>
      </c>
      <c r="O46" s="30" cm="1">
        <f t="array" ref="O46">IFERROR(_xlfn._xlws.FILTER('03. AvgSummary'!$31:$31,('03. AvgSummary'!$30:$30='04. Summary'!O$1)*('03. AvgSummary'!$28:$28='04. Summary'!$C46)*('03. AvgSummary'!$27:$27='04. Summary'!$B46)),0)</f>
        <v>0</v>
      </c>
      <c r="P46" s="30" cm="1">
        <f t="array" ref="P46">IFERROR(_xlfn._xlws.FILTER('03. AvgSummary'!$31:$31,('03. AvgSummary'!$30:$30='04. Summary'!P$1)*('03. AvgSummary'!$28:$28='04. Summary'!$C46)*('03. AvgSummary'!$27:$27='04. Summary'!$B46)),0)</f>
        <v>0</v>
      </c>
    </row>
    <row r="47" spans="1:16" x14ac:dyDescent="0.45">
      <c r="A47" s="6">
        <f t="shared" si="0"/>
        <v>46</v>
      </c>
      <c r="B47" t="str">
        <v>ProductType: SME LOAN</v>
      </c>
      <c r="C47" t="str">
        <v>Stage: 2</v>
      </c>
      <c r="D47" s="30" cm="1">
        <f t="array" ref="D47">IFERROR(_xlfn._xlws.FILTER('03. AvgSummary'!$26:$26,('03. AvgSummary'!$27:$27='04. Summary'!$B47)*('03. AvgSummary'!$28:$28='04. Summary'!$C47)*('03. AvgSummary'!$29:$29='04. Summary'!D$1)),0)</f>
        <v>0</v>
      </c>
      <c r="E47" s="30" cm="1">
        <f t="array" ref="E47">IFERROR(_xlfn._xlws.FILTER('03. AvgSummary'!$26:$26,('03. AvgSummary'!$27:$27='04. Summary'!$B47)*('03. AvgSummary'!$28:$28='04. Summary'!$C47)*('03. AvgSummary'!$29:$29='04. Summary'!E$1)),0)</f>
        <v>0</v>
      </c>
      <c r="F47" s="30" cm="1">
        <f t="array" ref="F47">IFERROR(_xlfn._xlws.FILTER('03. AvgSummary'!$26:$26,('03. AvgSummary'!$27:$27='04. Summary'!$B47)*('03. AvgSummary'!$28:$28='04. Summary'!$C47)*('03. AvgSummary'!$29:$29='04. Summary'!F$1)),0)</f>
        <v>0</v>
      </c>
      <c r="G47" s="30" cm="1">
        <f t="array" ref="G47">IFERROR(_xlfn._xlws.FILTER('03. AvgSummary'!$26:$26,('03. AvgSummary'!$27:$27='04. Summary'!$B47)*('03. AvgSummary'!$28:$28='04. Summary'!$C47)*('03. AvgSummary'!$29:$29='04. Summary'!G$1)),0)</f>
        <v>0</v>
      </c>
      <c r="H47" s="30" cm="1">
        <f t="array" ref="H47">IFERROR(_xlfn._xlws.FILTER('03. AvgSummary'!$26:$26,('03. AvgSummary'!$27:$27='04. Summary'!$B47)*('03. AvgSummary'!$28:$28='04. Summary'!$C47)*('03. AvgSummary'!$29:$29='04. Summary'!H$1)),0)</f>
        <v>0</v>
      </c>
      <c r="I47" s="30" cm="1">
        <f t="array" ref="I47">IFERROR(_xlfn._xlws.FILTER('03. AvgSummary'!$26:$26,('03. AvgSummary'!$27:$27='04. Summary'!$B47)*('03. AvgSummary'!$28:$28='04. Summary'!$C47)*('03. AvgSummary'!$29:$29='04. Summary'!I$1)),0)</f>
        <v>0</v>
      </c>
      <c r="J47" s="30" cm="1">
        <f t="array" ref="J47">IFERROR(_xlfn._xlws.FILTER('03. AvgSummary'!$31:$31,('03. AvgSummary'!$30:$30='04. Summary'!J$1)*('03. AvgSummary'!$28:$28='04. Summary'!$C47)*('03. AvgSummary'!$27:$27='04. Summary'!$B47)),0)</f>
        <v>0</v>
      </c>
      <c r="K47" s="30" cm="1">
        <f t="array" ref="K47">IFERROR(_xlfn._xlws.FILTER('03. AvgSummary'!$31:$31,('03. AvgSummary'!$30:$30='04. Summary'!K$1)*('03. AvgSummary'!$28:$28='04. Summary'!$C47)*('03. AvgSummary'!$27:$27='04. Summary'!$B47)),0)</f>
        <v>0</v>
      </c>
      <c r="L47" s="30" cm="1">
        <f t="array" ref="L47">IFERROR(_xlfn._xlws.FILTER('03. AvgSummary'!$31:$31,('03. AvgSummary'!$30:$30='04. Summary'!L$1)*('03. AvgSummary'!$28:$28='04. Summary'!$C47)*('03. AvgSummary'!$27:$27='04. Summary'!$B47)),0)</f>
        <v>0</v>
      </c>
      <c r="M47" s="30" cm="1">
        <f t="array" ref="M47">IFERROR(_xlfn._xlws.FILTER('03. AvgSummary'!$31:$31,('03. AvgSummary'!$30:$30='04. Summary'!M$1)*('03. AvgSummary'!$28:$28='04. Summary'!$C47)*('03. AvgSummary'!$27:$27='04. Summary'!$B47)),0)</f>
        <v>0</v>
      </c>
      <c r="N47" s="30" cm="1">
        <f t="array" ref="N47">IFERROR(_xlfn._xlws.FILTER('03. AvgSummary'!$31:$31,('03. AvgSummary'!$30:$30='04. Summary'!N$1)*('03. AvgSummary'!$28:$28='04. Summary'!$C47)*('03. AvgSummary'!$27:$27='04. Summary'!$B47)),0)</f>
        <v>0</v>
      </c>
      <c r="O47" s="30" cm="1">
        <f t="array" ref="O47">IFERROR(_xlfn._xlws.FILTER('03. AvgSummary'!$31:$31,('03. AvgSummary'!$30:$30='04. Summary'!O$1)*('03. AvgSummary'!$28:$28='04. Summary'!$C47)*('03. AvgSummary'!$27:$27='04. Summary'!$B47)),0)</f>
        <v>0</v>
      </c>
      <c r="P47" s="30" cm="1">
        <f t="array" ref="P47">IFERROR(_xlfn._xlws.FILTER('03. AvgSummary'!$31:$31,('03. AvgSummary'!$30:$30='04. Summary'!P$1)*('03. AvgSummary'!$28:$28='04. Summary'!$C47)*('03. AvgSummary'!$27:$27='04. Summary'!$B47)),0)</f>
        <v>0</v>
      </c>
    </row>
    <row r="48" spans="1:16" x14ac:dyDescent="0.45">
      <c r="A48" s="6">
        <f t="shared" si="0"/>
        <v>47</v>
      </c>
      <c r="B48" t="str">
        <v>ProductType: STAFF LOAN</v>
      </c>
      <c r="C48" t="str">
        <v>Stage: 1</v>
      </c>
      <c r="D48" s="30" cm="1">
        <f t="array" ref="D48">IFERROR(_xlfn._xlws.FILTER('03. AvgSummary'!$26:$26,('03. AvgSummary'!$27:$27='04. Summary'!$B48)*('03. AvgSummary'!$28:$28='04. Summary'!$C48)*('03. AvgSummary'!$29:$29='04. Summary'!D$1)),0)</f>
        <v>-8.3420757457583122E-2</v>
      </c>
      <c r="E48" s="30" cm="1">
        <f t="array" ref="E48">IFERROR(_xlfn._xlws.FILTER('03. AvgSummary'!$26:$26,('03. AvgSummary'!$27:$27='04. Summary'!$B48)*('03. AvgSummary'!$28:$28='04. Summary'!$C48)*('03. AvgSummary'!$29:$29='04. Summary'!E$1)),0)</f>
        <v>0.4464357717942492</v>
      </c>
      <c r="F48" s="30" cm="1">
        <f t="array" ref="F48">IFERROR(_xlfn._xlws.FILTER('03. AvgSummary'!$26:$26,('03. AvgSummary'!$27:$27='04. Summary'!$B48)*('03. AvgSummary'!$28:$28='04. Summary'!$C48)*('03. AvgSummary'!$29:$29='04. Summary'!F$1)),0)</f>
        <v>1.0446833550008792</v>
      </c>
      <c r="G48" s="30" cm="1">
        <f t="array" ref="G48">IFERROR(_xlfn._xlws.FILTER('03. AvgSummary'!$26:$26,('03. AvgSummary'!$27:$27='04. Summary'!$B48)*('03. AvgSummary'!$28:$28='04. Summary'!$C48)*('03. AvgSummary'!$29:$29='04. Summary'!G$1)),0)</f>
        <v>-0.40598896545416563</v>
      </c>
      <c r="H48" s="30" cm="1">
        <f t="array" ref="H48">IFERROR(_xlfn._xlws.FILTER('03. AvgSummary'!$26:$26,('03. AvgSummary'!$27:$27='04. Summary'!$B48)*('03. AvgSummary'!$28:$28='04. Summary'!$C48)*('03. AvgSummary'!$29:$29='04. Summary'!H$1)),0)</f>
        <v>-1.7094038833796873E-3</v>
      </c>
      <c r="I48" s="30" cm="1">
        <f t="array" ref="I48">IFERROR(_xlfn._xlws.FILTER('03. AvgSummary'!$26:$26,('03. AvgSummary'!$27:$27='04. Summary'!$B48)*('03. AvgSummary'!$28:$28='04. Summary'!$C48)*('03. AvgSummary'!$29:$29='04. Summary'!I$1)),0)</f>
        <v>7.0504431791595422E-3</v>
      </c>
      <c r="J48" s="30" cm="1">
        <f t="array" ref="J48">IFERROR(_xlfn._xlws.FILTER('03. AvgSummary'!$31:$31,('03. AvgSummary'!$30:$30='04. Summary'!J$1)*('03. AvgSummary'!$28:$28='04. Summary'!$C48)*('03. AvgSummary'!$27:$27='04. Summary'!$B48)),0)</f>
        <v>0</v>
      </c>
      <c r="K48" s="30" cm="1">
        <f t="array" ref="K48">IFERROR(_xlfn._xlws.FILTER('03. AvgSummary'!$31:$31,('03. AvgSummary'!$30:$30='04. Summary'!K$1)*('03. AvgSummary'!$28:$28='04. Summary'!$C48)*('03. AvgSummary'!$27:$27='04. Summary'!$B48)),0)</f>
        <v>3.8667701366168164E-2</v>
      </c>
      <c r="L48" s="30" cm="1">
        <f t="array" ref="L48">IFERROR(_xlfn._xlws.FILTER('03. AvgSummary'!$31:$31,('03. AvgSummary'!$30:$30='04. Summary'!L$1)*('03. AvgSummary'!$28:$28='04. Summary'!$C48)*('03. AvgSummary'!$27:$27='04. Summary'!$B48)),0)</f>
        <v>1.0685400887948632E-2</v>
      </c>
      <c r="M48" s="30" cm="1">
        <f t="array" ref="M48">IFERROR(_xlfn._xlws.FILTER('03. AvgSummary'!$31:$31,('03. AvgSummary'!$30:$30='04. Summary'!M$1)*('03. AvgSummary'!$28:$28='04. Summary'!$C48)*('03. AvgSummary'!$27:$27='04. Summary'!$B48)),0)</f>
        <v>0</v>
      </c>
      <c r="N48" s="30" cm="1">
        <f t="array" ref="N48">IFERROR(_xlfn._xlws.FILTER('03. AvgSummary'!$31:$31,('03. AvgSummary'!$30:$30='04. Summary'!N$1)*('03. AvgSummary'!$28:$28='04. Summary'!$C48)*('03. AvgSummary'!$27:$27='04. Summary'!$B48)),0)</f>
        <v>0</v>
      </c>
      <c r="O48" s="30" cm="1">
        <f t="array" ref="O48">IFERROR(_xlfn._xlws.FILTER('03. AvgSummary'!$31:$31,('03. AvgSummary'!$30:$30='04. Summary'!O$1)*('03. AvgSummary'!$28:$28='04. Summary'!$C48)*('03. AvgSummary'!$27:$27='04. Summary'!$B48)),0)</f>
        <v>0</v>
      </c>
      <c r="P48" s="30" cm="1">
        <f t="array" ref="P48">IFERROR(_xlfn._xlws.FILTER('03. AvgSummary'!$31:$31,('03. AvgSummary'!$30:$30='04. Summary'!P$1)*('03. AvgSummary'!$28:$28='04. Summary'!$C48)*('03. AvgSummary'!$27:$27='04. Summary'!$B48)),0)</f>
        <v>0</v>
      </c>
    </row>
    <row r="49" spans="1:16" x14ac:dyDescent="0.45">
      <c r="A49" s="6">
        <f t="shared" si="0"/>
        <v>48</v>
      </c>
      <c r="B49" t="str">
        <v>ProductType: STAFF LOAN</v>
      </c>
      <c r="C49" t="str">
        <v>Stage: 2</v>
      </c>
      <c r="D49" s="30" cm="1">
        <f t="array" ref="D49">IFERROR(_xlfn._xlws.FILTER('03. AvgSummary'!$26:$26,('03. AvgSummary'!$27:$27='04. Summary'!$B49)*('03. AvgSummary'!$28:$28='04. Summary'!$C49)*('03. AvgSummary'!$29:$29='04. Summary'!D$1)),0)</f>
        <v>-0.12619358206884168</v>
      </c>
      <c r="E49" s="30" cm="1">
        <f t="array" ref="E49">IFERROR(_xlfn._xlws.FILTER('03. AvgSummary'!$26:$26,('03. AvgSummary'!$27:$27='04. Summary'!$B49)*('03. AvgSummary'!$28:$28='04. Summary'!$C49)*('03. AvgSummary'!$29:$29='04. Summary'!E$1)),0)</f>
        <v>-0.22581250790656199</v>
      </c>
      <c r="F49" s="30" cm="1">
        <f t="array" ref="F49">IFERROR(_xlfn._xlws.FILTER('03. AvgSummary'!$26:$26,('03. AvgSummary'!$27:$27='04. Summary'!$B49)*('03. AvgSummary'!$28:$28='04. Summary'!$C49)*('03. AvgSummary'!$29:$29='04. Summary'!F$1)),0)</f>
        <v>0.63905399619403647</v>
      </c>
      <c r="G49" s="30" cm="1">
        <f t="array" ref="G49">IFERROR(_xlfn._xlws.FILTER('03. AvgSummary'!$26:$26,('03. AvgSummary'!$27:$27='04. Summary'!$B49)*('03. AvgSummary'!$28:$28='04. Summary'!$C49)*('03. AvgSummary'!$29:$29='04. Summary'!G$1)),0)</f>
        <v>0.71334047310251036</v>
      </c>
      <c r="H49" s="30" cm="1">
        <f t="array" ref="H49">IFERROR(_xlfn._xlws.FILTER('03. AvgSummary'!$26:$26,('03. AvgSummary'!$27:$27='04. Summary'!$B49)*('03. AvgSummary'!$28:$28='04. Summary'!$C49)*('03. AvgSummary'!$29:$29='04. Summary'!H$1)),0)</f>
        <v>-3.8837932114310056E-4</v>
      </c>
      <c r="I49" s="30" cm="1">
        <f t="array" ref="I49">IFERROR(_xlfn._xlws.FILTER('03. AvgSummary'!$26:$26,('03. AvgSummary'!$27:$27='04. Summary'!$B49)*('03. AvgSummary'!$28:$28='04. Summary'!$C49)*('03. AvgSummary'!$29:$29='04. Summary'!I$1)),0)</f>
        <v>8.7025964446251311E-2</v>
      </c>
      <c r="J49" s="30" cm="1">
        <f t="array" ref="J49">IFERROR(_xlfn._xlws.FILTER('03. AvgSummary'!$31:$31,('03. AvgSummary'!$30:$30='04. Summary'!J$1)*('03. AvgSummary'!$28:$28='04. Summary'!$C49)*('03. AvgSummary'!$27:$27='04. Summary'!$B49)),0)</f>
        <v>0.33333333333333331</v>
      </c>
      <c r="K49" s="30" cm="1">
        <f t="array" ref="K49">IFERROR(_xlfn._xlws.FILTER('03. AvgSummary'!$31:$31,('03. AvgSummary'!$30:$30='04. Summary'!K$1)*('03. AvgSummary'!$28:$28='04. Summary'!$C49)*('03. AvgSummary'!$27:$27='04. Summary'!$B49)),0)</f>
        <v>0.27584841779042579</v>
      </c>
      <c r="L49" s="30" cm="1">
        <f t="array" ref="L49">IFERROR(_xlfn._xlws.FILTER('03. AvgSummary'!$31:$31,('03. AvgSummary'!$30:$30='04. Summary'!L$1)*('03. AvgSummary'!$28:$28='04. Summary'!$C49)*('03. AvgSummary'!$27:$27='04. Summary'!$B49)),0)</f>
        <v>0</v>
      </c>
      <c r="M49" s="30" cm="1">
        <f t="array" ref="M49">IFERROR(_xlfn._xlws.FILTER('03. AvgSummary'!$31:$31,('03. AvgSummary'!$30:$30='04. Summary'!M$1)*('03. AvgSummary'!$28:$28='04. Summary'!$C49)*('03. AvgSummary'!$27:$27='04. Summary'!$B49)),0)</f>
        <v>0</v>
      </c>
      <c r="N49" s="30" cm="1">
        <f t="array" ref="N49">IFERROR(_xlfn._xlws.FILTER('03. AvgSummary'!$31:$31,('03. AvgSummary'!$30:$30='04. Summary'!N$1)*('03. AvgSummary'!$28:$28='04. Summary'!$C49)*('03. AvgSummary'!$27:$27='04. Summary'!$B49)),0)</f>
        <v>0</v>
      </c>
      <c r="O49" s="30" cm="1">
        <f t="array" ref="O49">IFERROR(_xlfn._xlws.FILTER('03. AvgSummary'!$31:$31,('03. AvgSummary'!$30:$30='04. Summary'!O$1)*('03. AvgSummary'!$28:$28='04. Summary'!$C49)*('03. AvgSummary'!$27:$27='04. Summary'!$B49)),0)</f>
        <v>0</v>
      </c>
      <c r="P49" s="30" cm="1">
        <f t="array" ref="P49">IFERROR(_xlfn._xlws.FILTER('03. AvgSummary'!$31:$31,('03. AvgSummary'!$30:$30='04. Summary'!P$1)*('03. AvgSummary'!$28:$28='04. Summary'!$C49)*('03. AvgSummary'!$27:$27='04. Summary'!$B49)),0)</f>
        <v>0</v>
      </c>
    </row>
    <row r="50" spans="1:16" x14ac:dyDescent="0.45">
      <c r="A50" s="6">
        <f t="shared" si="0"/>
        <v>49</v>
      </c>
      <c r="B50" t="str">
        <v>ProductType: TERM LOAN</v>
      </c>
      <c r="C50" t="str">
        <v>Stage: 1</v>
      </c>
      <c r="D50" s="30" cm="1">
        <f t="array" ref="D50">IFERROR(_xlfn._xlws.FILTER('03. AvgSummary'!$26:$26,('03. AvgSummary'!$27:$27='04. Summary'!$B50)*('03. AvgSummary'!$28:$28='04. Summary'!$C50)*('03. AvgSummary'!$29:$29='04. Summary'!D$1)),0)</f>
        <v>0.3602770495724637</v>
      </c>
      <c r="E50" s="30" cm="1">
        <f t="array" ref="E50">IFERROR(_xlfn._xlws.FILTER('03. AvgSummary'!$26:$26,('03. AvgSummary'!$27:$27='04. Summary'!$B50)*('03. AvgSummary'!$28:$28='04. Summary'!$C50)*('03. AvgSummary'!$29:$29='04. Summary'!E$1)),0)</f>
        <v>-5.6629057131216451E-2</v>
      </c>
      <c r="F50" s="30" cm="1">
        <f t="array" ref="F50">IFERROR(_xlfn._xlws.FILTER('03. AvgSummary'!$26:$26,('03. AvgSummary'!$27:$27='04. Summary'!$B50)*('03. AvgSummary'!$28:$28='04. Summary'!$C50)*('03. AvgSummary'!$29:$29='04. Summary'!F$1)),0)</f>
        <v>0.71247010990024973</v>
      </c>
      <c r="G50" s="30" cm="1">
        <f t="array" ref="G50">IFERROR(_xlfn._xlws.FILTER('03. AvgSummary'!$26:$26,('03. AvgSummary'!$27:$27='04. Summary'!$B50)*('03. AvgSummary'!$28:$28='04. Summary'!$C50)*('03. AvgSummary'!$29:$29='04. Summary'!G$1)),0)</f>
        <v>-1.7456277628164787E-2</v>
      </c>
      <c r="H50" s="30" cm="1">
        <f t="array" ref="H50">IFERROR(_xlfn._xlws.FILTER('03. AvgSummary'!$26:$26,('03. AvgSummary'!$27:$27='04. Summary'!$B50)*('03. AvgSummary'!$28:$28='04. Summary'!$C50)*('03. AvgSummary'!$29:$29='04. Summary'!H$1)),0)</f>
        <v>1.3381752866678416E-3</v>
      </c>
      <c r="I50" s="30" cm="1">
        <f t="array" ref="I50">IFERROR(_xlfn._xlws.FILTER('03. AvgSummary'!$26:$26,('03. AvgSummary'!$27:$27='04. Summary'!$B50)*('03. AvgSummary'!$28:$28='04. Summary'!$C50)*('03. AvgSummary'!$29:$29='04. Summary'!I$1)),0)</f>
        <v>0.10464890138511426</v>
      </c>
      <c r="J50" s="30" cm="1">
        <f t="array" ref="J50">IFERROR(_xlfn._xlws.FILTER('03. AvgSummary'!$31:$31,('03. AvgSummary'!$30:$30='04. Summary'!J$1)*('03. AvgSummary'!$28:$28='04. Summary'!$C50)*('03. AvgSummary'!$27:$27='04. Summary'!$B50)),0)</f>
        <v>3.9929230590671279E-2</v>
      </c>
      <c r="K50" s="30" cm="1">
        <f t="array" ref="K50">IFERROR(_xlfn._xlws.FILTER('03. AvgSummary'!$31:$31,('03. AvgSummary'!$30:$30='04. Summary'!K$1)*('03. AvgSummary'!$28:$28='04. Summary'!$C50)*('03. AvgSummary'!$27:$27='04. Summary'!$B50)),0)</f>
        <v>0.25351081501814926</v>
      </c>
      <c r="L50" s="30" cm="1">
        <f t="array" ref="L50">IFERROR(_xlfn._xlws.FILTER('03. AvgSummary'!$31:$31,('03. AvgSummary'!$30:$30='04. Summary'!L$1)*('03. AvgSummary'!$28:$28='04. Summary'!$C50)*('03. AvgSummary'!$27:$27='04. Summary'!$B50)),0)</f>
        <v>5.0799136619817886E-2</v>
      </c>
      <c r="M50" s="30" cm="1">
        <f t="array" ref="M50">IFERROR(_xlfn._xlws.FILTER('03. AvgSummary'!$31:$31,('03. AvgSummary'!$30:$30='04. Summary'!M$1)*('03. AvgSummary'!$28:$28='04. Summary'!$C50)*('03. AvgSummary'!$27:$27='04. Summary'!$B50)),0)</f>
        <v>5.8231388185033199E-2</v>
      </c>
      <c r="N50" s="30" cm="1">
        <f t="array" ref="N50">IFERROR(_xlfn._xlws.FILTER('03. AvgSummary'!$31:$31,('03. AvgSummary'!$30:$30='04. Summary'!N$1)*('03. AvgSummary'!$28:$28='04. Summary'!$C50)*('03. AvgSummary'!$27:$27='04. Summary'!$B50)),0)</f>
        <v>0.1069850493470057</v>
      </c>
      <c r="O50" s="30" cm="1">
        <f t="array" ref="O50">IFERROR(_xlfn._xlws.FILTER('03. AvgSummary'!$31:$31,('03. AvgSummary'!$30:$30='04. Summary'!O$1)*('03. AvgSummary'!$28:$28='04. Summary'!$C50)*('03. AvgSummary'!$27:$27='04. Summary'!$B50)),0)</f>
        <v>0.1533970434176482</v>
      </c>
      <c r="P50" s="30" cm="1">
        <f t="array" ref="P50">IFERROR(_xlfn._xlws.FILTER('03. AvgSummary'!$31:$31,('03. AvgSummary'!$30:$30='04. Summary'!P$1)*('03. AvgSummary'!$28:$28='04. Summary'!$C50)*('03. AvgSummary'!$27:$27='04. Summary'!$B50)),0)</f>
        <v>6.9689646517474182E-2</v>
      </c>
    </row>
    <row r="51" spans="1:16" x14ac:dyDescent="0.45">
      <c r="A51" s="6">
        <f t="shared" si="0"/>
        <v>50</v>
      </c>
      <c r="B51" t="str">
        <v>ProductType: TERM LOAN</v>
      </c>
      <c r="C51" t="str">
        <v>Stage: 2</v>
      </c>
      <c r="D51" s="30" cm="1">
        <f t="array" ref="D51">IFERROR(_xlfn._xlws.FILTER('03. AvgSummary'!$26:$26,('03. AvgSummary'!$27:$27='04. Summary'!$B51)*('03. AvgSummary'!$28:$28='04. Summary'!$C51)*('03. AvgSummary'!$29:$29='04. Summary'!D$1)),0)</f>
        <v>0.18741777955396607</v>
      </c>
      <c r="E51" s="30" cm="1">
        <f t="array" ref="E51">IFERROR(_xlfn._xlws.FILTER('03. AvgSummary'!$26:$26,('03. AvgSummary'!$27:$27='04. Summary'!$B51)*('03. AvgSummary'!$28:$28='04. Summary'!$C51)*('03. AvgSummary'!$29:$29='04. Summary'!E$1)),0)</f>
        <v>-0.18395138540100961</v>
      </c>
      <c r="F51" s="30" cm="1">
        <f t="array" ref="F51">IFERROR(_xlfn._xlws.FILTER('03. AvgSummary'!$26:$26,('03. AvgSummary'!$27:$27='04. Summary'!$B51)*('03. AvgSummary'!$28:$28='04. Summary'!$C51)*('03. AvgSummary'!$29:$29='04. Summary'!F$1)),0)</f>
        <v>0.61672702791252398</v>
      </c>
      <c r="G51" s="30" cm="1">
        <f t="array" ref="G51">IFERROR(_xlfn._xlws.FILTER('03. AvgSummary'!$26:$26,('03. AvgSummary'!$27:$27='04. Summary'!$B51)*('03. AvgSummary'!$28:$28='04. Summary'!$C51)*('03. AvgSummary'!$29:$29='04. Summary'!G$1)),0)</f>
        <v>0.37857999649632657</v>
      </c>
      <c r="H51" s="30" cm="1">
        <f t="array" ref="H51">IFERROR(_xlfn._xlws.FILTER('03. AvgSummary'!$26:$26,('03. AvgSummary'!$27:$27='04. Summary'!$B51)*('03. AvgSummary'!$28:$28='04. Summary'!$C51)*('03. AvgSummary'!$29:$29='04. Summary'!H$1)),0)</f>
        <v>1.2265814381929119E-3</v>
      </c>
      <c r="I51" s="30" cm="1">
        <f t="array" ref="I51">IFERROR(_xlfn._xlws.FILTER('03. AvgSummary'!$26:$26,('03. AvgSummary'!$27:$27='04. Summary'!$B51)*('03. AvgSummary'!$28:$28='04. Summary'!$C51)*('03. AvgSummary'!$29:$29='04. Summary'!I$1)),0)</f>
        <v>0.28572318008578751</v>
      </c>
      <c r="J51" s="30" cm="1">
        <f t="array" ref="J51">IFERROR(_xlfn._xlws.FILTER('03. AvgSummary'!$31:$31,('03. AvgSummary'!$30:$30='04. Summary'!J$1)*('03. AvgSummary'!$28:$28='04. Summary'!$C51)*('03. AvgSummary'!$27:$27='04. Summary'!$B51)),0)</f>
        <v>8.1199949528312873E-2</v>
      </c>
      <c r="K51" s="30" cm="1">
        <f t="array" ref="K51">IFERROR(_xlfn._xlws.FILTER('03. AvgSummary'!$31:$31,('03. AvgSummary'!$30:$30='04. Summary'!K$1)*('03. AvgSummary'!$28:$28='04. Summary'!$C51)*('03. AvgSummary'!$27:$27='04. Summary'!$B51)),0)</f>
        <v>0.39250571676141011</v>
      </c>
      <c r="L51" s="30" cm="1">
        <f t="array" ref="L51">IFERROR(_xlfn._xlws.FILTER('03. AvgSummary'!$31:$31,('03. AvgSummary'!$30:$30='04. Summary'!L$1)*('03. AvgSummary'!$28:$28='04. Summary'!$C51)*('03. AvgSummary'!$27:$27='04. Summary'!$B51)),0)</f>
        <v>0.16668660157765763</v>
      </c>
      <c r="M51" s="30" cm="1">
        <f t="array" ref="M51">IFERROR(_xlfn._xlws.FILTER('03. AvgSummary'!$31:$31,('03. AvgSummary'!$30:$30='04. Summary'!M$1)*('03. AvgSummary'!$28:$28='04. Summary'!$C51)*('03. AvgSummary'!$27:$27='04. Summary'!$B51)),0)</f>
        <v>0.16099600079371951</v>
      </c>
      <c r="N51" s="30" cm="1">
        <f t="array" ref="N51">IFERROR(_xlfn._xlws.FILTER('03. AvgSummary'!$31:$31,('03. AvgSummary'!$30:$30='04. Summary'!N$1)*('03. AvgSummary'!$28:$28='04. Summary'!$C51)*('03. AvgSummary'!$27:$27='04. Summary'!$B51)),0)</f>
        <v>0.38108994373566701</v>
      </c>
      <c r="O51" s="30" cm="1">
        <f t="array" ref="O51">IFERROR(_xlfn._xlws.FILTER('03. AvgSummary'!$31:$31,('03. AvgSummary'!$30:$30='04. Summary'!O$1)*('03. AvgSummary'!$28:$28='04. Summary'!$C51)*('03. AvgSummary'!$27:$27='04. Summary'!$B51)),0)</f>
        <v>0.51781932832052124</v>
      </c>
      <c r="P51" s="30" cm="1">
        <f t="array" ref="P51">IFERROR(_xlfn._xlws.FILTER('03. AvgSummary'!$31:$31,('03. AvgSummary'!$30:$30='04. Summary'!P$1)*('03. AvgSummary'!$28:$28='04. Summary'!$C51)*('03. AvgSummary'!$27:$27='04. Summary'!$B51)),0)</f>
        <v>0.29976471988322445</v>
      </c>
    </row>
    <row r="52" spans="1:16" x14ac:dyDescent="0.45">
      <c r="A52" s="6">
        <f t="shared" si="0"/>
        <v>51</v>
      </c>
      <c r="B52" t="str">
        <v>ProductType: TERM LOAN - BUSINESS</v>
      </c>
      <c r="C52" t="str">
        <v>Stage: 1</v>
      </c>
      <c r="D52" s="30" cm="1">
        <f t="array" ref="D52">IFERROR(_xlfn._xlws.FILTER('03. AvgSummary'!$26:$26,('03. AvgSummary'!$27:$27='04. Summary'!$B52)*('03. AvgSummary'!$28:$28='04. Summary'!$C52)*('03. AvgSummary'!$29:$29='04. Summary'!D$1)),0)</f>
        <v>3.5412041336813208E-2</v>
      </c>
      <c r="E52" s="30" cm="1">
        <f t="array" ref="E52">IFERROR(_xlfn._xlws.FILTER('03. AvgSummary'!$26:$26,('03. AvgSummary'!$27:$27='04. Summary'!$B52)*('03. AvgSummary'!$28:$28='04. Summary'!$C52)*('03. AvgSummary'!$29:$29='04. Summary'!E$1)),0)</f>
        <v>-0.19239501666219924</v>
      </c>
      <c r="F52" s="30" cm="1">
        <f t="array" ref="F52">IFERROR(_xlfn._xlws.FILTER('03. AvgSummary'!$26:$26,('03. AvgSummary'!$27:$27='04. Summary'!$B52)*('03. AvgSummary'!$28:$28='04. Summary'!$C52)*('03. AvgSummary'!$29:$29='04. Summary'!F$1)),0)</f>
        <v>0.58151712096206032</v>
      </c>
      <c r="G52" s="30" cm="1">
        <f t="array" ref="G52">IFERROR(_xlfn._xlws.FILTER('03. AvgSummary'!$26:$26,('03. AvgSummary'!$27:$27='04. Summary'!$B52)*('03. AvgSummary'!$28:$28='04. Summary'!$C52)*('03. AvgSummary'!$29:$29='04. Summary'!G$1)),0)</f>
        <v>0.5747620899480369</v>
      </c>
      <c r="H52" s="30" cm="1">
        <f t="array" ref="H52">IFERROR(_xlfn._xlws.FILTER('03. AvgSummary'!$26:$26,('03. AvgSummary'!$27:$27='04. Summary'!$B52)*('03. AvgSummary'!$28:$28='04. Summary'!$C52)*('03. AvgSummary'!$29:$29='04. Summary'!H$1)),0)</f>
        <v>7.0376441528867677E-4</v>
      </c>
      <c r="I52" s="30" cm="1">
        <f t="array" ref="I52">IFERROR(_xlfn._xlws.FILTER('03. AvgSummary'!$26:$26,('03. AvgSummary'!$27:$27='04. Summary'!$B52)*('03. AvgSummary'!$28:$28='04. Summary'!$C52)*('03. AvgSummary'!$29:$29='04. Summary'!I$1)),0)</f>
        <v>5.2441014189105899E-2</v>
      </c>
      <c r="J52" s="30" cm="1">
        <f t="array" ref="J52">IFERROR(_xlfn._xlws.FILTER('03. AvgSummary'!$31:$31,('03. AvgSummary'!$30:$30='04. Summary'!J$1)*('03. AvgSummary'!$28:$28='04. Summary'!$C52)*('03. AvgSummary'!$27:$27='04. Summary'!$B52)),0)</f>
        <v>0</v>
      </c>
      <c r="K52" s="30" cm="1">
        <f t="array" ref="K52">IFERROR(_xlfn._xlws.FILTER('03. AvgSummary'!$31:$31,('03. AvgSummary'!$30:$30='04. Summary'!K$1)*('03. AvgSummary'!$28:$28='04. Summary'!$C52)*('03. AvgSummary'!$27:$27='04. Summary'!$B52)),0)</f>
        <v>0</v>
      </c>
      <c r="L52" s="30" cm="1">
        <f t="array" ref="L52">IFERROR(_xlfn._xlws.FILTER('03. AvgSummary'!$31:$31,('03. AvgSummary'!$30:$30='04. Summary'!L$1)*('03. AvgSummary'!$28:$28='04. Summary'!$C52)*('03. AvgSummary'!$27:$27='04. Summary'!$B52)),0)</f>
        <v>0</v>
      </c>
      <c r="M52" s="30" cm="1">
        <f t="array" ref="M52">IFERROR(_xlfn._xlws.FILTER('03. AvgSummary'!$31:$31,('03. AvgSummary'!$30:$30='04. Summary'!M$1)*('03. AvgSummary'!$28:$28='04. Summary'!$C52)*('03. AvgSummary'!$27:$27='04. Summary'!$B52)),0)</f>
        <v>0</v>
      </c>
      <c r="N52" s="30" cm="1">
        <f t="array" ref="N52">IFERROR(_xlfn._xlws.FILTER('03. AvgSummary'!$31:$31,('03. AvgSummary'!$30:$30='04. Summary'!N$1)*('03. AvgSummary'!$28:$28='04. Summary'!$C52)*('03. AvgSummary'!$27:$27='04. Summary'!$B52)),0)</f>
        <v>0.14936838767012817</v>
      </c>
      <c r="O52" s="30" cm="1">
        <f t="array" ref="O52">IFERROR(_xlfn._xlws.FILTER('03. AvgSummary'!$31:$31,('03. AvgSummary'!$30:$30='04. Summary'!O$1)*('03. AvgSummary'!$28:$28='04. Summary'!$C52)*('03. AvgSummary'!$27:$27='04. Summary'!$B52)),0)</f>
        <v>0.13031120206362934</v>
      </c>
      <c r="P52" s="30" cm="1">
        <f t="array" ref="P52">IFERROR(_xlfn._xlws.FILTER('03. AvgSummary'!$31:$31,('03. AvgSummary'!$30:$30='04. Summary'!P$1)*('03. AvgSummary'!$28:$28='04. Summary'!$C52)*('03. AvgSummary'!$27:$27='04. Summary'!$B52)),0)</f>
        <v>8.7407509589983778E-2</v>
      </c>
    </row>
    <row r="53" spans="1:16" x14ac:dyDescent="0.45">
      <c r="A53" s="6">
        <f t="shared" si="0"/>
        <v>52</v>
      </c>
      <c r="B53" t="str">
        <v>ProductType: TERM LOAN - BUSINESS</v>
      </c>
      <c r="C53" t="str">
        <v>Stage: 2</v>
      </c>
      <c r="D53" s="30" cm="1">
        <f t="array" ref="D53">IFERROR(_xlfn._xlws.FILTER('03. AvgSummary'!$26:$26,('03. AvgSummary'!$27:$27='04. Summary'!$B53)*('03. AvgSummary'!$28:$28='04. Summary'!$C53)*('03. AvgSummary'!$29:$29='04. Summary'!D$1)),0)</f>
        <v>7.3223532113696047E-2</v>
      </c>
      <c r="E53" s="30" cm="1">
        <f t="array" ref="E53">IFERROR(_xlfn._xlws.FILTER('03. AvgSummary'!$26:$26,('03. AvgSummary'!$27:$27='04. Summary'!$B53)*('03. AvgSummary'!$28:$28='04. Summary'!$C53)*('03. AvgSummary'!$29:$29='04. Summary'!E$1)),0)</f>
        <v>-0.21287784695141612</v>
      </c>
      <c r="F53" s="30" cm="1">
        <f t="array" ref="F53">IFERROR(_xlfn._xlws.FILTER('03. AvgSummary'!$26:$26,('03. AvgSummary'!$27:$27='04. Summary'!$B53)*('03. AvgSummary'!$28:$28='04. Summary'!$C53)*('03. AvgSummary'!$29:$29='04. Summary'!F$1)),0)</f>
        <v>0.58509765613086784</v>
      </c>
      <c r="G53" s="30" cm="1">
        <f t="array" ref="G53">IFERROR(_xlfn._xlws.FILTER('03. AvgSummary'!$26:$26,('03. AvgSummary'!$27:$27='04. Summary'!$B53)*('03. AvgSummary'!$28:$28='04. Summary'!$C53)*('03. AvgSummary'!$29:$29='04. Summary'!G$1)),0)</f>
        <v>0.5536851472922435</v>
      </c>
      <c r="H53" s="30" cm="1">
        <f t="array" ref="H53">IFERROR(_xlfn._xlws.FILTER('03. AvgSummary'!$26:$26,('03. AvgSummary'!$27:$27='04. Summary'!$B53)*('03. AvgSummary'!$28:$28='04. Summary'!$C53)*('03. AvgSummary'!$29:$29='04. Summary'!H$1)),0)</f>
        <v>8.7151141460862635E-4</v>
      </c>
      <c r="I53" s="30" cm="1">
        <f t="array" ref="I53">IFERROR(_xlfn._xlws.FILTER('03. AvgSummary'!$26:$26,('03. AvgSummary'!$27:$27='04. Summary'!$B53)*('03. AvgSummary'!$28:$28='04. Summary'!$C53)*('03. AvgSummary'!$29:$29='04. Summary'!I$1)),0)</f>
        <v>0.18194361895879727</v>
      </c>
      <c r="J53" s="30" cm="1">
        <f t="array" ref="J53">IFERROR(_xlfn._xlws.FILTER('03. AvgSummary'!$31:$31,('03. AvgSummary'!$30:$30='04. Summary'!J$1)*('03. AvgSummary'!$28:$28='04. Summary'!$C53)*('03. AvgSummary'!$27:$27='04. Summary'!$B53)),0)</f>
        <v>0</v>
      </c>
      <c r="K53" s="30" cm="1">
        <f t="array" ref="K53">IFERROR(_xlfn._xlws.FILTER('03. AvgSummary'!$31:$31,('03. AvgSummary'!$30:$30='04. Summary'!K$1)*('03. AvgSummary'!$28:$28='04. Summary'!$C53)*('03. AvgSummary'!$27:$27='04. Summary'!$B53)),0)</f>
        <v>0</v>
      </c>
      <c r="L53" s="30" cm="1">
        <f t="array" ref="L53">IFERROR(_xlfn._xlws.FILTER('03. AvgSummary'!$31:$31,('03. AvgSummary'!$30:$30='04. Summary'!L$1)*('03. AvgSummary'!$28:$28='04. Summary'!$C53)*('03. AvgSummary'!$27:$27='04. Summary'!$B53)),0)</f>
        <v>0</v>
      </c>
      <c r="M53" s="30" cm="1">
        <f t="array" ref="M53">IFERROR(_xlfn._xlws.FILTER('03. AvgSummary'!$31:$31,('03. AvgSummary'!$30:$30='04. Summary'!M$1)*('03. AvgSummary'!$28:$28='04. Summary'!$C53)*('03. AvgSummary'!$27:$27='04. Summary'!$B53)),0)</f>
        <v>0</v>
      </c>
      <c r="N53" s="30" cm="1">
        <f t="array" ref="N53">IFERROR(_xlfn._xlws.FILTER('03. AvgSummary'!$31:$31,('03. AvgSummary'!$30:$30='04. Summary'!N$1)*('03. AvgSummary'!$28:$28='04. Summary'!$C53)*('03. AvgSummary'!$27:$27='04. Summary'!$B53)),0)</f>
        <v>0.42847838969457391</v>
      </c>
      <c r="O53" s="30" cm="1">
        <f t="array" ref="O53">IFERROR(_xlfn._xlws.FILTER('03. AvgSummary'!$31:$31,('03. AvgSummary'!$30:$30='04. Summary'!O$1)*('03. AvgSummary'!$28:$28='04. Summary'!$C53)*('03. AvgSummary'!$27:$27='04. Summary'!$B53)),0)</f>
        <v>0.50557365834271784</v>
      </c>
      <c r="P53" s="30" cm="1">
        <f t="array" ref="P53">IFERROR(_xlfn._xlws.FILTER('03. AvgSummary'!$31:$31,('03. AvgSummary'!$30:$30='04. Summary'!P$1)*('03. AvgSummary'!$28:$28='04. Summary'!$C53)*('03. AvgSummary'!$27:$27='04. Summary'!$B53)),0)</f>
        <v>0.33955328467428902</v>
      </c>
    </row>
    <row r="54" spans="1:16" x14ac:dyDescent="0.45">
      <c r="A54" s="6">
        <f t="shared" si="0"/>
        <v>53</v>
      </c>
      <c r="B54" t="str">
        <v>ProductType: TOURISM SECTOR LOAN</v>
      </c>
      <c r="C54" t="str">
        <v>Stage: 1</v>
      </c>
      <c r="D54" s="30" cm="1">
        <f t="array" ref="D54">IFERROR(_xlfn._xlws.FILTER('03. AvgSummary'!$26:$26,('03. AvgSummary'!$27:$27='04. Summary'!$B54)*('03. AvgSummary'!$28:$28='04. Summary'!$C54)*('03. AvgSummary'!$29:$29='04. Summary'!D$1)),0)</f>
        <v>-0.35583823319143632</v>
      </c>
      <c r="E54" s="30" cm="1">
        <f t="array" ref="E54">IFERROR(_xlfn._xlws.FILTER('03. AvgSummary'!$26:$26,('03. AvgSummary'!$27:$27='04. Summary'!$B54)*('03. AvgSummary'!$28:$28='04. Summary'!$C54)*('03. AvgSummary'!$29:$29='04. Summary'!E$1)),0)</f>
        <v>-0.16576106659536938</v>
      </c>
      <c r="F54" s="30" cm="1">
        <f t="array" ref="F54">IFERROR(_xlfn._xlws.FILTER('03. AvgSummary'!$26:$26,('03. AvgSummary'!$27:$27='04. Summary'!$B54)*('03. AvgSummary'!$28:$28='04. Summary'!$C54)*('03. AvgSummary'!$29:$29='04. Summary'!F$1)),0)</f>
        <v>0.67416003114184719</v>
      </c>
      <c r="G54" s="30" cm="1">
        <f t="array" ref="G54">IFERROR(_xlfn._xlws.FILTER('03. AvgSummary'!$26:$26,('03. AvgSummary'!$27:$27='04. Summary'!$B54)*('03. AvgSummary'!$28:$28='04. Summary'!$C54)*('03. AvgSummary'!$29:$29='04. Summary'!G$1)),0)</f>
        <v>0.84806367582316278</v>
      </c>
      <c r="H54" s="30" cm="1">
        <f t="array" ref="H54">IFERROR(_xlfn._xlws.FILTER('03. AvgSummary'!$26:$26,('03. AvgSummary'!$27:$27='04. Summary'!$B54)*('03. AvgSummary'!$28:$28='04. Summary'!$C54)*('03. AvgSummary'!$29:$29='04. Summary'!H$1)),0)</f>
        <v>-6.2440717820447407E-4</v>
      </c>
      <c r="I54" s="30" cm="1">
        <f t="array" ref="I54">IFERROR(_xlfn._xlws.FILTER('03. AvgSummary'!$26:$26,('03. AvgSummary'!$27:$27='04. Summary'!$B54)*('03. AvgSummary'!$28:$28='04. Summary'!$C54)*('03. AvgSummary'!$29:$29='04. Summary'!I$1)),0)</f>
        <v>7.1652910052910049E-4</v>
      </c>
      <c r="J54" s="30" cm="1">
        <f t="array" ref="J54">IFERROR(_xlfn._xlws.FILTER('03. AvgSummary'!$31:$31,('03. AvgSummary'!$30:$30='04. Summary'!J$1)*('03. AvgSummary'!$28:$28='04. Summary'!$C54)*('03. AvgSummary'!$27:$27='04. Summary'!$B54)),0)</f>
        <v>0</v>
      </c>
      <c r="K54" s="30" cm="1">
        <f t="array" ref="K54">IFERROR(_xlfn._xlws.FILTER('03. AvgSummary'!$31:$31,('03. AvgSummary'!$30:$30='04. Summary'!K$1)*('03. AvgSummary'!$28:$28='04. Summary'!$C54)*('03. AvgSummary'!$27:$27='04. Summary'!$B54)),0)</f>
        <v>0</v>
      </c>
      <c r="L54" s="30" cm="1">
        <f t="array" ref="L54">IFERROR(_xlfn._xlws.FILTER('03. AvgSummary'!$31:$31,('03. AvgSummary'!$30:$30='04. Summary'!L$1)*('03. AvgSummary'!$28:$28='04. Summary'!$C54)*('03. AvgSummary'!$27:$27='04. Summary'!$B54)),0)</f>
        <v>5.0157037037037036E-3</v>
      </c>
      <c r="M54" s="30" cm="1">
        <f t="array" ref="M54">IFERROR(_xlfn._xlws.FILTER('03. AvgSummary'!$31:$31,('03. AvgSummary'!$30:$30='04. Summary'!M$1)*('03. AvgSummary'!$28:$28='04. Summary'!$C54)*('03. AvgSummary'!$27:$27='04. Summary'!$B54)),0)</f>
        <v>0</v>
      </c>
      <c r="N54" s="30" cm="1">
        <f t="array" ref="N54">IFERROR(_xlfn._xlws.FILTER('03. AvgSummary'!$31:$31,('03. AvgSummary'!$30:$30='04. Summary'!N$1)*('03. AvgSummary'!$28:$28='04. Summary'!$C54)*('03. AvgSummary'!$27:$27='04. Summary'!$B54)),0)</f>
        <v>0</v>
      </c>
      <c r="O54" s="30" cm="1">
        <f t="array" ref="O54">IFERROR(_xlfn._xlws.FILTER('03. AvgSummary'!$31:$31,('03. AvgSummary'!$30:$30='04. Summary'!O$1)*('03. AvgSummary'!$28:$28='04. Summary'!$C54)*('03. AvgSummary'!$27:$27='04. Summary'!$B54)),0)</f>
        <v>0</v>
      </c>
      <c r="P54" s="30" cm="1">
        <f t="array" ref="P54">IFERROR(_xlfn._xlws.FILTER('03. AvgSummary'!$31:$31,('03. AvgSummary'!$30:$30='04. Summary'!P$1)*('03. AvgSummary'!$28:$28='04. Summary'!$C54)*('03. AvgSummary'!$27:$27='04. Summary'!$B54)),0)</f>
        <v>0</v>
      </c>
    </row>
    <row r="55" spans="1:16" x14ac:dyDescent="0.45">
      <c r="A55" s="6">
        <f t="shared" si="0"/>
        <v>54</v>
      </c>
      <c r="B55" t="str">
        <v>ProductType: TOURISM SECTOR LOAN</v>
      </c>
      <c r="C55" t="str">
        <v>Stage: 2</v>
      </c>
      <c r="D55" s="30" cm="1">
        <f t="array" ref="D55">IFERROR(_xlfn._xlws.FILTER('03. AvgSummary'!$26:$26,('03. AvgSummary'!$27:$27='04. Summary'!$B55)*('03. AvgSummary'!$28:$28='04. Summary'!$C55)*('03. AvgSummary'!$29:$29='04. Summary'!D$1)),0)</f>
        <v>-0.35583823319143648</v>
      </c>
      <c r="E55" s="30" cm="1">
        <f t="array" ref="E55">IFERROR(_xlfn._xlws.FILTER('03. AvgSummary'!$26:$26,('03. AvgSummary'!$27:$27='04. Summary'!$B55)*('03. AvgSummary'!$28:$28='04. Summary'!$C55)*('03. AvgSummary'!$29:$29='04. Summary'!E$1)),0)</f>
        <v>-0.16576106659536941</v>
      </c>
      <c r="F55" s="30" cm="1">
        <f t="array" ref="F55">IFERROR(_xlfn._xlws.FILTER('03. AvgSummary'!$26:$26,('03. AvgSummary'!$27:$27='04. Summary'!$B55)*('03. AvgSummary'!$28:$28='04. Summary'!$C55)*('03. AvgSummary'!$29:$29='04. Summary'!F$1)),0)</f>
        <v>0.67416003114184719</v>
      </c>
      <c r="G55" s="30" cm="1">
        <f t="array" ref="G55">IFERROR(_xlfn._xlws.FILTER('03. AvgSummary'!$26:$26,('03. AvgSummary'!$27:$27='04. Summary'!$B55)*('03. AvgSummary'!$28:$28='04. Summary'!$C55)*('03. AvgSummary'!$29:$29='04. Summary'!G$1)),0)</f>
        <v>0.84806367582316311</v>
      </c>
      <c r="H55" s="30" cm="1">
        <f t="array" ref="H55">IFERROR(_xlfn._xlws.FILTER('03. AvgSummary'!$26:$26,('03. AvgSummary'!$27:$27='04. Summary'!$B55)*('03. AvgSummary'!$28:$28='04. Summary'!$C55)*('03. AvgSummary'!$29:$29='04. Summary'!H$1)),0)</f>
        <v>-6.2440717820447429E-4</v>
      </c>
      <c r="I55" s="30" cm="1">
        <f t="array" ref="I55">IFERROR(_xlfn._xlws.FILTER('03. AvgSummary'!$26:$26,('03. AvgSummary'!$27:$27='04. Summary'!$B55)*('03. AvgSummary'!$28:$28='04. Summary'!$C55)*('03. AvgSummary'!$29:$29='04. Summary'!I$1)),0)</f>
        <v>3.5714285714285712E-2</v>
      </c>
      <c r="J55" s="30" cm="1">
        <f t="array" ref="J55">IFERROR(_xlfn._xlws.FILTER('03. AvgSummary'!$31:$31,('03. AvgSummary'!$30:$30='04. Summary'!J$1)*('03. AvgSummary'!$28:$28='04. Summary'!$C55)*('03. AvgSummary'!$27:$27='04. Summary'!$B55)),0)</f>
        <v>0</v>
      </c>
      <c r="K55" s="30" cm="1">
        <f t="array" ref="K55">IFERROR(_xlfn._xlws.FILTER('03. AvgSummary'!$31:$31,('03. AvgSummary'!$30:$30='04. Summary'!K$1)*('03. AvgSummary'!$28:$28='04. Summary'!$C55)*('03. AvgSummary'!$27:$27='04. Summary'!$B55)),0)</f>
        <v>0</v>
      </c>
      <c r="L55" s="30" cm="1">
        <f t="array" ref="L55">IFERROR(_xlfn._xlws.FILTER('03. AvgSummary'!$31:$31,('03. AvgSummary'!$30:$30='04. Summary'!L$1)*('03. AvgSummary'!$28:$28='04. Summary'!$C55)*('03. AvgSummary'!$27:$27='04. Summary'!$B55)),0)</f>
        <v>0.25</v>
      </c>
      <c r="M55" s="30" cm="1">
        <f t="array" ref="M55">IFERROR(_xlfn._xlws.FILTER('03. AvgSummary'!$31:$31,('03. AvgSummary'!$30:$30='04. Summary'!M$1)*('03. AvgSummary'!$28:$28='04. Summary'!$C55)*('03. AvgSummary'!$27:$27='04. Summary'!$B55)),0)</f>
        <v>0</v>
      </c>
      <c r="N55" s="30" cm="1">
        <f t="array" ref="N55">IFERROR(_xlfn._xlws.FILTER('03. AvgSummary'!$31:$31,('03. AvgSummary'!$30:$30='04. Summary'!N$1)*('03. AvgSummary'!$28:$28='04. Summary'!$C55)*('03. AvgSummary'!$27:$27='04. Summary'!$B55)),0)</f>
        <v>0</v>
      </c>
      <c r="O55" s="30" cm="1">
        <f t="array" ref="O55">IFERROR(_xlfn._xlws.FILTER('03. AvgSummary'!$31:$31,('03. AvgSummary'!$30:$30='04. Summary'!O$1)*('03. AvgSummary'!$28:$28='04. Summary'!$C55)*('03. AvgSummary'!$27:$27='04. Summary'!$B55)),0)</f>
        <v>0</v>
      </c>
      <c r="P55" s="30" cm="1">
        <f t="array" ref="P55">IFERROR(_xlfn._xlws.FILTER('03. AvgSummary'!$31:$31,('03. AvgSummary'!$30:$30='04. Summary'!P$1)*('03. AvgSummary'!$28:$28='04. Summary'!$C55)*('03. AvgSummary'!$27:$27='04. Summary'!$B55)),0)</f>
        <v>0</v>
      </c>
    </row>
    <row r="56" spans="1:16" x14ac:dyDescent="0.45">
      <c r="A56" s="6">
        <f t="shared" si="0"/>
        <v>55</v>
      </c>
      <c r="B56" t="str">
        <v>ProductType: WC TRADING/IND LOAN</v>
      </c>
      <c r="C56" t="str">
        <v>Stage: 1</v>
      </c>
      <c r="D56" s="30" cm="1">
        <f t="array" ref="D56">IFERROR(_xlfn._xlws.FILTER('03. AvgSummary'!$26:$26,('03. AvgSummary'!$27:$27='04. Summary'!$B56)*('03. AvgSummary'!$28:$28='04. Summary'!$C56)*('03. AvgSummary'!$29:$29='04. Summary'!D$1)),0)</f>
        <v>2.6512963335935704</v>
      </c>
      <c r="E56" s="30" cm="1">
        <f t="array" ref="E56">IFERROR(_xlfn._xlws.FILTER('03. AvgSummary'!$26:$26,('03. AvgSummary'!$27:$27='04. Summary'!$B56)*('03. AvgSummary'!$28:$28='04. Summary'!$C56)*('03. AvgSummary'!$29:$29='04. Summary'!E$1)),0)</f>
        <v>0.68579402283453339</v>
      </c>
      <c r="F56" s="30" cm="1">
        <f t="array" ref="F56">IFERROR(_xlfn._xlws.FILTER('03. AvgSummary'!$26:$26,('03. AvgSummary'!$27:$27='04. Summary'!$B56)*('03. AvgSummary'!$28:$28='04. Summary'!$C56)*('03. AvgSummary'!$29:$29='04. Summary'!F$1)),0)</f>
        <v>0.36181012335064178</v>
      </c>
      <c r="G56" s="30" cm="1">
        <f t="array" ref="G56">IFERROR(_xlfn._xlws.FILTER('03. AvgSummary'!$26:$26,('03. AvgSummary'!$27:$27='04. Summary'!$B56)*('03. AvgSummary'!$28:$28='04. Summary'!$C56)*('03. AvgSummary'!$29:$29='04. Summary'!G$1)),0)</f>
        <v>-2.7088278792880356</v>
      </c>
      <c r="H56" s="30" cm="1">
        <f t="array" ref="H56">IFERROR(_xlfn._xlws.FILTER('03. AvgSummary'!$26:$26,('03. AvgSummary'!$27:$27='04. Summary'!$B56)*('03. AvgSummary'!$28:$28='04. Summary'!$C56)*('03. AvgSummary'!$29:$29='04. Summary'!H$1)),0)</f>
        <v>9.9273995092901395E-3</v>
      </c>
      <c r="I56" s="30" cm="1">
        <f t="array" ref="I56">IFERROR(_xlfn._xlws.FILTER('03. AvgSummary'!$26:$26,('03. AvgSummary'!$27:$27='04. Summary'!$B56)*('03. AvgSummary'!$28:$28='04. Summary'!$C56)*('03. AvgSummary'!$29:$29='04. Summary'!I$1)),0)</f>
        <v>0.17370167585673549</v>
      </c>
      <c r="J56" s="30" cm="1">
        <f t="array" ref="J56">IFERROR(_xlfn._xlws.FILTER('03. AvgSummary'!$31:$31,('03. AvgSummary'!$30:$30='04. Summary'!J$1)*('03. AvgSummary'!$28:$28='04. Summary'!$C56)*('03. AvgSummary'!$27:$27='04. Summary'!$B56)),0)</f>
        <v>6.9851796247773601E-2</v>
      </c>
      <c r="K56" s="30" cm="1">
        <f t="array" ref="K56">IFERROR(_xlfn._xlws.FILTER('03. AvgSummary'!$31:$31,('03. AvgSummary'!$30:$30='04. Summary'!K$1)*('03. AvgSummary'!$28:$28='04. Summary'!$C56)*('03. AvgSummary'!$27:$27='04. Summary'!$B56)),0)</f>
        <v>0.22439234936790958</v>
      </c>
      <c r="L56" s="30" cm="1">
        <f t="array" ref="L56">IFERROR(_xlfn._xlws.FILTER('03. AvgSummary'!$31:$31,('03. AvgSummary'!$30:$30='04. Summary'!L$1)*('03. AvgSummary'!$28:$28='04. Summary'!$C56)*('03. AvgSummary'!$27:$27='04. Summary'!$B56)),0)</f>
        <v>4.4348933276305014E-2</v>
      </c>
      <c r="M56" s="30" cm="1">
        <f t="array" ref="M56">IFERROR(_xlfn._xlws.FILTER('03. AvgSummary'!$31:$31,('03. AvgSummary'!$30:$30='04. Summary'!M$1)*('03. AvgSummary'!$28:$28='04. Summary'!$C56)*('03. AvgSummary'!$27:$27='04. Summary'!$B56)),0)</f>
        <v>0.18261335871458906</v>
      </c>
      <c r="N56" s="30" cm="1">
        <f t="array" ref="N56">IFERROR(_xlfn._xlws.FILTER('03. AvgSummary'!$31:$31,('03. AvgSummary'!$30:$30='04. Summary'!N$1)*('03. AvgSummary'!$28:$28='04. Summary'!$C56)*('03. AvgSummary'!$27:$27='04. Summary'!$B56)),0)</f>
        <v>0.29025768403847174</v>
      </c>
      <c r="O56" s="30" cm="1">
        <f t="array" ref="O56">IFERROR(_xlfn._xlws.FILTER('03. AvgSummary'!$31:$31,('03. AvgSummary'!$30:$30='04. Summary'!O$1)*('03. AvgSummary'!$28:$28='04. Summary'!$C56)*('03. AvgSummary'!$27:$27='04. Summary'!$B56)),0)</f>
        <v>0.30614104833875971</v>
      </c>
      <c r="P56" s="30" cm="1">
        <f t="array" ref="P56">IFERROR(_xlfn._xlws.FILTER('03. AvgSummary'!$31:$31,('03. AvgSummary'!$30:$30='04. Summary'!P$1)*('03. AvgSummary'!$28:$28='04. Summary'!$C56)*('03. AvgSummary'!$27:$27='04. Summary'!$B56)),0)</f>
        <v>9.8306561013339677E-2</v>
      </c>
    </row>
    <row r="57" spans="1:16" x14ac:dyDescent="0.45">
      <c r="A57" s="6">
        <f t="shared" si="0"/>
        <v>56</v>
      </c>
      <c r="B57" t="str">
        <v>ProductType: WC TRADING/IND LOAN</v>
      </c>
      <c r="C57" t="str">
        <v>Stage: 2</v>
      </c>
      <c r="D57" s="30" cm="1">
        <f t="array" ref="D57">IFERROR(_xlfn._xlws.FILTER('03. AvgSummary'!$26:$26,('03. AvgSummary'!$27:$27='04. Summary'!$B57)*('03. AvgSummary'!$28:$28='04. Summary'!$C57)*('03. AvgSummary'!$29:$29='04. Summary'!D$1)),0)</f>
        <v>0.1624420369571955</v>
      </c>
      <c r="E57" s="30" cm="1">
        <f t="array" ref="E57">IFERROR(_xlfn._xlws.FILTER('03. AvgSummary'!$26:$26,('03. AvgSummary'!$27:$27='04. Summary'!$B57)*('03. AvgSummary'!$28:$28='04. Summary'!$C57)*('03. AvgSummary'!$29:$29='04. Summary'!E$1)),0)</f>
        <v>-0.19795412370860199</v>
      </c>
      <c r="F57" s="30" cm="1">
        <f t="array" ref="F57">IFERROR(_xlfn._xlws.FILTER('03. AvgSummary'!$26:$26,('03. AvgSummary'!$27:$27='04. Summary'!$B57)*('03. AvgSummary'!$28:$28='04. Summary'!$C57)*('03. AvgSummary'!$29:$29='04. Summary'!F$1)),0)</f>
        <v>0.61049620104526903</v>
      </c>
      <c r="G57" s="30" cm="1">
        <f t="array" ref="G57">IFERROR(_xlfn._xlws.FILTER('03. AvgSummary'!$26:$26,('03. AvgSummary'!$27:$27='04. Summary'!$B57)*('03. AvgSummary'!$28:$28='04. Summary'!$C57)*('03. AvgSummary'!$29:$29='04. Summary'!G$1)),0)</f>
        <v>0.42389200920104542</v>
      </c>
      <c r="H57" s="30" cm="1">
        <f t="array" ref="H57">IFERROR(_xlfn._xlws.FILTER('03. AvgSummary'!$26:$26,('03. AvgSummary'!$27:$27='04. Summary'!$B57)*('03. AvgSummary'!$28:$28='04. Summary'!$C57)*('03. AvgSummary'!$29:$29='04. Summary'!H$1)),0)</f>
        <v>1.1238765050920153E-3</v>
      </c>
      <c r="I57" s="30" cm="1">
        <f t="array" ref="I57">IFERROR(_xlfn._xlws.FILTER('03. AvgSummary'!$26:$26,('03. AvgSummary'!$27:$27='04. Summary'!$B57)*('03. AvgSummary'!$28:$28='04. Summary'!$C57)*('03. AvgSummary'!$29:$29='04. Summary'!I$1)),0)</f>
        <v>0.29398392774564236</v>
      </c>
      <c r="J57" s="30" cm="1">
        <f t="array" ref="J57">IFERROR(_xlfn._xlws.FILTER('03. AvgSummary'!$31:$31,('03. AvgSummary'!$30:$30='04. Summary'!J$1)*('03. AvgSummary'!$28:$28='04. Summary'!$C57)*('03. AvgSummary'!$27:$27='04. Summary'!$B57)),0)</f>
        <v>0.11949318322786014</v>
      </c>
      <c r="K57" s="30" cm="1">
        <f t="array" ref="K57">IFERROR(_xlfn._xlws.FILTER('03. AvgSummary'!$31:$31,('03. AvgSummary'!$30:$30='04. Summary'!K$1)*('03. AvgSummary'!$28:$28='04. Summary'!$C57)*('03. AvgSummary'!$27:$27='04. Summary'!$B57)),0)</f>
        <v>0.32516061006072228</v>
      </c>
      <c r="L57" s="30" cm="1">
        <f t="array" ref="L57">IFERROR(_xlfn._xlws.FILTER('03. AvgSummary'!$31:$31,('03. AvgSummary'!$30:$30='04. Summary'!L$1)*('03. AvgSummary'!$28:$28='04. Summary'!$C57)*('03. AvgSummary'!$27:$27='04. Summary'!$B57)),0)</f>
        <v>0.13085936714966753</v>
      </c>
      <c r="M57" s="30" cm="1">
        <f t="array" ref="M57">IFERROR(_xlfn._xlws.FILTER('03. AvgSummary'!$31:$31,('03. AvgSummary'!$30:$30='04. Summary'!M$1)*('03. AvgSummary'!$28:$28='04. Summary'!$C57)*('03. AvgSummary'!$27:$27='04. Summary'!$B57)),0)</f>
        <v>0.1874655550525029</v>
      </c>
      <c r="N57" s="30" cm="1">
        <f t="array" ref="N57">IFERROR(_xlfn._xlws.FILTER('03. AvgSummary'!$31:$31,('03. AvgSummary'!$30:$30='04. Summary'!N$1)*('03. AvgSummary'!$28:$28='04. Summary'!$C57)*('03. AvgSummary'!$27:$27='04. Summary'!$B57)),0)</f>
        <v>0.46560914390509678</v>
      </c>
      <c r="O57" s="30" cm="1">
        <f t="array" ref="O57">IFERROR(_xlfn._xlws.FILTER('03. AvgSummary'!$31:$31,('03. AvgSummary'!$30:$30='04. Summary'!O$1)*('03. AvgSummary'!$28:$28='04. Summary'!$C57)*('03. AvgSummary'!$27:$27='04. Summary'!$B57)),0)</f>
        <v>0.64826273671056545</v>
      </c>
      <c r="P57" s="30" cm="1">
        <f t="array" ref="P57">IFERROR(_xlfn._xlws.FILTER('03. AvgSummary'!$31:$31,('03. AvgSummary'!$30:$30='04. Summary'!P$1)*('03. AvgSummary'!$28:$28='04. Summary'!$C57)*('03. AvgSummary'!$27:$27='04. Summary'!$B57)),0)</f>
        <v>0.18103689811308138</v>
      </c>
    </row>
    <row r="68" spans="2:2" x14ac:dyDescent="0.45">
      <c r="B68" t="s">
        <v>72</v>
      </c>
    </row>
  </sheetData>
  <autoFilter ref="A1:P57" xr:uid="{0271CF43-992E-4FB3-8911-9A559DCE644F}"/>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C929D-336B-4E69-B94F-665B3A260F5A}">
  <sheetPr codeName="Sheet3"/>
  <dimension ref="B1:C28"/>
  <sheetViews>
    <sheetView showGridLines="0" zoomScale="73" zoomScaleNormal="100" workbookViewId="0">
      <selection activeCell="D22" sqref="D22"/>
    </sheetView>
  </sheetViews>
  <sheetFormatPr defaultRowHeight="14.25" x14ac:dyDescent="0.45"/>
  <cols>
    <col min="1" max="1" width="0.19921875" customWidth="1"/>
    <col min="2" max="2" width="12.73046875" hidden="1" customWidth="1"/>
    <col min="3" max="3" width="20.73046875" hidden="1" customWidth="1"/>
  </cols>
  <sheetData>
    <row r="1" spans="2:3" x14ac:dyDescent="0.45">
      <c r="B1" s="2" t="s">
        <v>0</v>
      </c>
      <c r="C1" t="s">
        <v>25</v>
      </c>
    </row>
    <row r="2" spans="2:3" x14ac:dyDescent="0.45">
      <c r="B2" s="2" t="s">
        <v>1</v>
      </c>
      <c r="C2" s="4">
        <v>1</v>
      </c>
    </row>
    <row r="4" spans="2:3" x14ac:dyDescent="0.45">
      <c r="B4" s="2" t="s">
        <v>32</v>
      </c>
      <c r="C4" t="s">
        <v>33</v>
      </c>
    </row>
    <row r="5" spans="2:3" x14ac:dyDescent="0.45">
      <c r="B5" s="6">
        <v>1</v>
      </c>
      <c r="C5" s="7">
        <v>0</v>
      </c>
    </row>
    <row r="6" spans="2:3" x14ac:dyDescent="0.45">
      <c r="B6" s="6">
        <v>2</v>
      </c>
      <c r="C6" s="7">
        <v>0</v>
      </c>
    </row>
    <row r="7" spans="2:3" x14ac:dyDescent="0.45">
      <c r="B7" s="6">
        <v>3</v>
      </c>
      <c r="C7" s="7">
        <v>0</v>
      </c>
    </row>
    <row r="8" spans="2:3" x14ac:dyDescent="0.45">
      <c r="B8" s="6">
        <v>4</v>
      </c>
      <c r="C8" s="7">
        <v>0</v>
      </c>
    </row>
    <row r="9" spans="2:3" x14ac:dyDescent="0.45">
      <c r="B9" s="6">
        <v>5</v>
      </c>
      <c r="C9" s="7">
        <v>0</v>
      </c>
    </row>
    <row r="10" spans="2:3" x14ac:dyDescent="0.45">
      <c r="B10" s="6">
        <v>6</v>
      </c>
      <c r="C10" s="7">
        <v>0</v>
      </c>
    </row>
    <row r="11" spans="2:3" x14ac:dyDescent="0.45">
      <c r="B11" s="6">
        <v>7</v>
      </c>
      <c r="C11" s="7">
        <v>0</v>
      </c>
    </row>
    <row r="12" spans="2:3" x14ac:dyDescent="0.45">
      <c r="B12" s="6">
        <v>8</v>
      </c>
      <c r="C12" s="7">
        <v>0</v>
      </c>
    </row>
    <row r="13" spans="2:3" x14ac:dyDescent="0.45">
      <c r="B13" s="6">
        <v>9</v>
      </c>
      <c r="C13" s="7">
        <v>0</v>
      </c>
    </row>
    <row r="14" spans="2:3" x14ac:dyDescent="0.45">
      <c r="B14" s="6">
        <v>10</v>
      </c>
      <c r="C14" s="7">
        <v>0</v>
      </c>
    </row>
    <row r="15" spans="2:3" ht="13.5" customHeight="1" x14ac:dyDescent="0.45">
      <c r="B15" s="6">
        <v>11</v>
      </c>
      <c r="C15" s="7">
        <v>0</v>
      </c>
    </row>
    <row r="16" spans="2:3" x14ac:dyDescent="0.45">
      <c r="B16" s="6">
        <v>12</v>
      </c>
      <c r="C16" s="7">
        <v>0</v>
      </c>
    </row>
    <row r="17" spans="2:3" x14ac:dyDescent="0.45">
      <c r="B17" s="6">
        <v>13</v>
      </c>
      <c r="C17" s="7">
        <v>0</v>
      </c>
    </row>
    <row r="18" spans="2:3" x14ac:dyDescent="0.45">
      <c r="B18" s="6">
        <v>14</v>
      </c>
      <c r="C18" s="7">
        <v>0</v>
      </c>
    </row>
    <row r="19" spans="2:3" x14ac:dyDescent="0.45">
      <c r="B19" s="6">
        <v>15</v>
      </c>
      <c r="C19" s="7">
        <v>0</v>
      </c>
    </row>
    <row r="20" spans="2:3" x14ac:dyDescent="0.45">
      <c r="B20" s="6">
        <v>16</v>
      </c>
      <c r="C20" s="7">
        <v>0</v>
      </c>
    </row>
    <row r="21" spans="2:3" x14ac:dyDescent="0.45">
      <c r="B21" s="6">
        <v>17</v>
      </c>
      <c r="C21" s="7">
        <v>0</v>
      </c>
    </row>
    <row r="22" spans="2:3" x14ac:dyDescent="0.45">
      <c r="B22" s="6">
        <v>18</v>
      </c>
      <c r="C22" s="7">
        <v>8.4534926537409696E-2</v>
      </c>
    </row>
    <row r="23" spans="2:3" x14ac:dyDescent="0.45">
      <c r="B23" s="6">
        <v>19</v>
      </c>
      <c r="C23" s="7">
        <v>0</v>
      </c>
    </row>
    <row r="24" spans="2:3" x14ac:dyDescent="0.45">
      <c r="B24" s="6">
        <v>20</v>
      </c>
      <c r="C24" s="7">
        <v>0</v>
      </c>
    </row>
    <row r="25" spans="2:3" x14ac:dyDescent="0.45">
      <c r="B25" s="6">
        <v>21</v>
      </c>
      <c r="C25" s="7">
        <v>0.25482952100793271</v>
      </c>
    </row>
    <row r="26" spans="2:3" x14ac:dyDescent="0.45">
      <c r="B26" s="6">
        <v>22</v>
      </c>
      <c r="C26" s="7">
        <v>0.17934080413031375</v>
      </c>
    </row>
    <row r="27" spans="2:3" x14ac:dyDescent="0.45">
      <c r="B27" s="6">
        <v>23</v>
      </c>
      <c r="C27" s="7">
        <v>1.2675887527856542E-2</v>
      </c>
    </row>
    <row r="28" spans="2:3" x14ac:dyDescent="0.45">
      <c r="B28" s="6" t="s">
        <v>31</v>
      </c>
      <c r="C28" s="7">
        <v>2.3103527791457076E-2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01. Main</vt:lpstr>
      <vt:lpstr>02. Average</vt:lpstr>
      <vt:lpstr>03. AvgSummary</vt:lpstr>
      <vt:lpstr>04. Summary</vt:lpstr>
      <vt:lpstr>Visualization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Nikesh Pandey</dc:creator>
  <cp:lastModifiedBy>Nikesh pandey</cp:lastModifiedBy>
  <cp:lastPrinted>2025-06-11T19:46:19Z</cp:lastPrinted>
  <dcterms:created xsi:type="dcterms:W3CDTF">2015-06-05T18:17:20Z</dcterms:created>
  <dcterms:modified xsi:type="dcterms:W3CDTF">2025-06-25T17:55:31Z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2025-06-11T19:26:05Z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42b04844-7250-45f8-90db-ec7e5aa0f74b</vt:lpwstr>
  </property>
  <property fmtid="{D5CDD505-2E9C-101B-9397-08002B2CF9AE}" pid="7" name="MSIP_Label_defa4170-0d19-0005-0004-bc88714345d2_ActionId">
    <vt:lpwstr>db9958b2-57e6-4fce-860f-6d20397faf24</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